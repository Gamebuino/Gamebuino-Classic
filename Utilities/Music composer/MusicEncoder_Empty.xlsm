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Dropbox\Robot\Game Buino\music\"/>
    </mc:Choice>
  </mc:AlternateContent>
  <bookViews>
    <workbookView xWindow="480" yWindow="120" windowWidth="14295" windowHeight="4620"/>
  </bookViews>
  <sheets>
    <sheet name="Composer" sheetId="6" r:id="rId1"/>
    <sheet name="Output" sheetId="9" r:id="rId2"/>
    <sheet name="Notes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W3" i="6" l="1"/>
  <c r="X3" i="6"/>
  <c r="Y3" i="6"/>
  <c r="W4" i="6"/>
  <c r="X4" i="6"/>
  <c r="Y4" i="6"/>
  <c r="W5" i="6"/>
  <c r="X5" i="6"/>
  <c r="Y5" i="6"/>
  <c r="W6" i="6"/>
  <c r="X6" i="6"/>
  <c r="Y6" i="6"/>
  <c r="W7" i="6"/>
  <c r="X7" i="6"/>
  <c r="Y7" i="6"/>
  <c r="W8" i="6"/>
  <c r="X8" i="6"/>
  <c r="Y8" i="6"/>
  <c r="W9" i="6"/>
  <c r="X9" i="6"/>
  <c r="Y9" i="6"/>
  <c r="W10" i="6"/>
  <c r="X10" i="6"/>
  <c r="Y10" i="6"/>
  <c r="W11" i="6"/>
  <c r="X11" i="6"/>
  <c r="Y11" i="6"/>
  <c r="W12" i="6"/>
  <c r="X12" i="6"/>
  <c r="Y12" i="6"/>
  <c r="W13" i="6"/>
  <c r="X13" i="6"/>
  <c r="Y13" i="6"/>
  <c r="W14" i="6"/>
  <c r="X14" i="6"/>
  <c r="Y14" i="6"/>
  <c r="W15" i="6"/>
  <c r="X15" i="6"/>
  <c r="Y15" i="6"/>
  <c r="W16" i="6"/>
  <c r="X16" i="6"/>
  <c r="Y16" i="6"/>
  <c r="W17" i="6"/>
  <c r="X17" i="6"/>
  <c r="Y17" i="6"/>
  <c r="W18" i="6"/>
  <c r="X18" i="6"/>
  <c r="Y18" i="6"/>
  <c r="W19" i="6"/>
  <c r="X19" i="6"/>
  <c r="Y19" i="6"/>
  <c r="W20" i="6"/>
  <c r="X20" i="6"/>
  <c r="Y20" i="6"/>
  <c r="W21" i="6"/>
  <c r="X21" i="6"/>
  <c r="Y21" i="6"/>
  <c r="W22" i="6"/>
  <c r="X22" i="6"/>
  <c r="Y22" i="6"/>
  <c r="W23" i="6"/>
  <c r="X23" i="6"/>
  <c r="Y23" i="6"/>
  <c r="W24" i="6"/>
  <c r="X24" i="6"/>
  <c r="Y24" i="6"/>
  <c r="W25" i="6"/>
  <c r="X25" i="6"/>
  <c r="Y25" i="6"/>
  <c r="W26" i="6"/>
  <c r="X26" i="6"/>
  <c r="Y26" i="6"/>
  <c r="W27" i="6"/>
  <c r="X27" i="6"/>
  <c r="Y27" i="6"/>
  <c r="W28" i="6"/>
  <c r="X28" i="6"/>
  <c r="Y28" i="6"/>
  <c r="W29" i="6"/>
  <c r="X29" i="6"/>
  <c r="Y29" i="6"/>
  <c r="W30" i="6"/>
  <c r="X30" i="6"/>
  <c r="Y30" i="6"/>
  <c r="W31" i="6"/>
  <c r="X31" i="6"/>
  <c r="Y31" i="6"/>
  <c r="W32" i="6"/>
  <c r="X32" i="6"/>
  <c r="Y32" i="6"/>
  <c r="W33" i="6"/>
  <c r="X33" i="6"/>
  <c r="Y33" i="6"/>
  <c r="W34" i="6"/>
  <c r="X34" i="6"/>
  <c r="Y34" i="6"/>
  <c r="W35" i="6"/>
  <c r="X35" i="6"/>
  <c r="Y35" i="6"/>
  <c r="W36" i="6"/>
  <c r="X36" i="6"/>
  <c r="Y36" i="6"/>
  <c r="W37" i="6"/>
  <c r="X37" i="6"/>
  <c r="Y37" i="6"/>
  <c r="W38" i="6"/>
  <c r="X38" i="6"/>
  <c r="Y38" i="6"/>
  <c r="W39" i="6"/>
  <c r="X39" i="6"/>
  <c r="Y39" i="6"/>
  <c r="W40" i="6"/>
  <c r="X40" i="6"/>
  <c r="Y40" i="6"/>
  <c r="W41" i="6"/>
  <c r="X41" i="6"/>
  <c r="Y41" i="6"/>
  <c r="W42" i="6"/>
  <c r="X42" i="6"/>
  <c r="Y42" i="6"/>
  <c r="W43" i="6"/>
  <c r="X43" i="6"/>
  <c r="Y43" i="6"/>
  <c r="W44" i="6"/>
  <c r="X44" i="6"/>
  <c r="Y44" i="6"/>
  <c r="W45" i="6"/>
  <c r="X45" i="6"/>
  <c r="Y45" i="6"/>
  <c r="W46" i="6"/>
  <c r="X46" i="6"/>
  <c r="Y46" i="6"/>
  <c r="W47" i="6"/>
  <c r="X47" i="6"/>
  <c r="Y47" i="6"/>
  <c r="W48" i="6"/>
  <c r="X48" i="6"/>
  <c r="Y48" i="6"/>
  <c r="W49" i="6"/>
  <c r="X49" i="6"/>
  <c r="Y49" i="6"/>
  <c r="W50" i="6"/>
  <c r="X50" i="6"/>
  <c r="Y50" i="6"/>
  <c r="W51" i="6"/>
  <c r="X51" i="6"/>
  <c r="Y51" i="6"/>
  <c r="W52" i="6"/>
  <c r="X52" i="6"/>
  <c r="Y52" i="6"/>
  <c r="W53" i="6"/>
  <c r="X53" i="6"/>
  <c r="Y53" i="6"/>
  <c r="W54" i="6"/>
  <c r="X54" i="6"/>
  <c r="Y54" i="6"/>
  <c r="W55" i="6"/>
  <c r="X55" i="6"/>
  <c r="Y55" i="6"/>
  <c r="W56" i="6"/>
  <c r="X56" i="6"/>
  <c r="Y56" i="6"/>
  <c r="W57" i="6"/>
  <c r="X57" i="6"/>
  <c r="Y57" i="6"/>
  <c r="W58" i="6"/>
  <c r="X58" i="6"/>
  <c r="Y58" i="6"/>
  <c r="W59" i="6"/>
  <c r="X59" i="6"/>
  <c r="Y59" i="6"/>
  <c r="W60" i="6"/>
  <c r="X60" i="6"/>
  <c r="Y60" i="6"/>
  <c r="W61" i="6"/>
  <c r="X61" i="6"/>
  <c r="Y61" i="6"/>
  <c r="W62" i="6"/>
  <c r="X62" i="6"/>
  <c r="Y62" i="6"/>
  <c r="W63" i="6"/>
  <c r="X63" i="6"/>
  <c r="Y63" i="6"/>
  <c r="W64" i="6"/>
  <c r="X64" i="6"/>
  <c r="Y64" i="6"/>
  <c r="W65" i="6"/>
  <c r="X65" i="6"/>
  <c r="Y65" i="6"/>
  <c r="W66" i="6"/>
  <c r="X66" i="6"/>
  <c r="Y66" i="6"/>
  <c r="W67" i="6"/>
  <c r="X67" i="6"/>
  <c r="Y67" i="6"/>
  <c r="W68" i="6"/>
  <c r="X68" i="6"/>
  <c r="Y68" i="6"/>
  <c r="W69" i="6"/>
  <c r="X69" i="6"/>
  <c r="Y69" i="6"/>
  <c r="W70" i="6"/>
  <c r="X70" i="6"/>
  <c r="Y70" i="6"/>
  <c r="W71" i="6"/>
  <c r="X71" i="6"/>
  <c r="Y71" i="6"/>
  <c r="W72" i="6"/>
  <c r="X72" i="6"/>
  <c r="Y72" i="6"/>
  <c r="W73" i="6"/>
  <c r="X73" i="6"/>
  <c r="Y73" i="6"/>
  <c r="W74" i="6"/>
  <c r="X74" i="6"/>
  <c r="Y74" i="6"/>
  <c r="W75" i="6"/>
  <c r="X75" i="6"/>
  <c r="Y75" i="6"/>
  <c r="W76" i="6"/>
  <c r="X76" i="6"/>
  <c r="Y76" i="6"/>
  <c r="W77" i="6"/>
  <c r="X77" i="6"/>
  <c r="Y77" i="6"/>
  <c r="W78" i="6"/>
  <c r="X78" i="6"/>
  <c r="Y78" i="6"/>
  <c r="W79" i="6"/>
  <c r="X79" i="6"/>
  <c r="Y79" i="6"/>
  <c r="W80" i="6"/>
  <c r="X80" i="6"/>
  <c r="Y80" i="6"/>
  <c r="W81" i="6"/>
  <c r="X81" i="6"/>
  <c r="Y81" i="6"/>
  <c r="W82" i="6"/>
  <c r="X82" i="6"/>
  <c r="Y82" i="6"/>
  <c r="W83" i="6"/>
  <c r="X83" i="6"/>
  <c r="Y83" i="6"/>
  <c r="W84" i="6"/>
  <c r="X84" i="6"/>
  <c r="Y84" i="6"/>
  <c r="W85" i="6"/>
  <c r="X85" i="6"/>
  <c r="Y85" i="6"/>
  <c r="W86" i="6"/>
  <c r="X86" i="6"/>
  <c r="Y86" i="6"/>
  <c r="W87" i="6"/>
  <c r="X87" i="6"/>
  <c r="Y87" i="6"/>
  <c r="W88" i="6"/>
  <c r="X88" i="6"/>
  <c r="Y88" i="6"/>
  <c r="W89" i="6"/>
  <c r="X89" i="6"/>
  <c r="Y89" i="6"/>
  <c r="W90" i="6"/>
  <c r="X90" i="6"/>
  <c r="Y90" i="6"/>
  <c r="W91" i="6"/>
  <c r="X91" i="6"/>
  <c r="Y91" i="6"/>
  <c r="W92" i="6"/>
  <c r="X92" i="6"/>
  <c r="Y92" i="6"/>
  <c r="W93" i="6"/>
  <c r="X93" i="6"/>
  <c r="Y93" i="6"/>
  <c r="W94" i="6"/>
  <c r="X94" i="6"/>
  <c r="Y94" i="6"/>
  <c r="W95" i="6"/>
  <c r="X95" i="6"/>
  <c r="Y95" i="6"/>
  <c r="W96" i="6"/>
  <c r="X96" i="6"/>
  <c r="Y96" i="6"/>
  <c r="W97" i="6"/>
  <c r="X97" i="6"/>
  <c r="Y97" i="6"/>
  <c r="W98" i="6"/>
  <c r="X98" i="6"/>
  <c r="Y98" i="6"/>
  <c r="W99" i="6"/>
  <c r="X99" i="6"/>
  <c r="Y99" i="6"/>
  <c r="W100" i="6"/>
  <c r="X100" i="6"/>
  <c r="Y100" i="6"/>
  <c r="W101" i="6"/>
  <c r="X101" i="6"/>
  <c r="Y101" i="6"/>
  <c r="W102" i="6"/>
  <c r="X102" i="6"/>
  <c r="Y102" i="6"/>
  <c r="W103" i="6"/>
  <c r="X103" i="6"/>
  <c r="Y103" i="6"/>
  <c r="W104" i="6"/>
  <c r="X104" i="6"/>
  <c r="Y104" i="6"/>
  <c r="W105" i="6"/>
  <c r="X105" i="6"/>
  <c r="Y105" i="6"/>
  <c r="W106" i="6"/>
  <c r="X106" i="6"/>
  <c r="Y106" i="6"/>
  <c r="W107" i="6"/>
  <c r="X107" i="6"/>
  <c r="Y107" i="6"/>
  <c r="W108" i="6"/>
  <c r="X108" i="6"/>
  <c r="Y108" i="6"/>
  <c r="W109" i="6"/>
  <c r="X109" i="6"/>
  <c r="Y109" i="6"/>
  <c r="W110" i="6"/>
  <c r="X110" i="6"/>
  <c r="Y110" i="6"/>
  <c r="W111" i="6"/>
  <c r="X111" i="6"/>
  <c r="Y111" i="6"/>
  <c r="W112" i="6"/>
  <c r="X112" i="6"/>
  <c r="Y112" i="6"/>
  <c r="W113" i="6"/>
  <c r="X113" i="6"/>
  <c r="Y113" i="6"/>
  <c r="W114" i="6"/>
  <c r="X114" i="6"/>
  <c r="Y114" i="6"/>
  <c r="W115" i="6"/>
  <c r="X115" i="6"/>
  <c r="Y115" i="6"/>
  <c r="W116" i="6"/>
  <c r="X116" i="6"/>
  <c r="Y116" i="6"/>
  <c r="W117" i="6"/>
  <c r="X117" i="6"/>
  <c r="Y117" i="6"/>
  <c r="W118" i="6"/>
  <c r="X118" i="6"/>
  <c r="Y118" i="6"/>
  <c r="W119" i="6"/>
  <c r="X119" i="6"/>
  <c r="Y119" i="6"/>
  <c r="W120" i="6"/>
  <c r="X120" i="6"/>
  <c r="Y120" i="6"/>
  <c r="W121" i="6"/>
  <c r="X121" i="6"/>
  <c r="Y121" i="6"/>
  <c r="W122" i="6"/>
  <c r="X122" i="6"/>
  <c r="Y122" i="6"/>
  <c r="W123" i="6"/>
  <c r="X123" i="6"/>
  <c r="Y123" i="6"/>
  <c r="W124" i="6"/>
  <c r="X124" i="6"/>
  <c r="Y124" i="6"/>
  <c r="W125" i="6"/>
  <c r="X125" i="6"/>
  <c r="Y125" i="6"/>
  <c r="W126" i="6"/>
  <c r="X126" i="6"/>
  <c r="Y126" i="6"/>
  <c r="W127" i="6"/>
  <c r="X127" i="6"/>
  <c r="Y127" i="6"/>
  <c r="W128" i="6"/>
  <c r="X128" i="6"/>
  <c r="Y128" i="6"/>
  <c r="W129" i="6"/>
  <c r="X129" i="6"/>
  <c r="Y129" i="6"/>
  <c r="W130" i="6"/>
  <c r="X130" i="6"/>
  <c r="Y130" i="6"/>
  <c r="W131" i="6"/>
  <c r="X131" i="6"/>
  <c r="Y131" i="6"/>
  <c r="W132" i="6"/>
  <c r="X132" i="6"/>
  <c r="Y132" i="6"/>
  <c r="W133" i="6"/>
  <c r="X133" i="6"/>
  <c r="Y133" i="6"/>
  <c r="W134" i="6"/>
  <c r="X134" i="6"/>
  <c r="Y134" i="6"/>
  <c r="W135" i="6"/>
  <c r="X135" i="6"/>
  <c r="Y135" i="6"/>
  <c r="W136" i="6"/>
  <c r="X136" i="6"/>
  <c r="Y136" i="6"/>
  <c r="W137" i="6"/>
  <c r="X137" i="6"/>
  <c r="Y137" i="6"/>
  <c r="W138" i="6"/>
  <c r="X138" i="6"/>
  <c r="Y138" i="6"/>
  <c r="W139" i="6"/>
  <c r="X139" i="6"/>
  <c r="Y139" i="6"/>
  <c r="W140" i="6"/>
  <c r="X140" i="6"/>
  <c r="Y140" i="6"/>
  <c r="W141" i="6"/>
  <c r="X141" i="6"/>
  <c r="Y141" i="6"/>
  <c r="W142" i="6"/>
  <c r="X142" i="6"/>
  <c r="Y142" i="6"/>
  <c r="W143" i="6"/>
  <c r="X143" i="6"/>
  <c r="Y143" i="6"/>
  <c r="W144" i="6"/>
  <c r="X144" i="6"/>
  <c r="Y144" i="6"/>
  <c r="W145" i="6"/>
  <c r="X145" i="6"/>
  <c r="Y145" i="6"/>
  <c r="W146" i="6"/>
  <c r="X146" i="6"/>
  <c r="Y146" i="6"/>
  <c r="W147" i="6"/>
  <c r="X147" i="6"/>
  <c r="Y147" i="6"/>
  <c r="W148" i="6"/>
  <c r="X148" i="6"/>
  <c r="Y148" i="6"/>
  <c r="W149" i="6"/>
  <c r="X149" i="6"/>
  <c r="Y149" i="6"/>
  <c r="W150" i="6"/>
  <c r="X150" i="6"/>
  <c r="Y150" i="6"/>
  <c r="W151" i="6"/>
  <c r="X151" i="6"/>
  <c r="Y151" i="6"/>
  <c r="W152" i="6"/>
  <c r="X152" i="6"/>
  <c r="Y152" i="6"/>
  <c r="W153" i="6"/>
  <c r="X153" i="6"/>
  <c r="Y153" i="6"/>
  <c r="W154" i="6"/>
  <c r="X154" i="6"/>
  <c r="Y154" i="6"/>
  <c r="W155" i="6"/>
  <c r="X155" i="6"/>
  <c r="Y155" i="6"/>
  <c r="W156" i="6"/>
  <c r="X156" i="6"/>
  <c r="Y156" i="6"/>
  <c r="W157" i="6"/>
  <c r="X157" i="6"/>
  <c r="Y157" i="6"/>
  <c r="W158" i="6"/>
  <c r="X158" i="6"/>
  <c r="Y158" i="6"/>
  <c r="W159" i="6"/>
  <c r="X159" i="6"/>
  <c r="Y159" i="6"/>
  <c r="W160" i="6"/>
  <c r="X160" i="6"/>
  <c r="Y160" i="6"/>
  <c r="W161" i="6"/>
  <c r="X161" i="6"/>
  <c r="Y161" i="6"/>
  <c r="W162" i="6"/>
  <c r="X162" i="6"/>
  <c r="Y162" i="6"/>
  <c r="W163" i="6"/>
  <c r="X163" i="6"/>
  <c r="Y163" i="6"/>
  <c r="W164" i="6"/>
  <c r="X164" i="6"/>
  <c r="Y164" i="6"/>
  <c r="W165" i="6"/>
  <c r="X165" i="6"/>
  <c r="Y165" i="6"/>
  <c r="W166" i="6"/>
  <c r="X166" i="6"/>
  <c r="Y166" i="6"/>
  <c r="W167" i="6"/>
  <c r="X167" i="6"/>
  <c r="Y167" i="6"/>
  <c r="W168" i="6"/>
  <c r="X168" i="6"/>
  <c r="Y168" i="6"/>
  <c r="W169" i="6"/>
  <c r="X169" i="6"/>
  <c r="Y169" i="6"/>
  <c r="W170" i="6"/>
  <c r="X170" i="6"/>
  <c r="Y170" i="6"/>
  <c r="W171" i="6"/>
  <c r="X171" i="6"/>
  <c r="Y171" i="6"/>
  <c r="W172" i="6"/>
  <c r="X172" i="6"/>
  <c r="Y172" i="6"/>
  <c r="W173" i="6"/>
  <c r="X173" i="6"/>
  <c r="Y173" i="6"/>
  <c r="W174" i="6"/>
  <c r="X174" i="6"/>
  <c r="Y174" i="6"/>
  <c r="W175" i="6"/>
  <c r="X175" i="6"/>
  <c r="Y175" i="6"/>
  <c r="W176" i="6"/>
  <c r="X176" i="6"/>
  <c r="Y176" i="6"/>
  <c r="W177" i="6"/>
  <c r="X177" i="6"/>
  <c r="Y177" i="6"/>
  <c r="W178" i="6"/>
  <c r="X178" i="6"/>
  <c r="Y178" i="6"/>
  <c r="W179" i="6"/>
  <c r="X179" i="6"/>
  <c r="Y179" i="6"/>
  <c r="W180" i="6"/>
  <c r="X180" i="6"/>
  <c r="Y180" i="6"/>
  <c r="W181" i="6"/>
  <c r="X181" i="6"/>
  <c r="Y181" i="6"/>
  <c r="W182" i="6"/>
  <c r="X182" i="6"/>
  <c r="Y182" i="6"/>
  <c r="W183" i="6"/>
  <c r="X183" i="6"/>
  <c r="Y183" i="6"/>
  <c r="W184" i="6"/>
  <c r="X184" i="6"/>
  <c r="Y184" i="6"/>
  <c r="W185" i="6"/>
  <c r="X185" i="6"/>
  <c r="Y185" i="6"/>
  <c r="W186" i="6"/>
  <c r="X186" i="6"/>
  <c r="Y186" i="6"/>
  <c r="W187" i="6"/>
  <c r="X187" i="6"/>
  <c r="Y187" i="6"/>
  <c r="W188" i="6"/>
  <c r="X188" i="6"/>
  <c r="Y188" i="6"/>
  <c r="W189" i="6"/>
  <c r="X189" i="6"/>
  <c r="Y189" i="6"/>
  <c r="W190" i="6"/>
  <c r="X190" i="6"/>
  <c r="Y190" i="6"/>
  <c r="W191" i="6"/>
  <c r="X191" i="6"/>
  <c r="Y191" i="6"/>
  <c r="W192" i="6"/>
  <c r="X192" i="6"/>
  <c r="Y192" i="6"/>
  <c r="W193" i="6"/>
  <c r="X193" i="6"/>
  <c r="Y193" i="6"/>
  <c r="W194" i="6"/>
  <c r="X194" i="6"/>
  <c r="Y194" i="6"/>
  <c r="W195" i="6"/>
  <c r="X195" i="6"/>
  <c r="Y195" i="6"/>
  <c r="W196" i="6"/>
  <c r="X196" i="6"/>
  <c r="Y196" i="6"/>
  <c r="W197" i="6"/>
  <c r="X197" i="6"/>
  <c r="Y197" i="6"/>
  <c r="W198" i="6"/>
  <c r="X198" i="6"/>
  <c r="Y198" i="6"/>
  <c r="W199" i="6"/>
  <c r="X199" i="6"/>
  <c r="Y199" i="6"/>
  <c r="W200" i="6"/>
  <c r="X200" i="6"/>
  <c r="Y200" i="6"/>
  <c r="W201" i="6"/>
  <c r="X201" i="6"/>
  <c r="Y201" i="6"/>
  <c r="W202" i="6"/>
  <c r="X202" i="6"/>
  <c r="Y202" i="6"/>
  <c r="W203" i="6"/>
  <c r="X203" i="6"/>
  <c r="Y203" i="6"/>
  <c r="W204" i="6"/>
  <c r="X204" i="6"/>
  <c r="Y204" i="6"/>
  <c r="W205" i="6"/>
  <c r="X205" i="6"/>
  <c r="Y205" i="6"/>
  <c r="W206" i="6"/>
  <c r="X206" i="6"/>
  <c r="Y206" i="6"/>
  <c r="W207" i="6"/>
  <c r="X207" i="6"/>
  <c r="Y207" i="6"/>
  <c r="W208" i="6"/>
  <c r="X208" i="6"/>
  <c r="Y208" i="6"/>
  <c r="W209" i="6"/>
  <c r="X209" i="6"/>
  <c r="Y209" i="6"/>
  <c r="W210" i="6"/>
  <c r="X210" i="6"/>
  <c r="Y210" i="6"/>
  <c r="W211" i="6"/>
  <c r="X211" i="6"/>
  <c r="Y211" i="6"/>
  <c r="W212" i="6"/>
  <c r="X212" i="6"/>
  <c r="Y212" i="6"/>
  <c r="W213" i="6"/>
  <c r="X213" i="6"/>
  <c r="Y213" i="6"/>
  <c r="W214" i="6"/>
  <c r="X214" i="6"/>
  <c r="Y214" i="6"/>
  <c r="W215" i="6"/>
  <c r="X215" i="6"/>
  <c r="Y215" i="6"/>
  <c r="W216" i="6"/>
  <c r="X216" i="6"/>
  <c r="Y216" i="6"/>
  <c r="W217" i="6"/>
  <c r="X217" i="6"/>
  <c r="Y217" i="6"/>
  <c r="W218" i="6"/>
  <c r="X218" i="6"/>
  <c r="Y218" i="6"/>
  <c r="W219" i="6"/>
  <c r="X219" i="6"/>
  <c r="Y219" i="6"/>
  <c r="W220" i="6"/>
  <c r="X220" i="6"/>
  <c r="Y220" i="6"/>
  <c r="W221" i="6"/>
  <c r="X221" i="6"/>
  <c r="Y221" i="6"/>
  <c r="W222" i="6"/>
  <c r="X222" i="6"/>
  <c r="Y222" i="6"/>
  <c r="W223" i="6"/>
  <c r="X223" i="6"/>
  <c r="Y223" i="6"/>
  <c r="W224" i="6"/>
  <c r="X224" i="6"/>
  <c r="Y224" i="6"/>
  <c r="W225" i="6"/>
  <c r="X225" i="6"/>
  <c r="Y225" i="6"/>
  <c r="W226" i="6"/>
  <c r="X226" i="6"/>
  <c r="Y226" i="6"/>
  <c r="W227" i="6"/>
  <c r="X227" i="6"/>
  <c r="Y227" i="6"/>
  <c r="W228" i="6"/>
  <c r="X228" i="6"/>
  <c r="Y228" i="6"/>
  <c r="W229" i="6"/>
  <c r="X229" i="6"/>
  <c r="Y229" i="6"/>
  <c r="W230" i="6"/>
  <c r="X230" i="6"/>
  <c r="Y230" i="6"/>
  <c r="W231" i="6"/>
  <c r="X231" i="6"/>
  <c r="Y231" i="6"/>
  <c r="W232" i="6"/>
  <c r="X232" i="6"/>
  <c r="Y232" i="6"/>
  <c r="W233" i="6"/>
  <c r="X233" i="6"/>
  <c r="Y233" i="6"/>
  <c r="W234" i="6"/>
  <c r="X234" i="6"/>
  <c r="Y234" i="6"/>
  <c r="W235" i="6"/>
  <c r="X235" i="6"/>
  <c r="Y235" i="6"/>
  <c r="W236" i="6"/>
  <c r="X236" i="6"/>
  <c r="Y236" i="6"/>
  <c r="W237" i="6"/>
  <c r="X237" i="6"/>
  <c r="Y237" i="6"/>
  <c r="W238" i="6"/>
  <c r="X238" i="6"/>
  <c r="Y238" i="6"/>
  <c r="W239" i="6"/>
  <c r="X239" i="6"/>
  <c r="Y239" i="6"/>
  <c r="W240" i="6"/>
  <c r="X240" i="6"/>
  <c r="Y240" i="6"/>
  <c r="W241" i="6"/>
  <c r="X241" i="6"/>
  <c r="Y241" i="6"/>
  <c r="W242" i="6"/>
  <c r="X242" i="6"/>
  <c r="Y242" i="6"/>
  <c r="W243" i="6"/>
  <c r="X243" i="6"/>
  <c r="Y243" i="6"/>
  <c r="W244" i="6"/>
  <c r="X244" i="6"/>
  <c r="Y244" i="6"/>
  <c r="W245" i="6"/>
  <c r="X245" i="6"/>
  <c r="Y245" i="6"/>
  <c r="W246" i="6"/>
  <c r="X246" i="6"/>
  <c r="Y246" i="6"/>
  <c r="W247" i="6"/>
  <c r="X247" i="6"/>
  <c r="Y247" i="6"/>
  <c r="W248" i="6"/>
  <c r="X248" i="6"/>
  <c r="Y248" i="6"/>
  <c r="W249" i="6"/>
  <c r="X249" i="6"/>
  <c r="Y249" i="6"/>
  <c r="W250" i="6"/>
  <c r="X250" i="6"/>
  <c r="Y250" i="6"/>
  <c r="W251" i="6"/>
  <c r="X251" i="6"/>
  <c r="Y251" i="6"/>
  <c r="W252" i="6"/>
  <c r="X252" i="6"/>
  <c r="Y252" i="6"/>
  <c r="W253" i="6"/>
  <c r="X253" i="6"/>
  <c r="Y253" i="6"/>
  <c r="W254" i="6"/>
  <c r="X254" i="6"/>
  <c r="Y254" i="6"/>
  <c r="W255" i="6"/>
  <c r="X255" i="6"/>
  <c r="Y255" i="6"/>
  <c r="W256" i="6"/>
  <c r="X256" i="6"/>
  <c r="Y256" i="6"/>
  <c r="W257" i="6"/>
  <c r="X257" i="6"/>
  <c r="Y257" i="6"/>
  <c r="W258" i="6"/>
  <c r="X258" i="6"/>
  <c r="Y258" i="6"/>
  <c r="W259" i="6"/>
  <c r="X259" i="6"/>
  <c r="Y259" i="6"/>
  <c r="W260" i="6"/>
  <c r="X260" i="6"/>
  <c r="Y260" i="6"/>
  <c r="W261" i="6"/>
  <c r="X261" i="6"/>
  <c r="Y261" i="6"/>
  <c r="W262" i="6"/>
  <c r="X262" i="6"/>
  <c r="Y262" i="6"/>
  <c r="W263" i="6"/>
  <c r="X263" i="6"/>
  <c r="Y263" i="6"/>
  <c r="W264" i="6"/>
  <c r="X264" i="6"/>
  <c r="Y264" i="6"/>
  <c r="W265" i="6"/>
  <c r="X265" i="6"/>
  <c r="Y265" i="6"/>
  <c r="W266" i="6"/>
  <c r="X266" i="6"/>
  <c r="Y266" i="6"/>
  <c r="W267" i="6"/>
  <c r="X267" i="6"/>
  <c r="Y267" i="6"/>
  <c r="W268" i="6"/>
  <c r="X268" i="6"/>
  <c r="Y268" i="6"/>
  <c r="W269" i="6"/>
  <c r="X269" i="6"/>
  <c r="Y269" i="6"/>
  <c r="W270" i="6"/>
  <c r="X270" i="6"/>
  <c r="Y270" i="6"/>
  <c r="W271" i="6"/>
  <c r="X271" i="6"/>
  <c r="Y271" i="6"/>
  <c r="W272" i="6"/>
  <c r="X272" i="6"/>
  <c r="Y272" i="6"/>
  <c r="W273" i="6"/>
  <c r="X273" i="6"/>
  <c r="Y273" i="6"/>
  <c r="W274" i="6"/>
  <c r="X274" i="6"/>
  <c r="Y274" i="6"/>
  <c r="W275" i="6"/>
  <c r="X275" i="6"/>
  <c r="Y275" i="6"/>
  <c r="W276" i="6"/>
  <c r="X276" i="6"/>
  <c r="Y276" i="6"/>
  <c r="W277" i="6"/>
  <c r="X277" i="6"/>
  <c r="Y277" i="6"/>
  <c r="W278" i="6"/>
  <c r="X278" i="6"/>
  <c r="Y278" i="6"/>
  <c r="W279" i="6"/>
  <c r="X279" i="6"/>
  <c r="Y279" i="6"/>
  <c r="W280" i="6"/>
  <c r="X280" i="6"/>
  <c r="Y280" i="6"/>
  <c r="W281" i="6"/>
  <c r="X281" i="6"/>
  <c r="Y281" i="6"/>
  <c r="W282" i="6"/>
  <c r="X282" i="6"/>
  <c r="Y282" i="6"/>
  <c r="W283" i="6"/>
  <c r="X283" i="6"/>
  <c r="Y283" i="6"/>
  <c r="W284" i="6"/>
  <c r="X284" i="6"/>
  <c r="Y284" i="6"/>
  <c r="W285" i="6"/>
  <c r="X285" i="6"/>
  <c r="Y285" i="6"/>
  <c r="W286" i="6"/>
  <c r="X286" i="6"/>
  <c r="Y286" i="6"/>
  <c r="W287" i="6"/>
  <c r="X287" i="6"/>
  <c r="Y287" i="6"/>
  <c r="W288" i="6"/>
  <c r="X288" i="6"/>
  <c r="Y288" i="6"/>
  <c r="W289" i="6"/>
  <c r="X289" i="6"/>
  <c r="Y289" i="6"/>
  <c r="W290" i="6"/>
  <c r="X290" i="6"/>
  <c r="Y290" i="6"/>
  <c r="W291" i="6"/>
  <c r="X291" i="6"/>
  <c r="Y291" i="6"/>
  <c r="W292" i="6"/>
  <c r="X292" i="6"/>
  <c r="Y292" i="6"/>
  <c r="W293" i="6"/>
  <c r="X293" i="6"/>
  <c r="Y293" i="6"/>
  <c r="W294" i="6"/>
  <c r="X294" i="6"/>
  <c r="Y294" i="6"/>
  <c r="W295" i="6"/>
  <c r="X295" i="6"/>
  <c r="Y295" i="6"/>
  <c r="W296" i="6"/>
  <c r="X296" i="6"/>
  <c r="Y296" i="6"/>
  <c r="W297" i="6"/>
  <c r="X297" i="6"/>
  <c r="Y297" i="6"/>
  <c r="W298" i="6"/>
  <c r="X298" i="6"/>
  <c r="Y298" i="6"/>
  <c r="W299" i="6"/>
  <c r="X299" i="6"/>
  <c r="Y299" i="6"/>
  <c r="W300" i="6"/>
  <c r="X300" i="6"/>
  <c r="Y300" i="6"/>
  <c r="W301" i="6"/>
  <c r="X301" i="6"/>
  <c r="Y301" i="6"/>
  <c r="W302" i="6"/>
  <c r="X302" i="6"/>
  <c r="Y302" i="6"/>
  <c r="W303" i="6"/>
  <c r="X303" i="6"/>
  <c r="Y303" i="6"/>
  <c r="W304" i="6"/>
  <c r="X304" i="6"/>
  <c r="Y304" i="6"/>
  <c r="W305" i="6"/>
  <c r="X305" i="6"/>
  <c r="Y305" i="6"/>
  <c r="W306" i="6"/>
  <c r="X306" i="6"/>
  <c r="Y306" i="6"/>
  <c r="W307" i="6"/>
  <c r="X307" i="6"/>
  <c r="Y307" i="6"/>
  <c r="W308" i="6"/>
  <c r="X308" i="6"/>
  <c r="Y308" i="6"/>
  <c r="W309" i="6"/>
  <c r="X309" i="6"/>
  <c r="Y309" i="6"/>
  <c r="W310" i="6"/>
  <c r="X310" i="6"/>
  <c r="Y310" i="6"/>
  <c r="W311" i="6"/>
  <c r="X311" i="6"/>
  <c r="Y311" i="6"/>
  <c r="W312" i="6"/>
  <c r="X312" i="6"/>
  <c r="Y312" i="6"/>
  <c r="W313" i="6"/>
  <c r="X313" i="6"/>
  <c r="Y313" i="6"/>
  <c r="W314" i="6"/>
  <c r="X314" i="6"/>
  <c r="Y314" i="6"/>
  <c r="W315" i="6"/>
  <c r="X315" i="6"/>
  <c r="Y315" i="6"/>
  <c r="W316" i="6"/>
  <c r="X316" i="6"/>
  <c r="Y316" i="6"/>
  <c r="W317" i="6"/>
  <c r="X317" i="6"/>
  <c r="Y317" i="6"/>
  <c r="W318" i="6"/>
  <c r="X318" i="6"/>
  <c r="Y318" i="6"/>
  <c r="W319" i="6"/>
  <c r="X319" i="6"/>
  <c r="Y319" i="6"/>
  <c r="W320" i="6"/>
  <c r="X320" i="6"/>
  <c r="Y320" i="6"/>
  <c r="W321" i="6"/>
  <c r="X321" i="6"/>
  <c r="Y321" i="6"/>
  <c r="W322" i="6"/>
  <c r="X322" i="6"/>
  <c r="Y322" i="6"/>
  <c r="W323" i="6"/>
  <c r="X323" i="6"/>
  <c r="Y323" i="6"/>
  <c r="W324" i="6"/>
  <c r="X324" i="6"/>
  <c r="Y324" i="6"/>
  <c r="W325" i="6"/>
  <c r="X325" i="6"/>
  <c r="Y325" i="6"/>
  <c r="W326" i="6"/>
  <c r="X326" i="6"/>
  <c r="Y326" i="6"/>
  <c r="W327" i="6"/>
  <c r="X327" i="6"/>
  <c r="Y327" i="6"/>
  <c r="W328" i="6"/>
  <c r="X328" i="6"/>
  <c r="Y328" i="6"/>
  <c r="W329" i="6"/>
  <c r="X329" i="6"/>
  <c r="Y329" i="6"/>
  <c r="W330" i="6"/>
  <c r="X330" i="6"/>
  <c r="Y330" i="6"/>
  <c r="W331" i="6"/>
  <c r="X331" i="6"/>
  <c r="Y331" i="6"/>
  <c r="W332" i="6"/>
  <c r="X332" i="6"/>
  <c r="Y332" i="6"/>
  <c r="W333" i="6"/>
  <c r="X333" i="6"/>
  <c r="Y333" i="6"/>
  <c r="W334" i="6"/>
  <c r="X334" i="6"/>
  <c r="Y334" i="6"/>
  <c r="W335" i="6"/>
  <c r="X335" i="6"/>
  <c r="Y335" i="6"/>
  <c r="W336" i="6"/>
  <c r="X336" i="6"/>
  <c r="Y336" i="6"/>
  <c r="W337" i="6"/>
  <c r="X337" i="6"/>
  <c r="Y337" i="6"/>
  <c r="W338" i="6"/>
  <c r="X338" i="6"/>
  <c r="Y338" i="6"/>
  <c r="W339" i="6"/>
  <c r="X339" i="6"/>
  <c r="Y339" i="6"/>
  <c r="W340" i="6"/>
  <c r="X340" i="6"/>
  <c r="Y340" i="6"/>
  <c r="W341" i="6"/>
  <c r="X341" i="6"/>
  <c r="Y341" i="6"/>
  <c r="W342" i="6"/>
  <c r="X342" i="6"/>
  <c r="Y342" i="6"/>
  <c r="W343" i="6"/>
  <c r="X343" i="6"/>
  <c r="Y343" i="6"/>
  <c r="W344" i="6"/>
  <c r="X344" i="6"/>
  <c r="Y344" i="6"/>
  <c r="W345" i="6"/>
  <c r="X345" i="6"/>
  <c r="Y345" i="6"/>
  <c r="W346" i="6"/>
  <c r="X346" i="6"/>
  <c r="Y346" i="6"/>
  <c r="W347" i="6"/>
  <c r="X347" i="6"/>
  <c r="Y347" i="6"/>
  <c r="W348" i="6"/>
  <c r="X348" i="6"/>
  <c r="Y348" i="6"/>
  <c r="W349" i="6"/>
  <c r="X349" i="6"/>
  <c r="Y349" i="6"/>
  <c r="W350" i="6"/>
  <c r="X350" i="6"/>
  <c r="Y350" i="6"/>
  <c r="W351" i="6"/>
  <c r="X351" i="6"/>
  <c r="Y351" i="6"/>
  <c r="W352" i="6"/>
  <c r="X352" i="6"/>
  <c r="Y352" i="6"/>
  <c r="W353" i="6"/>
  <c r="X353" i="6"/>
  <c r="Y353" i="6"/>
  <c r="W354" i="6"/>
  <c r="X354" i="6"/>
  <c r="Y354" i="6"/>
  <c r="W355" i="6"/>
  <c r="X355" i="6"/>
  <c r="Y355" i="6"/>
  <c r="W356" i="6"/>
  <c r="X356" i="6"/>
  <c r="Y356" i="6"/>
  <c r="W357" i="6"/>
  <c r="X357" i="6"/>
  <c r="Y357" i="6"/>
  <c r="W358" i="6"/>
  <c r="X358" i="6"/>
  <c r="Y358" i="6"/>
  <c r="W359" i="6"/>
  <c r="X359" i="6"/>
  <c r="Y359" i="6"/>
  <c r="W360" i="6"/>
  <c r="X360" i="6"/>
  <c r="Y360" i="6"/>
  <c r="W361" i="6"/>
  <c r="X361" i="6"/>
  <c r="Y361" i="6"/>
  <c r="W362" i="6"/>
  <c r="X362" i="6"/>
  <c r="Y362" i="6"/>
  <c r="W363" i="6"/>
  <c r="X363" i="6"/>
  <c r="Y363" i="6"/>
  <c r="W364" i="6"/>
  <c r="X364" i="6"/>
  <c r="Y364" i="6"/>
  <c r="W365" i="6"/>
  <c r="X365" i="6"/>
  <c r="Y365" i="6"/>
  <c r="W366" i="6"/>
  <c r="X366" i="6"/>
  <c r="Y366" i="6"/>
  <c r="W367" i="6"/>
  <c r="X367" i="6"/>
  <c r="Y367" i="6"/>
  <c r="W368" i="6"/>
  <c r="X368" i="6"/>
  <c r="Y368" i="6"/>
  <c r="W369" i="6"/>
  <c r="X369" i="6"/>
  <c r="Y369" i="6"/>
  <c r="W370" i="6"/>
  <c r="X370" i="6"/>
  <c r="Y370" i="6"/>
  <c r="W371" i="6"/>
  <c r="X371" i="6"/>
  <c r="Y371" i="6"/>
  <c r="W372" i="6"/>
  <c r="X372" i="6"/>
  <c r="Y372" i="6"/>
  <c r="W373" i="6"/>
  <c r="X373" i="6"/>
  <c r="Y373" i="6"/>
  <c r="W374" i="6"/>
  <c r="X374" i="6"/>
  <c r="Y374" i="6"/>
  <c r="W375" i="6"/>
  <c r="X375" i="6"/>
  <c r="Y375" i="6"/>
  <c r="W376" i="6"/>
  <c r="X376" i="6"/>
  <c r="Y376" i="6"/>
  <c r="W377" i="6"/>
  <c r="X377" i="6"/>
  <c r="Y377" i="6"/>
  <c r="W378" i="6"/>
  <c r="X378" i="6"/>
  <c r="Y378" i="6"/>
  <c r="W379" i="6"/>
  <c r="X379" i="6"/>
  <c r="Y379" i="6"/>
  <c r="W380" i="6"/>
  <c r="X380" i="6"/>
  <c r="Y380" i="6"/>
  <c r="W381" i="6"/>
  <c r="X381" i="6"/>
  <c r="Y381" i="6"/>
  <c r="W382" i="6"/>
  <c r="X382" i="6"/>
  <c r="Y382" i="6"/>
  <c r="W383" i="6"/>
  <c r="X383" i="6"/>
  <c r="Y383" i="6"/>
  <c r="W384" i="6"/>
  <c r="X384" i="6"/>
  <c r="Y384" i="6"/>
  <c r="W385" i="6"/>
  <c r="X385" i="6"/>
  <c r="Y385" i="6"/>
  <c r="W386" i="6"/>
  <c r="X386" i="6"/>
  <c r="Y386" i="6"/>
  <c r="W387" i="6"/>
  <c r="X387" i="6"/>
  <c r="Y387" i="6"/>
  <c r="W388" i="6"/>
  <c r="X388" i="6"/>
  <c r="Y388" i="6"/>
  <c r="W389" i="6"/>
  <c r="X389" i="6"/>
  <c r="Y389" i="6"/>
  <c r="W390" i="6"/>
  <c r="X390" i="6"/>
  <c r="Y390" i="6"/>
  <c r="W391" i="6"/>
  <c r="X391" i="6"/>
  <c r="Y391" i="6"/>
  <c r="W392" i="6"/>
  <c r="X392" i="6"/>
  <c r="Y392" i="6"/>
  <c r="W393" i="6"/>
  <c r="X393" i="6"/>
  <c r="Y393" i="6"/>
  <c r="W394" i="6"/>
  <c r="X394" i="6"/>
  <c r="Y394" i="6"/>
  <c r="W395" i="6"/>
  <c r="X395" i="6"/>
  <c r="Y395" i="6"/>
  <c r="W396" i="6"/>
  <c r="X396" i="6"/>
  <c r="Y396" i="6"/>
  <c r="W397" i="6"/>
  <c r="X397" i="6"/>
  <c r="Y397" i="6"/>
  <c r="W398" i="6"/>
  <c r="X398" i="6"/>
  <c r="Y398" i="6"/>
  <c r="W399" i="6"/>
  <c r="X399" i="6"/>
  <c r="Y399" i="6"/>
  <c r="W400" i="6"/>
  <c r="X400" i="6"/>
  <c r="Y400" i="6"/>
  <c r="W401" i="6"/>
  <c r="X401" i="6"/>
  <c r="Y401" i="6"/>
  <c r="W402" i="6"/>
  <c r="X402" i="6"/>
  <c r="Y402" i="6"/>
  <c r="W403" i="6"/>
  <c r="X403" i="6"/>
  <c r="Y403" i="6"/>
  <c r="W404" i="6"/>
  <c r="X404" i="6"/>
  <c r="Y404" i="6"/>
  <c r="W405" i="6"/>
  <c r="X405" i="6"/>
  <c r="Y405" i="6"/>
  <c r="W406" i="6"/>
  <c r="X406" i="6"/>
  <c r="Y406" i="6"/>
  <c r="W407" i="6"/>
  <c r="X407" i="6"/>
  <c r="Y407" i="6"/>
  <c r="W408" i="6"/>
  <c r="X408" i="6"/>
  <c r="Y408" i="6"/>
  <c r="W409" i="6"/>
  <c r="X409" i="6"/>
  <c r="Y409" i="6"/>
  <c r="W410" i="6"/>
  <c r="X410" i="6"/>
  <c r="Y410" i="6"/>
  <c r="W411" i="6"/>
  <c r="X411" i="6"/>
  <c r="Y411" i="6"/>
  <c r="W412" i="6"/>
  <c r="X412" i="6"/>
  <c r="Y412" i="6"/>
  <c r="W413" i="6"/>
  <c r="X413" i="6"/>
  <c r="Y413" i="6"/>
  <c r="W414" i="6"/>
  <c r="X414" i="6"/>
  <c r="Y414" i="6"/>
  <c r="W415" i="6"/>
  <c r="X415" i="6"/>
  <c r="Y415" i="6"/>
  <c r="W416" i="6"/>
  <c r="X416" i="6"/>
  <c r="Y416" i="6"/>
  <c r="W417" i="6"/>
  <c r="X417" i="6"/>
  <c r="Y417" i="6"/>
  <c r="W418" i="6"/>
  <c r="X418" i="6"/>
  <c r="Y418" i="6"/>
  <c r="W419" i="6"/>
  <c r="X419" i="6"/>
  <c r="Y419" i="6"/>
  <c r="W420" i="6"/>
  <c r="X420" i="6"/>
  <c r="Y420" i="6"/>
  <c r="W421" i="6"/>
  <c r="X421" i="6"/>
  <c r="Y421" i="6"/>
  <c r="W422" i="6"/>
  <c r="X422" i="6"/>
  <c r="Y422" i="6"/>
  <c r="W423" i="6"/>
  <c r="X423" i="6"/>
  <c r="Y423" i="6"/>
  <c r="W424" i="6"/>
  <c r="X424" i="6"/>
  <c r="Y424" i="6"/>
  <c r="W425" i="6"/>
  <c r="X425" i="6"/>
  <c r="Y425" i="6"/>
  <c r="W426" i="6"/>
  <c r="X426" i="6"/>
  <c r="Y426" i="6"/>
  <c r="W427" i="6"/>
  <c r="X427" i="6"/>
  <c r="Y427" i="6"/>
  <c r="W428" i="6"/>
  <c r="X428" i="6"/>
  <c r="Y428" i="6"/>
  <c r="W429" i="6"/>
  <c r="X429" i="6"/>
  <c r="Y429" i="6"/>
  <c r="W430" i="6"/>
  <c r="X430" i="6"/>
  <c r="Y430" i="6"/>
  <c r="W431" i="6"/>
  <c r="X431" i="6"/>
  <c r="Y431" i="6"/>
  <c r="W432" i="6"/>
  <c r="X432" i="6"/>
  <c r="Y432" i="6"/>
  <c r="W433" i="6"/>
  <c r="X433" i="6"/>
  <c r="Y433" i="6"/>
  <c r="W434" i="6"/>
  <c r="X434" i="6"/>
  <c r="Y434" i="6"/>
  <c r="W435" i="6"/>
  <c r="X435" i="6"/>
  <c r="Y435" i="6"/>
  <c r="W436" i="6"/>
  <c r="X436" i="6"/>
  <c r="Y436" i="6"/>
  <c r="W437" i="6"/>
  <c r="X437" i="6"/>
  <c r="Y437" i="6"/>
  <c r="W438" i="6"/>
  <c r="X438" i="6"/>
  <c r="Y438" i="6"/>
  <c r="W439" i="6"/>
  <c r="X439" i="6"/>
  <c r="Y439" i="6"/>
  <c r="W440" i="6"/>
  <c r="X440" i="6"/>
  <c r="Y440" i="6"/>
  <c r="W441" i="6"/>
  <c r="X441" i="6"/>
  <c r="Y441" i="6"/>
  <c r="W442" i="6"/>
  <c r="X442" i="6"/>
  <c r="Y442" i="6"/>
  <c r="W443" i="6"/>
  <c r="X443" i="6"/>
  <c r="Y443" i="6"/>
  <c r="W444" i="6"/>
  <c r="X444" i="6"/>
  <c r="Y444" i="6"/>
  <c r="W445" i="6"/>
  <c r="X445" i="6"/>
  <c r="Y445" i="6"/>
  <c r="W446" i="6"/>
  <c r="X446" i="6"/>
  <c r="Y446" i="6"/>
  <c r="W447" i="6"/>
  <c r="X447" i="6"/>
  <c r="Y447" i="6"/>
  <c r="W448" i="6"/>
  <c r="X448" i="6"/>
  <c r="Y448" i="6"/>
  <c r="W449" i="6"/>
  <c r="X449" i="6"/>
  <c r="Y449" i="6"/>
  <c r="W450" i="6"/>
  <c r="X450" i="6"/>
  <c r="Y450" i="6"/>
  <c r="W451" i="6"/>
  <c r="X451" i="6"/>
  <c r="Y451" i="6"/>
  <c r="W452" i="6"/>
  <c r="X452" i="6"/>
  <c r="Y452" i="6"/>
  <c r="W453" i="6"/>
  <c r="X453" i="6"/>
  <c r="Y453" i="6"/>
  <c r="W454" i="6"/>
  <c r="X454" i="6"/>
  <c r="Y454" i="6"/>
  <c r="W455" i="6"/>
  <c r="X455" i="6"/>
  <c r="Y455" i="6"/>
  <c r="W456" i="6"/>
  <c r="X456" i="6"/>
  <c r="Y456" i="6"/>
  <c r="W457" i="6"/>
  <c r="X457" i="6"/>
  <c r="Y457" i="6"/>
  <c r="W458" i="6"/>
  <c r="X458" i="6"/>
  <c r="Y458" i="6"/>
  <c r="W459" i="6"/>
  <c r="X459" i="6"/>
  <c r="Y459" i="6"/>
  <c r="W460" i="6"/>
  <c r="X460" i="6"/>
  <c r="Y460" i="6"/>
  <c r="W461" i="6"/>
  <c r="X461" i="6"/>
  <c r="Y461" i="6"/>
  <c r="W462" i="6"/>
  <c r="X462" i="6"/>
  <c r="Y462" i="6"/>
  <c r="W463" i="6"/>
  <c r="X463" i="6"/>
  <c r="Y463" i="6"/>
  <c r="W464" i="6"/>
  <c r="X464" i="6"/>
  <c r="Y464" i="6"/>
  <c r="W465" i="6"/>
  <c r="X465" i="6"/>
  <c r="Y465" i="6"/>
  <c r="W466" i="6"/>
  <c r="X466" i="6"/>
  <c r="Y466" i="6"/>
  <c r="W467" i="6"/>
  <c r="X467" i="6"/>
  <c r="Y467" i="6"/>
  <c r="W468" i="6"/>
  <c r="X468" i="6"/>
  <c r="Y468" i="6"/>
  <c r="W469" i="6"/>
  <c r="X469" i="6"/>
  <c r="Y469" i="6"/>
  <c r="W470" i="6"/>
  <c r="X470" i="6"/>
  <c r="Y470" i="6"/>
  <c r="W471" i="6"/>
  <c r="X471" i="6"/>
  <c r="Y471" i="6"/>
  <c r="W472" i="6"/>
  <c r="X472" i="6"/>
  <c r="Y472" i="6"/>
  <c r="W473" i="6"/>
  <c r="X473" i="6"/>
  <c r="Y473" i="6"/>
  <c r="W474" i="6"/>
  <c r="X474" i="6"/>
  <c r="Y474" i="6"/>
  <c r="W475" i="6"/>
  <c r="X475" i="6"/>
  <c r="Y475" i="6"/>
  <c r="W476" i="6"/>
  <c r="X476" i="6"/>
  <c r="Y476" i="6"/>
  <c r="W477" i="6"/>
  <c r="X477" i="6"/>
  <c r="Y477" i="6"/>
  <c r="W478" i="6"/>
  <c r="X478" i="6"/>
  <c r="Y478" i="6"/>
  <c r="W479" i="6"/>
  <c r="X479" i="6"/>
  <c r="Y479" i="6"/>
  <c r="W480" i="6"/>
  <c r="X480" i="6"/>
  <c r="Y480" i="6"/>
  <c r="W481" i="6"/>
  <c r="X481" i="6"/>
  <c r="Y481" i="6"/>
  <c r="W482" i="6"/>
  <c r="X482" i="6"/>
  <c r="Y482" i="6"/>
  <c r="W483" i="6"/>
  <c r="X483" i="6"/>
  <c r="Y483" i="6"/>
  <c r="W484" i="6"/>
  <c r="X484" i="6"/>
  <c r="Y484" i="6"/>
  <c r="W485" i="6"/>
  <c r="X485" i="6"/>
  <c r="Y485" i="6"/>
  <c r="W486" i="6"/>
  <c r="X486" i="6"/>
  <c r="Y486" i="6"/>
  <c r="W487" i="6"/>
  <c r="X487" i="6"/>
  <c r="Y487" i="6"/>
  <c r="W488" i="6"/>
  <c r="X488" i="6"/>
  <c r="Y488" i="6"/>
  <c r="W489" i="6"/>
  <c r="X489" i="6"/>
  <c r="Y489" i="6"/>
  <c r="W490" i="6"/>
  <c r="X490" i="6"/>
  <c r="Y490" i="6"/>
  <c r="W491" i="6"/>
  <c r="X491" i="6"/>
  <c r="Y491" i="6"/>
  <c r="W492" i="6"/>
  <c r="X492" i="6"/>
  <c r="Y492" i="6"/>
  <c r="W493" i="6"/>
  <c r="X493" i="6"/>
  <c r="Y493" i="6"/>
  <c r="W494" i="6"/>
  <c r="X494" i="6"/>
  <c r="Y494" i="6"/>
  <c r="W495" i="6"/>
  <c r="X495" i="6"/>
  <c r="Y495" i="6"/>
  <c r="W496" i="6"/>
  <c r="X496" i="6"/>
  <c r="Y496" i="6"/>
  <c r="W497" i="6"/>
  <c r="X497" i="6"/>
  <c r="Y497" i="6"/>
  <c r="W498" i="6"/>
  <c r="X498" i="6"/>
  <c r="Y498" i="6"/>
  <c r="W499" i="6"/>
  <c r="X499" i="6"/>
  <c r="Y499" i="6"/>
  <c r="W500" i="6"/>
  <c r="X500" i="6"/>
  <c r="Y500" i="6"/>
  <c r="W501" i="6"/>
  <c r="X501" i="6"/>
  <c r="Y501" i="6"/>
  <c r="W502" i="6"/>
  <c r="X502" i="6"/>
  <c r="Y502" i="6"/>
  <c r="W503" i="6"/>
  <c r="X503" i="6"/>
  <c r="Y503" i="6"/>
  <c r="W504" i="6"/>
  <c r="X504" i="6"/>
  <c r="Y504" i="6"/>
  <c r="W505" i="6"/>
  <c r="X505" i="6"/>
  <c r="Y505" i="6"/>
  <c r="W506" i="6"/>
  <c r="X506" i="6"/>
  <c r="Y506" i="6"/>
  <c r="W507" i="6"/>
  <c r="X507" i="6"/>
  <c r="Y507" i="6"/>
  <c r="W508" i="6"/>
  <c r="X508" i="6"/>
  <c r="Y508" i="6"/>
  <c r="W509" i="6"/>
  <c r="X509" i="6"/>
  <c r="Y509" i="6"/>
  <c r="W510" i="6"/>
  <c r="X510" i="6"/>
  <c r="Y510" i="6"/>
  <c r="W511" i="6"/>
  <c r="X511" i="6"/>
  <c r="Y511" i="6"/>
  <c r="W512" i="6"/>
  <c r="X512" i="6"/>
  <c r="Y512" i="6"/>
  <c r="W513" i="6"/>
  <c r="X513" i="6"/>
  <c r="Y513" i="6"/>
  <c r="W514" i="6"/>
  <c r="X514" i="6"/>
  <c r="Y514" i="6"/>
  <c r="W515" i="6"/>
  <c r="X515" i="6"/>
  <c r="Y515" i="6"/>
  <c r="W516" i="6"/>
  <c r="X516" i="6"/>
  <c r="Y516" i="6"/>
  <c r="W517" i="6"/>
  <c r="X517" i="6"/>
  <c r="Y517" i="6"/>
  <c r="W518" i="6"/>
  <c r="X518" i="6"/>
  <c r="Y518" i="6"/>
  <c r="W519" i="6"/>
  <c r="X519" i="6"/>
  <c r="Y519" i="6"/>
  <c r="W520" i="6"/>
  <c r="X520" i="6"/>
  <c r="Y520" i="6"/>
  <c r="W521" i="6"/>
  <c r="X521" i="6"/>
  <c r="Y521" i="6"/>
  <c r="W522" i="6"/>
  <c r="X522" i="6"/>
  <c r="Y522" i="6"/>
  <c r="W523" i="6"/>
  <c r="X523" i="6"/>
  <c r="Y523" i="6"/>
  <c r="W524" i="6"/>
  <c r="X524" i="6"/>
  <c r="Y524" i="6"/>
  <c r="W525" i="6"/>
  <c r="X525" i="6"/>
  <c r="Y525" i="6"/>
  <c r="W526" i="6"/>
  <c r="X526" i="6"/>
  <c r="Y526" i="6"/>
  <c r="W527" i="6"/>
  <c r="X527" i="6"/>
  <c r="Y527" i="6"/>
  <c r="W528" i="6"/>
  <c r="X528" i="6"/>
  <c r="Y528" i="6"/>
  <c r="W529" i="6"/>
  <c r="X529" i="6"/>
  <c r="Y529" i="6"/>
  <c r="W530" i="6"/>
  <c r="X530" i="6"/>
  <c r="Y530" i="6"/>
  <c r="W531" i="6"/>
  <c r="X531" i="6"/>
  <c r="Y531" i="6"/>
  <c r="W532" i="6"/>
  <c r="X532" i="6"/>
  <c r="Y532" i="6"/>
  <c r="W533" i="6"/>
  <c r="X533" i="6"/>
  <c r="Y533" i="6"/>
  <c r="W534" i="6"/>
  <c r="X534" i="6"/>
  <c r="Y534" i="6"/>
  <c r="W535" i="6"/>
  <c r="X535" i="6"/>
  <c r="Y535" i="6"/>
  <c r="W536" i="6"/>
  <c r="X536" i="6"/>
  <c r="Y536" i="6"/>
  <c r="W537" i="6"/>
  <c r="X537" i="6"/>
  <c r="Y537" i="6"/>
  <c r="W538" i="6"/>
  <c r="X538" i="6"/>
  <c r="Y538" i="6"/>
  <c r="W539" i="6"/>
  <c r="X539" i="6"/>
  <c r="Y539" i="6"/>
  <c r="W540" i="6"/>
  <c r="X540" i="6"/>
  <c r="Y540" i="6"/>
  <c r="W541" i="6"/>
  <c r="X541" i="6"/>
  <c r="Y541" i="6"/>
  <c r="W542" i="6"/>
  <c r="X542" i="6"/>
  <c r="Y542" i="6"/>
  <c r="W543" i="6"/>
  <c r="X543" i="6"/>
  <c r="Y543" i="6"/>
  <c r="W544" i="6"/>
  <c r="X544" i="6"/>
  <c r="Y544" i="6"/>
  <c r="W545" i="6"/>
  <c r="X545" i="6"/>
  <c r="Y545" i="6"/>
  <c r="W546" i="6"/>
  <c r="X546" i="6"/>
  <c r="Y546" i="6"/>
  <c r="W547" i="6"/>
  <c r="X547" i="6"/>
  <c r="Y547" i="6"/>
  <c r="W548" i="6"/>
  <c r="X548" i="6"/>
  <c r="Y548" i="6"/>
  <c r="W549" i="6"/>
  <c r="X549" i="6"/>
  <c r="Y549" i="6"/>
  <c r="W550" i="6"/>
  <c r="X550" i="6"/>
  <c r="Y550" i="6"/>
  <c r="W551" i="6"/>
  <c r="X551" i="6"/>
  <c r="Y551" i="6"/>
  <c r="W552" i="6"/>
  <c r="X552" i="6"/>
  <c r="Y552" i="6"/>
  <c r="W553" i="6"/>
  <c r="X553" i="6"/>
  <c r="Y553" i="6"/>
  <c r="W554" i="6"/>
  <c r="X554" i="6"/>
  <c r="Y554" i="6"/>
  <c r="W555" i="6"/>
  <c r="X555" i="6"/>
  <c r="Y555" i="6"/>
  <c r="W556" i="6"/>
  <c r="X556" i="6"/>
  <c r="Y556" i="6"/>
  <c r="W557" i="6"/>
  <c r="X557" i="6"/>
  <c r="Y557" i="6"/>
  <c r="W558" i="6"/>
  <c r="X558" i="6"/>
  <c r="Y558" i="6"/>
  <c r="W559" i="6"/>
  <c r="X559" i="6"/>
  <c r="Y559" i="6"/>
  <c r="W560" i="6"/>
  <c r="X560" i="6"/>
  <c r="Y560" i="6"/>
  <c r="W561" i="6"/>
  <c r="X561" i="6"/>
  <c r="Y561" i="6"/>
  <c r="W562" i="6"/>
  <c r="X562" i="6"/>
  <c r="Y562" i="6"/>
  <c r="W563" i="6"/>
  <c r="X563" i="6"/>
  <c r="Y563" i="6"/>
  <c r="W564" i="6"/>
  <c r="X564" i="6"/>
  <c r="Y564" i="6"/>
  <c r="W565" i="6"/>
  <c r="X565" i="6"/>
  <c r="Y565" i="6"/>
  <c r="W566" i="6"/>
  <c r="X566" i="6"/>
  <c r="Y566" i="6"/>
  <c r="W567" i="6"/>
  <c r="X567" i="6"/>
  <c r="Y567" i="6"/>
  <c r="W568" i="6"/>
  <c r="X568" i="6"/>
  <c r="Y568" i="6"/>
  <c r="W569" i="6"/>
  <c r="X569" i="6"/>
  <c r="Y569" i="6"/>
  <c r="W570" i="6"/>
  <c r="X570" i="6"/>
  <c r="Y570" i="6"/>
  <c r="W571" i="6"/>
  <c r="X571" i="6"/>
  <c r="Y571" i="6"/>
  <c r="W572" i="6"/>
  <c r="X572" i="6"/>
  <c r="Y572" i="6"/>
  <c r="W573" i="6"/>
  <c r="X573" i="6"/>
  <c r="Y573" i="6"/>
  <c r="W574" i="6"/>
  <c r="X574" i="6"/>
  <c r="Y574" i="6"/>
  <c r="W575" i="6"/>
  <c r="X575" i="6"/>
  <c r="Y575" i="6"/>
  <c r="W576" i="6"/>
  <c r="X576" i="6"/>
  <c r="Y576" i="6"/>
  <c r="W577" i="6"/>
  <c r="X577" i="6"/>
  <c r="Y577" i="6"/>
  <c r="W578" i="6"/>
  <c r="X578" i="6"/>
  <c r="Y578" i="6"/>
  <c r="W579" i="6"/>
  <c r="X579" i="6"/>
  <c r="Y579" i="6"/>
  <c r="W580" i="6"/>
  <c r="X580" i="6"/>
  <c r="Y580" i="6"/>
  <c r="W581" i="6"/>
  <c r="X581" i="6"/>
  <c r="Y581" i="6"/>
  <c r="W582" i="6"/>
  <c r="X582" i="6"/>
  <c r="Y582" i="6"/>
  <c r="W583" i="6"/>
  <c r="X583" i="6"/>
  <c r="Y583" i="6"/>
  <c r="W584" i="6"/>
  <c r="X584" i="6"/>
  <c r="Y584" i="6"/>
  <c r="W585" i="6"/>
  <c r="X585" i="6"/>
  <c r="Y585" i="6"/>
  <c r="W586" i="6"/>
  <c r="X586" i="6"/>
  <c r="Y586" i="6"/>
  <c r="W587" i="6"/>
  <c r="X587" i="6"/>
  <c r="Y587" i="6"/>
  <c r="W588" i="6"/>
  <c r="X588" i="6"/>
  <c r="Y588" i="6"/>
  <c r="W589" i="6"/>
  <c r="X589" i="6"/>
  <c r="Y589" i="6"/>
  <c r="W590" i="6"/>
  <c r="X590" i="6"/>
  <c r="Y590" i="6"/>
  <c r="W591" i="6"/>
  <c r="X591" i="6"/>
  <c r="Y591" i="6"/>
  <c r="W592" i="6"/>
  <c r="X592" i="6"/>
  <c r="Y592" i="6"/>
  <c r="W593" i="6"/>
  <c r="X593" i="6"/>
  <c r="Y593" i="6"/>
  <c r="W594" i="6"/>
  <c r="X594" i="6"/>
  <c r="Y594" i="6"/>
  <c r="W595" i="6"/>
  <c r="X595" i="6"/>
  <c r="Y595" i="6"/>
  <c r="W596" i="6"/>
  <c r="X596" i="6"/>
  <c r="Y596" i="6"/>
  <c r="W597" i="6"/>
  <c r="X597" i="6"/>
  <c r="Y597" i="6"/>
  <c r="W598" i="6"/>
  <c r="X598" i="6"/>
  <c r="Y598" i="6"/>
  <c r="W599" i="6"/>
  <c r="X599" i="6"/>
  <c r="Y599" i="6"/>
  <c r="W600" i="6"/>
  <c r="X600" i="6"/>
  <c r="Y600" i="6"/>
  <c r="W601" i="6"/>
  <c r="X601" i="6"/>
  <c r="Y601" i="6"/>
  <c r="W602" i="6"/>
  <c r="X602" i="6"/>
  <c r="Y602" i="6"/>
  <c r="W603" i="6"/>
  <c r="X603" i="6"/>
  <c r="Y603" i="6"/>
  <c r="W604" i="6"/>
  <c r="X604" i="6"/>
  <c r="Y604" i="6"/>
  <c r="W605" i="6"/>
  <c r="X605" i="6"/>
  <c r="Y605" i="6"/>
  <c r="W606" i="6"/>
  <c r="X606" i="6"/>
  <c r="Y606" i="6"/>
  <c r="W607" i="6"/>
  <c r="X607" i="6"/>
  <c r="Y607" i="6"/>
  <c r="W608" i="6"/>
  <c r="X608" i="6"/>
  <c r="Y608" i="6"/>
  <c r="W609" i="6"/>
  <c r="X609" i="6"/>
  <c r="Y609" i="6"/>
  <c r="W610" i="6"/>
  <c r="X610" i="6"/>
  <c r="Y610" i="6"/>
  <c r="W611" i="6"/>
  <c r="X611" i="6"/>
  <c r="Y611" i="6"/>
  <c r="W612" i="6"/>
  <c r="X612" i="6"/>
  <c r="Y612" i="6"/>
  <c r="W613" i="6"/>
  <c r="X613" i="6"/>
  <c r="Y613" i="6"/>
  <c r="W614" i="6"/>
  <c r="X614" i="6"/>
  <c r="Y614" i="6"/>
  <c r="W615" i="6"/>
  <c r="X615" i="6"/>
  <c r="Y615" i="6"/>
  <c r="W616" i="6"/>
  <c r="X616" i="6"/>
  <c r="Y616" i="6"/>
  <c r="W617" i="6"/>
  <c r="X617" i="6"/>
  <c r="Y617" i="6"/>
  <c r="W618" i="6"/>
  <c r="X618" i="6"/>
  <c r="Y618" i="6"/>
  <c r="W619" i="6"/>
  <c r="X619" i="6"/>
  <c r="Y619" i="6"/>
  <c r="W620" i="6"/>
  <c r="X620" i="6"/>
  <c r="Y620" i="6"/>
  <c r="W621" i="6"/>
  <c r="X621" i="6"/>
  <c r="Y621" i="6"/>
  <c r="W622" i="6"/>
  <c r="X622" i="6"/>
  <c r="Y622" i="6"/>
  <c r="W623" i="6"/>
  <c r="X623" i="6"/>
  <c r="Y623" i="6"/>
  <c r="W624" i="6"/>
  <c r="X624" i="6"/>
  <c r="Y624" i="6"/>
  <c r="W625" i="6"/>
  <c r="X625" i="6"/>
  <c r="Y625" i="6"/>
  <c r="W626" i="6"/>
  <c r="X626" i="6"/>
  <c r="Y626" i="6"/>
  <c r="W627" i="6"/>
  <c r="X627" i="6"/>
  <c r="Y627" i="6"/>
  <c r="W628" i="6"/>
  <c r="X628" i="6"/>
  <c r="Y628" i="6"/>
  <c r="W629" i="6"/>
  <c r="X629" i="6"/>
  <c r="Y629" i="6"/>
  <c r="W630" i="6"/>
  <c r="X630" i="6"/>
  <c r="Y630" i="6"/>
  <c r="W631" i="6"/>
  <c r="X631" i="6"/>
  <c r="Y631" i="6"/>
  <c r="W632" i="6"/>
  <c r="X632" i="6"/>
  <c r="Y632" i="6"/>
  <c r="W633" i="6"/>
  <c r="X633" i="6"/>
  <c r="Y633" i="6"/>
  <c r="W634" i="6"/>
  <c r="X634" i="6"/>
  <c r="Y634" i="6"/>
  <c r="W635" i="6"/>
  <c r="X635" i="6"/>
  <c r="Y635" i="6"/>
  <c r="W636" i="6"/>
  <c r="X636" i="6"/>
  <c r="Y636" i="6"/>
  <c r="W637" i="6"/>
  <c r="X637" i="6"/>
  <c r="Y637" i="6"/>
  <c r="W638" i="6"/>
  <c r="X638" i="6"/>
  <c r="Y638" i="6"/>
  <c r="W639" i="6"/>
  <c r="X639" i="6"/>
  <c r="Y639" i="6"/>
  <c r="W640" i="6"/>
  <c r="X640" i="6"/>
  <c r="Y640" i="6"/>
  <c r="W641" i="6"/>
  <c r="X641" i="6"/>
  <c r="Y641" i="6"/>
  <c r="W642" i="6"/>
  <c r="X642" i="6"/>
  <c r="Y642" i="6"/>
  <c r="W643" i="6"/>
  <c r="X643" i="6"/>
  <c r="Y643" i="6"/>
  <c r="W644" i="6"/>
  <c r="X644" i="6"/>
  <c r="Y644" i="6"/>
  <c r="W645" i="6"/>
  <c r="X645" i="6"/>
  <c r="Y645" i="6"/>
  <c r="W646" i="6"/>
  <c r="X646" i="6"/>
  <c r="Y646" i="6"/>
  <c r="W647" i="6"/>
  <c r="X647" i="6"/>
  <c r="Y647" i="6"/>
  <c r="W648" i="6"/>
  <c r="X648" i="6"/>
  <c r="Y648" i="6"/>
  <c r="W649" i="6"/>
  <c r="X649" i="6"/>
  <c r="Y649" i="6"/>
  <c r="W650" i="6"/>
  <c r="X650" i="6"/>
  <c r="Y650" i="6"/>
  <c r="W651" i="6"/>
  <c r="X651" i="6"/>
  <c r="Y651" i="6"/>
  <c r="W652" i="6"/>
  <c r="X652" i="6"/>
  <c r="Y652" i="6"/>
  <c r="W653" i="6"/>
  <c r="X653" i="6"/>
  <c r="Y653" i="6"/>
  <c r="W654" i="6"/>
  <c r="X654" i="6"/>
  <c r="Y654" i="6"/>
  <c r="W655" i="6"/>
  <c r="X655" i="6"/>
  <c r="Y655" i="6"/>
  <c r="W656" i="6"/>
  <c r="X656" i="6"/>
  <c r="Y656" i="6"/>
  <c r="W657" i="6"/>
  <c r="X657" i="6"/>
  <c r="Y657" i="6"/>
  <c r="W658" i="6"/>
  <c r="X658" i="6"/>
  <c r="Y658" i="6"/>
  <c r="W659" i="6"/>
  <c r="X659" i="6"/>
  <c r="Y659" i="6"/>
  <c r="W660" i="6"/>
  <c r="X660" i="6"/>
  <c r="Y660" i="6"/>
  <c r="W661" i="6"/>
  <c r="X661" i="6"/>
  <c r="Y661" i="6"/>
  <c r="W662" i="6"/>
  <c r="X662" i="6"/>
  <c r="Y662" i="6"/>
  <c r="W663" i="6"/>
  <c r="X663" i="6"/>
  <c r="Y663" i="6"/>
  <c r="W664" i="6"/>
  <c r="X664" i="6"/>
  <c r="Y664" i="6"/>
  <c r="W665" i="6"/>
  <c r="X665" i="6"/>
  <c r="Y665" i="6"/>
  <c r="W666" i="6"/>
  <c r="X666" i="6"/>
  <c r="Y666" i="6"/>
  <c r="W667" i="6"/>
  <c r="X667" i="6"/>
  <c r="Y667" i="6"/>
  <c r="W668" i="6"/>
  <c r="X668" i="6"/>
  <c r="Y668" i="6"/>
  <c r="W669" i="6"/>
  <c r="X669" i="6"/>
  <c r="Y669" i="6"/>
  <c r="W670" i="6"/>
  <c r="X670" i="6"/>
  <c r="Y670" i="6"/>
  <c r="W671" i="6"/>
  <c r="X671" i="6"/>
  <c r="Y671" i="6"/>
  <c r="W672" i="6"/>
  <c r="X672" i="6"/>
  <c r="Y672" i="6"/>
  <c r="W673" i="6"/>
  <c r="X673" i="6"/>
  <c r="Y673" i="6"/>
  <c r="W674" i="6"/>
  <c r="X674" i="6"/>
  <c r="Y674" i="6"/>
  <c r="W675" i="6"/>
  <c r="X675" i="6"/>
  <c r="Y675" i="6"/>
  <c r="W676" i="6"/>
  <c r="X676" i="6"/>
  <c r="Y676" i="6"/>
  <c r="W677" i="6"/>
  <c r="X677" i="6"/>
  <c r="Y677" i="6"/>
  <c r="W678" i="6"/>
  <c r="X678" i="6"/>
  <c r="Y678" i="6"/>
  <c r="W679" i="6"/>
  <c r="X679" i="6"/>
  <c r="Y679" i="6"/>
  <c r="W680" i="6"/>
  <c r="X680" i="6"/>
  <c r="Y680" i="6"/>
  <c r="W681" i="6"/>
  <c r="X681" i="6"/>
  <c r="Y681" i="6"/>
  <c r="W682" i="6"/>
  <c r="X682" i="6"/>
  <c r="Y682" i="6"/>
  <c r="W683" i="6"/>
  <c r="X683" i="6"/>
  <c r="Y683" i="6"/>
  <c r="W684" i="6"/>
  <c r="X684" i="6"/>
  <c r="Y684" i="6"/>
  <c r="W685" i="6"/>
  <c r="X685" i="6"/>
  <c r="Y685" i="6"/>
  <c r="W686" i="6"/>
  <c r="X686" i="6"/>
  <c r="Y686" i="6"/>
  <c r="W687" i="6"/>
  <c r="X687" i="6"/>
  <c r="Y687" i="6"/>
  <c r="W688" i="6"/>
  <c r="X688" i="6"/>
  <c r="Y688" i="6"/>
  <c r="W689" i="6"/>
  <c r="X689" i="6"/>
  <c r="Y689" i="6"/>
  <c r="W690" i="6"/>
  <c r="X690" i="6"/>
  <c r="Y690" i="6"/>
  <c r="W691" i="6"/>
  <c r="X691" i="6"/>
  <c r="Y691" i="6"/>
  <c r="W692" i="6"/>
  <c r="X692" i="6"/>
  <c r="Y692" i="6"/>
  <c r="W693" i="6"/>
  <c r="X693" i="6"/>
  <c r="Y693" i="6"/>
  <c r="W694" i="6"/>
  <c r="X694" i="6"/>
  <c r="Y694" i="6"/>
  <c r="W695" i="6"/>
  <c r="X695" i="6"/>
  <c r="Y695" i="6"/>
  <c r="W696" i="6"/>
  <c r="X696" i="6"/>
  <c r="Y696" i="6"/>
  <c r="W697" i="6"/>
  <c r="X697" i="6"/>
  <c r="Y697" i="6"/>
  <c r="W698" i="6"/>
  <c r="X698" i="6"/>
  <c r="Y698" i="6"/>
  <c r="W699" i="6"/>
  <c r="X699" i="6"/>
  <c r="Y699" i="6"/>
  <c r="W700" i="6"/>
  <c r="X700" i="6"/>
  <c r="Y700" i="6"/>
  <c r="W701" i="6"/>
  <c r="X701" i="6"/>
  <c r="Y701" i="6"/>
  <c r="W702" i="6"/>
  <c r="X702" i="6"/>
  <c r="Y702" i="6"/>
  <c r="W703" i="6"/>
  <c r="X703" i="6"/>
  <c r="Y703" i="6"/>
  <c r="W704" i="6"/>
  <c r="X704" i="6"/>
  <c r="Y704" i="6"/>
  <c r="W705" i="6"/>
  <c r="X705" i="6"/>
  <c r="Y705" i="6"/>
  <c r="W706" i="6"/>
  <c r="X706" i="6"/>
  <c r="Y706" i="6"/>
  <c r="W707" i="6"/>
  <c r="X707" i="6"/>
  <c r="Y707" i="6"/>
  <c r="W708" i="6"/>
  <c r="X708" i="6"/>
  <c r="Y708" i="6"/>
  <c r="W709" i="6"/>
  <c r="X709" i="6"/>
  <c r="Y709" i="6"/>
  <c r="W710" i="6"/>
  <c r="X710" i="6"/>
  <c r="Y710" i="6"/>
  <c r="W711" i="6"/>
  <c r="X711" i="6"/>
  <c r="Y711" i="6"/>
  <c r="W712" i="6"/>
  <c r="X712" i="6"/>
  <c r="Y712" i="6"/>
  <c r="W713" i="6"/>
  <c r="X713" i="6"/>
  <c r="Y713" i="6"/>
  <c r="W714" i="6"/>
  <c r="X714" i="6"/>
  <c r="Y714" i="6"/>
  <c r="W715" i="6"/>
  <c r="X715" i="6"/>
  <c r="Y715" i="6"/>
  <c r="W716" i="6"/>
  <c r="X716" i="6"/>
  <c r="Y716" i="6"/>
  <c r="W717" i="6"/>
  <c r="X717" i="6"/>
  <c r="Y717" i="6"/>
  <c r="W718" i="6"/>
  <c r="X718" i="6"/>
  <c r="Y718" i="6"/>
  <c r="W719" i="6"/>
  <c r="X719" i="6"/>
  <c r="Y719" i="6"/>
  <c r="W720" i="6"/>
  <c r="X720" i="6"/>
  <c r="Y720" i="6"/>
  <c r="W721" i="6"/>
  <c r="X721" i="6"/>
  <c r="Y721" i="6"/>
  <c r="W722" i="6"/>
  <c r="X722" i="6"/>
  <c r="Y722" i="6"/>
  <c r="W723" i="6"/>
  <c r="X723" i="6"/>
  <c r="Y723" i="6"/>
  <c r="W724" i="6"/>
  <c r="X724" i="6"/>
  <c r="Y724" i="6"/>
  <c r="W725" i="6"/>
  <c r="X725" i="6"/>
  <c r="Y725" i="6"/>
  <c r="W726" i="6"/>
  <c r="X726" i="6"/>
  <c r="Y726" i="6"/>
  <c r="W727" i="6"/>
  <c r="X727" i="6"/>
  <c r="Y727" i="6"/>
  <c r="W728" i="6"/>
  <c r="X728" i="6"/>
  <c r="Y728" i="6"/>
  <c r="W729" i="6"/>
  <c r="X729" i="6"/>
  <c r="Y729" i="6"/>
  <c r="W730" i="6"/>
  <c r="X730" i="6"/>
  <c r="Y730" i="6"/>
  <c r="W731" i="6"/>
  <c r="X731" i="6"/>
  <c r="Y731" i="6"/>
  <c r="W732" i="6"/>
  <c r="X732" i="6"/>
  <c r="Y732" i="6"/>
  <c r="W733" i="6"/>
  <c r="X733" i="6"/>
  <c r="Y733" i="6"/>
  <c r="W734" i="6"/>
  <c r="X734" i="6"/>
  <c r="Y734" i="6"/>
  <c r="W735" i="6"/>
  <c r="X735" i="6"/>
  <c r="Y735" i="6"/>
  <c r="W736" i="6"/>
  <c r="X736" i="6"/>
  <c r="Y736" i="6"/>
  <c r="W737" i="6"/>
  <c r="X737" i="6"/>
  <c r="Y737" i="6"/>
  <c r="W738" i="6"/>
  <c r="X738" i="6"/>
  <c r="Y738" i="6"/>
  <c r="W739" i="6"/>
  <c r="X739" i="6"/>
  <c r="Y739" i="6"/>
  <c r="W740" i="6"/>
  <c r="X740" i="6"/>
  <c r="Y740" i="6"/>
  <c r="W741" i="6"/>
  <c r="X741" i="6"/>
  <c r="Y741" i="6"/>
  <c r="W742" i="6"/>
  <c r="X742" i="6"/>
  <c r="Y742" i="6"/>
  <c r="W743" i="6"/>
  <c r="X743" i="6"/>
  <c r="Y743" i="6"/>
  <c r="W744" i="6"/>
  <c r="X744" i="6"/>
  <c r="Y744" i="6"/>
  <c r="W745" i="6"/>
  <c r="X745" i="6"/>
  <c r="Y745" i="6"/>
  <c r="W746" i="6"/>
  <c r="X746" i="6"/>
  <c r="Y746" i="6"/>
  <c r="W747" i="6"/>
  <c r="X747" i="6"/>
  <c r="Y747" i="6"/>
  <c r="W748" i="6"/>
  <c r="X748" i="6"/>
  <c r="Y748" i="6"/>
  <c r="W749" i="6"/>
  <c r="X749" i="6"/>
  <c r="Y749" i="6"/>
  <c r="W750" i="6"/>
  <c r="X750" i="6"/>
  <c r="Y750" i="6"/>
  <c r="W751" i="6"/>
  <c r="X751" i="6"/>
  <c r="Y751" i="6"/>
  <c r="W752" i="6"/>
  <c r="X752" i="6"/>
  <c r="Y752" i="6"/>
  <c r="W753" i="6"/>
  <c r="X753" i="6"/>
  <c r="Y753" i="6"/>
  <c r="W754" i="6"/>
  <c r="X754" i="6"/>
  <c r="Y754" i="6"/>
  <c r="W755" i="6"/>
  <c r="X755" i="6"/>
  <c r="Y755" i="6"/>
  <c r="W756" i="6"/>
  <c r="X756" i="6"/>
  <c r="Y756" i="6"/>
  <c r="W757" i="6"/>
  <c r="X757" i="6"/>
  <c r="Y757" i="6"/>
  <c r="W758" i="6"/>
  <c r="X758" i="6"/>
  <c r="Y758" i="6"/>
  <c r="W759" i="6"/>
  <c r="X759" i="6"/>
  <c r="Y759" i="6"/>
  <c r="W760" i="6"/>
  <c r="X760" i="6"/>
  <c r="Y760" i="6"/>
  <c r="W761" i="6"/>
  <c r="X761" i="6"/>
  <c r="Y761" i="6"/>
  <c r="W762" i="6"/>
  <c r="X762" i="6"/>
  <c r="Y762" i="6"/>
  <c r="W763" i="6"/>
  <c r="X763" i="6"/>
  <c r="Y763" i="6"/>
  <c r="W764" i="6"/>
  <c r="X764" i="6"/>
  <c r="Y764" i="6"/>
  <c r="W765" i="6"/>
  <c r="X765" i="6"/>
  <c r="Y765" i="6"/>
  <c r="W766" i="6"/>
  <c r="X766" i="6"/>
  <c r="Y766" i="6"/>
  <c r="W767" i="6"/>
  <c r="X767" i="6"/>
  <c r="Y767" i="6"/>
  <c r="W768" i="6"/>
  <c r="X768" i="6"/>
  <c r="Y768" i="6"/>
  <c r="W769" i="6"/>
  <c r="X769" i="6"/>
  <c r="Y769" i="6"/>
  <c r="W770" i="6"/>
  <c r="X770" i="6"/>
  <c r="Y770" i="6"/>
  <c r="W771" i="6"/>
  <c r="X771" i="6"/>
  <c r="Y771" i="6"/>
  <c r="W772" i="6"/>
  <c r="X772" i="6"/>
  <c r="Y772" i="6"/>
  <c r="W773" i="6"/>
  <c r="X773" i="6"/>
  <c r="Y773" i="6"/>
  <c r="W774" i="6"/>
  <c r="X774" i="6"/>
  <c r="Y774" i="6"/>
  <c r="W775" i="6"/>
  <c r="X775" i="6"/>
  <c r="Y775" i="6"/>
  <c r="W776" i="6"/>
  <c r="X776" i="6"/>
  <c r="Y776" i="6"/>
  <c r="W777" i="6"/>
  <c r="X777" i="6"/>
  <c r="Y777" i="6"/>
  <c r="W778" i="6"/>
  <c r="X778" i="6"/>
  <c r="Y778" i="6"/>
  <c r="W779" i="6"/>
  <c r="X779" i="6"/>
  <c r="Y779" i="6"/>
  <c r="W780" i="6"/>
  <c r="X780" i="6"/>
  <c r="Y780" i="6"/>
  <c r="W781" i="6"/>
  <c r="X781" i="6"/>
  <c r="Y781" i="6"/>
  <c r="W782" i="6"/>
  <c r="X782" i="6"/>
  <c r="Y782" i="6"/>
  <c r="W783" i="6"/>
  <c r="X783" i="6"/>
  <c r="Y783" i="6"/>
  <c r="W784" i="6"/>
  <c r="X784" i="6"/>
  <c r="Y784" i="6"/>
  <c r="W785" i="6"/>
  <c r="X785" i="6"/>
  <c r="Y785" i="6"/>
  <c r="W786" i="6"/>
  <c r="X786" i="6"/>
  <c r="Y786" i="6"/>
  <c r="W787" i="6"/>
  <c r="X787" i="6"/>
  <c r="Y787" i="6"/>
  <c r="W788" i="6"/>
  <c r="X788" i="6"/>
  <c r="Y788" i="6"/>
  <c r="W789" i="6"/>
  <c r="X789" i="6"/>
  <c r="Y789" i="6"/>
  <c r="W790" i="6"/>
  <c r="X790" i="6"/>
  <c r="Y790" i="6"/>
  <c r="W791" i="6"/>
  <c r="X791" i="6"/>
  <c r="Y791" i="6"/>
  <c r="W792" i="6"/>
  <c r="X792" i="6"/>
  <c r="Y792" i="6"/>
  <c r="W793" i="6"/>
  <c r="X793" i="6"/>
  <c r="Y793" i="6"/>
  <c r="W794" i="6"/>
  <c r="X794" i="6"/>
  <c r="Y794" i="6"/>
  <c r="W795" i="6"/>
  <c r="X795" i="6"/>
  <c r="Y795" i="6"/>
  <c r="W796" i="6"/>
  <c r="X796" i="6"/>
  <c r="Y796" i="6"/>
  <c r="W797" i="6"/>
  <c r="X797" i="6"/>
  <c r="Y797" i="6"/>
  <c r="W798" i="6"/>
  <c r="X798" i="6"/>
  <c r="Y798" i="6"/>
  <c r="W799" i="6"/>
  <c r="X799" i="6"/>
  <c r="Y799" i="6"/>
  <c r="W800" i="6"/>
  <c r="X800" i="6"/>
  <c r="Y800" i="6"/>
  <c r="W801" i="6"/>
  <c r="X801" i="6"/>
  <c r="Y801" i="6"/>
  <c r="W802" i="6"/>
  <c r="X802" i="6"/>
  <c r="Y802" i="6"/>
  <c r="W803" i="6"/>
  <c r="X803" i="6"/>
  <c r="Y803" i="6"/>
  <c r="W804" i="6"/>
  <c r="X804" i="6"/>
  <c r="Y804" i="6"/>
  <c r="W805" i="6"/>
  <c r="X805" i="6"/>
  <c r="Y805" i="6"/>
  <c r="W806" i="6"/>
  <c r="X806" i="6"/>
  <c r="Y806" i="6"/>
  <c r="W807" i="6"/>
  <c r="X807" i="6"/>
  <c r="Y807" i="6"/>
  <c r="W808" i="6"/>
  <c r="X808" i="6"/>
  <c r="Y808" i="6"/>
  <c r="W809" i="6"/>
  <c r="X809" i="6"/>
  <c r="Y809" i="6"/>
  <c r="W810" i="6"/>
  <c r="X810" i="6"/>
  <c r="Y810" i="6"/>
  <c r="W811" i="6"/>
  <c r="X811" i="6"/>
  <c r="Y811" i="6"/>
  <c r="W812" i="6"/>
  <c r="X812" i="6"/>
  <c r="Y812" i="6"/>
  <c r="W813" i="6"/>
  <c r="X813" i="6"/>
  <c r="Y813" i="6"/>
  <c r="W814" i="6"/>
  <c r="X814" i="6"/>
  <c r="Y814" i="6"/>
  <c r="W815" i="6"/>
  <c r="X815" i="6"/>
  <c r="Y815" i="6"/>
  <c r="W816" i="6"/>
  <c r="X816" i="6"/>
  <c r="Y816" i="6"/>
  <c r="W817" i="6"/>
  <c r="X817" i="6"/>
  <c r="Y817" i="6"/>
  <c r="W818" i="6"/>
  <c r="X818" i="6"/>
  <c r="Y818" i="6"/>
  <c r="W819" i="6"/>
  <c r="X819" i="6"/>
  <c r="Y819" i="6"/>
  <c r="W820" i="6"/>
  <c r="X820" i="6"/>
  <c r="Y820" i="6"/>
  <c r="W821" i="6"/>
  <c r="X821" i="6"/>
  <c r="Y821" i="6"/>
  <c r="W822" i="6"/>
  <c r="X822" i="6"/>
  <c r="Y822" i="6"/>
  <c r="W823" i="6"/>
  <c r="X823" i="6"/>
  <c r="Y823" i="6"/>
  <c r="W824" i="6"/>
  <c r="X824" i="6"/>
  <c r="Y824" i="6"/>
  <c r="W825" i="6"/>
  <c r="X825" i="6"/>
  <c r="Y825" i="6"/>
  <c r="W826" i="6"/>
  <c r="X826" i="6"/>
  <c r="Y826" i="6"/>
  <c r="W827" i="6"/>
  <c r="X827" i="6"/>
  <c r="Y827" i="6"/>
  <c r="W828" i="6"/>
  <c r="X828" i="6"/>
  <c r="Y828" i="6"/>
  <c r="W829" i="6"/>
  <c r="X829" i="6"/>
  <c r="Y829" i="6"/>
  <c r="W830" i="6"/>
  <c r="X830" i="6"/>
  <c r="Y830" i="6"/>
  <c r="W831" i="6"/>
  <c r="X831" i="6"/>
  <c r="Y831" i="6"/>
  <c r="W832" i="6"/>
  <c r="X832" i="6"/>
  <c r="Y832" i="6"/>
  <c r="W833" i="6"/>
  <c r="X833" i="6"/>
  <c r="Y833" i="6"/>
  <c r="W834" i="6"/>
  <c r="X834" i="6"/>
  <c r="Y834" i="6"/>
  <c r="W835" i="6"/>
  <c r="X835" i="6"/>
  <c r="Y835" i="6"/>
  <c r="W836" i="6"/>
  <c r="X836" i="6"/>
  <c r="Y836" i="6"/>
  <c r="W837" i="6"/>
  <c r="X837" i="6"/>
  <c r="Y837" i="6"/>
  <c r="W838" i="6"/>
  <c r="X838" i="6"/>
  <c r="Y838" i="6"/>
  <c r="W839" i="6"/>
  <c r="X839" i="6"/>
  <c r="Y839" i="6"/>
  <c r="W840" i="6"/>
  <c r="X840" i="6"/>
  <c r="Y840" i="6"/>
  <c r="W841" i="6"/>
  <c r="X841" i="6"/>
  <c r="Y841" i="6"/>
  <c r="W842" i="6"/>
  <c r="X842" i="6"/>
  <c r="Y842" i="6"/>
  <c r="W843" i="6"/>
  <c r="X843" i="6"/>
  <c r="Y843" i="6"/>
  <c r="W844" i="6"/>
  <c r="X844" i="6"/>
  <c r="Y844" i="6"/>
  <c r="W845" i="6"/>
  <c r="X845" i="6"/>
  <c r="Y845" i="6"/>
  <c r="W846" i="6"/>
  <c r="X846" i="6"/>
  <c r="Y846" i="6"/>
  <c r="W847" i="6"/>
  <c r="X847" i="6"/>
  <c r="Y847" i="6"/>
  <c r="W848" i="6"/>
  <c r="X848" i="6"/>
  <c r="Y848" i="6"/>
  <c r="W849" i="6"/>
  <c r="X849" i="6"/>
  <c r="Y849" i="6"/>
  <c r="W850" i="6"/>
  <c r="X850" i="6"/>
  <c r="Y850" i="6"/>
  <c r="W851" i="6"/>
  <c r="X851" i="6"/>
  <c r="Y851" i="6"/>
  <c r="W852" i="6"/>
  <c r="X852" i="6"/>
  <c r="Y852" i="6"/>
  <c r="W853" i="6"/>
  <c r="X853" i="6"/>
  <c r="Y853" i="6"/>
  <c r="W854" i="6"/>
  <c r="X854" i="6"/>
  <c r="Y854" i="6"/>
  <c r="W855" i="6"/>
  <c r="X855" i="6"/>
  <c r="Y855" i="6"/>
  <c r="W856" i="6"/>
  <c r="X856" i="6"/>
  <c r="Y856" i="6"/>
  <c r="W857" i="6"/>
  <c r="X857" i="6"/>
  <c r="Y857" i="6"/>
  <c r="W858" i="6"/>
  <c r="X858" i="6"/>
  <c r="Y858" i="6"/>
  <c r="W859" i="6"/>
  <c r="X859" i="6"/>
  <c r="Y859" i="6"/>
  <c r="W860" i="6"/>
  <c r="X860" i="6"/>
  <c r="Y860" i="6"/>
  <c r="W861" i="6"/>
  <c r="X861" i="6"/>
  <c r="Y861" i="6"/>
  <c r="W862" i="6"/>
  <c r="X862" i="6"/>
  <c r="Y862" i="6"/>
  <c r="W863" i="6"/>
  <c r="X863" i="6"/>
  <c r="Y863" i="6"/>
  <c r="W864" i="6"/>
  <c r="X864" i="6"/>
  <c r="Y864" i="6"/>
  <c r="W865" i="6"/>
  <c r="X865" i="6"/>
  <c r="Y865" i="6"/>
  <c r="W866" i="6"/>
  <c r="X866" i="6"/>
  <c r="Y866" i="6"/>
  <c r="W867" i="6"/>
  <c r="X867" i="6"/>
  <c r="Y867" i="6"/>
  <c r="W868" i="6"/>
  <c r="X868" i="6"/>
  <c r="Y868" i="6"/>
  <c r="W869" i="6"/>
  <c r="X869" i="6"/>
  <c r="Y869" i="6"/>
  <c r="W870" i="6"/>
  <c r="X870" i="6"/>
  <c r="Y870" i="6"/>
  <c r="W871" i="6"/>
  <c r="X871" i="6"/>
  <c r="Y871" i="6"/>
  <c r="W872" i="6"/>
  <c r="X872" i="6"/>
  <c r="Y872" i="6"/>
  <c r="W873" i="6"/>
  <c r="X873" i="6"/>
  <c r="Y873" i="6"/>
  <c r="W874" i="6"/>
  <c r="X874" i="6"/>
  <c r="Y874" i="6"/>
  <c r="W875" i="6"/>
  <c r="X875" i="6"/>
  <c r="Y875" i="6"/>
  <c r="W876" i="6"/>
  <c r="X876" i="6"/>
  <c r="Y876" i="6"/>
  <c r="W877" i="6"/>
  <c r="X877" i="6"/>
  <c r="Y877" i="6"/>
  <c r="W878" i="6"/>
  <c r="X878" i="6"/>
  <c r="Y878" i="6"/>
  <c r="W879" i="6"/>
  <c r="X879" i="6"/>
  <c r="Y879" i="6"/>
  <c r="W880" i="6"/>
  <c r="X880" i="6"/>
  <c r="Y880" i="6"/>
  <c r="W881" i="6"/>
  <c r="X881" i="6"/>
  <c r="Y881" i="6"/>
  <c r="W882" i="6"/>
  <c r="X882" i="6"/>
  <c r="Y882" i="6"/>
  <c r="W883" i="6"/>
  <c r="X883" i="6"/>
  <c r="Y883" i="6"/>
  <c r="W884" i="6"/>
  <c r="X884" i="6"/>
  <c r="Y884" i="6"/>
  <c r="W885" i="6"/>
  <c r="X885" i="6"/>
  <c r="Y885" i="6"/>
  <c r="W886" i="6"/>
  <c r="X886" i="6"/>
  <c r="Y886" i="6"/>
  <c r="W887" i="6"/>
  <c r="X887" i="6"/>
  <c r="Y887" i="6"/>
  <c r="W888" i="6"/>
  <c r="X888" i="6"/>
  <c r="Y888" i="6"/>
  <c r="W889" i="6"/>
  <c r="X889" i="6"/>
  <c r="Y889" i="6"/>
  <c r="W890" i="6"/>
  <c r="X890" i="6"/>
  <c r="Y890" i="6"/>
  <c r="W891" i="6"/>
  <c r="X891" i="6"/>
  <c r="Y891" i="6"/>
  <c r="W892" i="6"/>
  <c r="X892" i="6"/>
  <c r="Y892" i="6"/>
  <c r="W893" i="6"/>
  <c r="X893" i="6"/>
  <c r="Y893" i="6"/>
  <c r="W894" i="6"/>
  <c r="X894" i="6"/>
  <c r="Y894" i="6"/>
  <c r="W895" i="6"/>
  <c r="X895" i="6"/>
  <c r="Y895" i="6"/>
  <c r="W896" i="6"/>
  <c r="X896" i="6"/>
  <c r="Y896" i="6"/>
  <c r="W897" i="6"/>
  <c r="X897" i="6"/>
  <c r="Y897" i="6"/>
  <c r="W898" i="6"/>
  <c r="X898" i="6"/>
  <c r="Y898" i="6"/>
  <c r="W899" i="6"/>
  <c r="X899" i="6"/>
  <c r="Y899" i="6"/>
  <c r="W900" i="6"/>
  <c r="X900" i="6"/>
  <c r="Y900" i="6"/>
  <c r="W901" i="6"/>
  <c r="X901" i="6"/>
  <c r="Y901" i="6"/>
  <c r="W902" i="6"/>
  <c r="X902" i="6"/>
  <c r="Y902" i="6"/>
  <c r="W903" i="6"/>
  <c r="X903" i="6"/>
  <c r="Y903" i="6"/>
  <c r="W904" i="6"/>
  <c r="X904" i="6"/>
  <c r="Y904" i="6"/>
  <c r="W905" i="6"/>
  <c r="X905" i="6"/>
  <c r="Y905" i="6"/>
  <c r="W906" i="6"/>
  <c r="X906" i="6"/>
  <c r="Y906" i="6"/>
  <c r="W907" i="6"/>
  <c r="X907" i="6"/>
  <c r="Y907" i="6"/>
  <c r="W908" i="6"/>
  <c r="X908" i="6"/>
  <c r="Y908" i="6"/>
  <c r="W909" i="6"/>
  <c r="X909" i="6"/>
  <c r="Y909" i="6"/>
  <c r="W910" i="6"/>
  <c r="X910" i="6"/>
  <c r="Y910" i="6"/>
  <c r="W911" i="6"/>
  <c r="X911" i="6"/>
  <c r="Y911" i="6"/>
  <c r="W912" i="6"/>
  <c r="X912" i="6"/>
  <c r="Y912" i="6"/>
  <c r="W913" i="6"/>
  <c r="X913" i="6"/>
  <c r="Y913" i="6"/>
  <c r="W914" i="6"/>
  <c r="X914" i="6"/>
  <c r="Y914" i="6"/>
  <c r="W915" i="6"/>
  <c r="X915" i="6"/>
  <c r="Y915" i="6"/>
  <c r="W916" i="6"/>
  <c r="X916" i="6"/>
  <c r="Y916" i="6"/>
  <c r="W917" i="6"/>
  <c r="X917" i="6"/>
  <c r="Y917" i="6"/>
  <c r="W918" i="6"/>
  <c r="X918" i="6"/>
  <c r="Y918" i="6"/>
  <c r="W919" i="6"/>
  <c r="X919" i="6"/>
  <c r="Y919" i="6"/>
  <c r="W920" i="6"/>
  <c r="X920" i="6"/>
  <c r="Y920" i="6"/>
  <c r="W921" i="6"/>
  <c r="X921" i="6"/>
  <c r="Y921" i="6"/>
  <c r="W922" i="6"/>
  <c r="X922" i="6"/>
  <c r="Y922" i="6"/>
  <c r="W923" i="6"/>
  <c r="X923" i="6"/>
  <c r="Y923" i="6"/>
  <c r="W924" i="6"/>
  <c r="X924" i="6"/>
  <c r="Y924" i="6"/>
  <c r="W925" i="6"/>
  <c r="X925" i="6"/>
  <c r="Y925" i="6"/>
  <c r="W926" i="6"/>
  <c r="X926" i="6"/>
  <c r="Y926" i="6"/>
  <c r="W927" i="6"/>
  <c r="X927" i="6"/>
  <c r="Y927" i="6"/>
  <c r="W928" i="6"/>
  <c r="X928" i="6"/>
  <c r="Y928" i="6"/>
  <c r="W929" i="6"/>
  <c r="X929" i="6"/>
  <c r="Y929" i="6"/>
  <c r="W930" i="6"/>
  <c r="X930" i="6"/>
  <c r="Y930" i="6"/>
  <c r="W931" i="6"/>
  <c r="X931" i="6"/>
  <c r="Y931" i="6"/>
  <c r="W932" i="6"/>
  <c r="X932" i="6"/>
  <c r="Y932" i="6"/>
  <c r="W933" i="6"/>
  <c r="X933" i="6"/>
  <c r="Y933" i="6"/>
  <c r="W934" i="6"/>
  <c r="X934" i="6"/>
  <c r="Y934" i="6"/>
  <c r="W935" i="6"/>
  <c r="X935" i="6"/>
  <c r="Y935" i="6"/>
  <c r="W936" i="6"/>
  <c r="X936" i="6"/>
  <c r="Y936" i="6"/>
  <c r="W937" i="6"/>
  <c r="X937" i="6"/>
  <c r="Y937" i="6"/>
  <c r="W938" i="6"/>
  <c r="X938" i="6"/>
  <c r="Y938" i="6"/>
  <c r="W939" i="6"/>
  <c r="X939" i="6"/>
  <c r="Y939" i="6"/>
  <c r="W940" i="6"/>
  <c r="X940" i="6"/>
  <c r="Y940" i="6"/>
  <c r="W941" i="6"/>
  <c r="X941" i="6"/>
  <c r="Y941" i="6"/>
  <c r="W942" i="6"/>
  <c r="X942" i="6"/>
  <c r="Y942" i="6"/>
  <c r="W943" i="6"/>
  <c r="X943" i="6"/>
  <c r="Y943" i="6"/>
  <c r="W944" i="6"/>
  <c r="X944" i="6"/>
  <c r="Y944" i="6"/>
  <c r="W945" i="6"/>
  <c r="X945" i="6"/>
  <c r="Y945" i="6"/>
  <c r="W946" i="6"/>
  <c r="X946" i="6"/>
  <c r="Y946" i="6"/>
  <c r="W947" i="6"/>
  <c r="X947" i="6"/>
  <c r="Y947" i="6"/>
  <c r="W948" i="6"/>
  <c r="X948" i="6"/>
  <c r="Y948" i="6"/>
  <c r="W949" i="6"/>
  <c r="X949" i="6"/>
  <c r="Y949" i="6"/>
  <c r="W950" i="6"/>
  <c r="X950" i="6"/>
  <c r="Y950" i="6"/>
  <c r="W951" i="6"/>
  <c r="X951" i="6"/>
  <c r="Y951" i="6"/>
  <c r="W952" i="6"/>
  <c r="X952" i="6"/>
  <c r="Y952" i="6"/>
  <c r="W953" i="6"/>
  <c r="X953" i="6"/>
  <c r="Y953" i="6"/>
  <c r="W954" i="6"/>
  <c r="X954" i="6"/>
  <c r="Y954" i="6"/>
  <c r="W955" i="6"/>
  <c r="X955" i="6"/>
  <c r="Y955" i="6"/>
  <c r="W956" i="6"/>
  <c r="X956" i="6"/>
  <c r="Y956" i="6"/>
  <c r="W957" i="6"/>
  <c r="X957" i="6"/>
  <c r="Y957" i="6"/>
  <c r="W958" i="6"/>
  <c r="X958" i="6"/>
  <c r="Y958" i="6"/>
  <c r="W959" i="6"/>
  <c r="X959" i="6"/>
  <c r="Y959" i="6"/>
  <c r="W960" i="6"/>
  <c r="X960" i="6"/>
  <c r="Y960" i="6"/>
  <c r="W961" i="6"/>
  <c r="X961" i="6"/>
  <c r="Y961" i="6"/>
  <c r="W962" i="6"/>
  <c r="X962" i="6"/>
  <c r="Y962" i="6"/>
  <c r="W963" i="6"/>
  <c r="X963" i="6"/>
  <c r="Y963" i="6"/>
  <c r="W964" i="6"/>
  <c r="X964" i="6"/>
  <c r="Y964" i="6"/>
  <c r="W965" i="6"/>
  <c r="X965" i="6"/>
  <c r="Y965" i="6"/>
  <c r="W966" i="6"/>
  <c r="X966" i="6"/>
  <c r="Y966" i="6"/>
  <c r="W967" i="6"/>
  <c r="X967" i="6"/>
  <c r="Y967" i="6"/>
  <c r="W968" i="6"/>
  <c r="X968" i="6"/>
  <c r="Y968" i="6"/>
  <c r="W969" i="6"/>
  <c r="X969" i="6"/>
  <c r="Y969" i="6"/>
  <c r="W970" i="6"/>
  <c r="X970" i="6"/>
  <c r="Y970" i="6"/>
  <c r="W971" i="6"/>
  <c r="X971" i="6"/>
  <c r="Y971" i="6"/>
  <c r="W972" i="6"/>
  <c r="X972" i="6"/>
  <c r="Y972" i="6"/>
  <c r="W973" i="6"/>
  <c r="X973" i="6"/>
  <c r="Y973" i="6"/>
  <c r="W974" i="6"/>
  <c r="X974" i="6"/>
  <c r="Y974" i="6"/>
  <c r="W975" i="6"/>
  <c r="X975" i="6"/>
  <c r="Y975" i="6"/>
  <c r="W976" i="6"/>
  <c r="X976" i="6"/>
  <c r="Y976" i="6"/>
  <c r="W977" i="6"/>
  <c r="X977" i="6"/>
  <c r="Y977" i="6"/>
  <c r="W978" i="6"/>
  <c r="X978" i="6"/>
  <c r="Y978" i="6"/>
  <c r="W979" i="6"/>
  <c r="X979" i="6"/>
  <c r="Y979" i="6"/>
  <c r="W980" i="6"/>
  <c r="X980" i="6"/>
  <c r="Y980" i="6"/>
  <c r="W981" i="6"/>
  <c r="X981" i="6"/>
  <c r="Y981" i="6"/>
  <c r="W982" i="6"/>
  <c r="X982" i="6"/>
  <c r="Y982" i="6"/>
  <c r="W983" i="6"/>
  <c r="X983" i="6"/>
  <c r="Y983" i="6"/>
  <c r="W984" i="6"/>
  <c r="X984" i="6"/>
  <c r="Y984" i="6"/>
  <c r="W985" i="6"/>
  <c r="X985" i="6"/>
  <c r="Y985" i="6"/>
  <c r="W986" i="6"/>
  <c r="X986" i="6"/>
  <c r="Y986" i="6"/>
  <c r="W987" i="6"/>
  <c r="X987" i="6"/>
  <c r="Y987" i="6"/>
  <c r="W988" i="6"/>
  <c r="X988" i="6"/>
  <c r="Y988" i="6"/>
  <c r="W989" i="6"/>
  <c r="X989" i="6"/>
  <c r="Y989" i="6"/>
  <c r="W990" i="6"/>
  <c r="X990" i="6"/>
  <c r="Y990" i="6"/>
  <c r="W991" i="6"/>
  <c r="X991" i="6"/>
  <c r="Y991" i="6"/>
  <c r="W992" i="6"/>
  <c r="X992" i="6"/>
  <c r="Y992" i="6"/>
  <c r="W993" i="6"/>
  <c r="X993" i="6"/>
  <c r="Y993" i="6"/>
  <c r="W994" i="6"/>
  <c r="X994" i="6"/>
  <c r="Y994" i="6"/>
  <c r="W995" i="6"/>
  <c r="X995" i="6"/>
  <c r="Y995" i="6"/>
  <c r="W996" i="6"/>
  <c r="X996" i="6"/>
  <c r="Y996" i="6"/>
  <c r="W997" i="6"/>
  <c r="X997" i="6"/>
  <c r="Y997" i="6"/>
  <c r="W998" i="6"/>
  <c r="X998" i="6"/>
  <c r="Y998" i="6"/>
  <c r="W999" i="6"/>
  <c r="X999" i="6"/>
  <c r="Y999" i="6"/>
  <c r="W1000" i="6"/>
  <c r="X1000" i="6"/>
  <c r="Y1000" i="6"/>
  <c r="W1001" i="6"/>
  <c r="X1001" i="6"/>
  <c r="Y1001" i="6"/>
  <c r="W1002" i="6"/>
  <c r="X1002" i="6"/>
  <c r="Y1002" i="6"/>
  <c r="W1003" i="6"/>
  <c r="X1003" i="6"/>
  <c r="Y1003" i="6"/>
  <c r="W1004" i="6"/>
  <c r="X1004" i="6"/>
  <c r="Y1004" i="6"/>
  <c r="W1005" i="6"/>
  <c r="X1005" i="6"/>
  <c r="Y1005" i="6"/>
  <c r="W1006" i="6"/>
  <c r="X1006" i="6"/>
  <c r="Y1006" i="6"/>
  <c r="W1007" i="6"/>
  <c r="X1007" i="6"/>
  <c r="Y1007" i="6"/>
  <c r="W1008" i="6"/>
  <c r="X1008" i="6"/>
  <c r="Y1008" i="6"/>
  <c r="W1009" i="6"/>
  <c r="X1009" i="6"/>
  <c r="Y1009" i="6"/>
  <c r="W1010" i="6"/>
  <c r="X1010" i="6"/>
  <c r="Y1010" i="6"/>
  <c r="W1011" i="6"/>
  <c r="X1011" i="6"/>
  <c r="Y1011" i="6"/>
  <c r="W1012" i="6"/>
  <c r="X1012" i="6"/>
  <c r="Y1012" i="6"/>
  <c r="W1013" i="6"/>
  <c r="X1013" i="6"/>
  <c r="Y1013" i="6"/>
  <c r="W1014" i="6"/>
  <c r="X1014" i="6"/>
  <c r="Y1014" i="6"/>
  <c r="W1015" i="6"/>
  <c r="X1015" i="6"/>
  <c r="Y1015" i="6"/>
  <c r="W1016" i="6"/>
  <c r="X1016" i="6"/>
  <c r="Y1016" i="6"/>
  <c r="W1017" i="6"/>
  <c r="X1017" i="6"/>
  <c r="Y1017" i="6"/>
  <c r="W1018" i="6"/>
  <c r="X1018" i="6"/>
  <c r="Y1018" i="6"/>
  <c r="W1019" i="6"/>
  <c r="X1019" i="6"/>
  <c r="Y1019" i="6"/>
  <c r="W1020" i="6"/>
  <c r="X1020" i="6"/>
  <c r="Y1020" i="6"/>
  <c r="W1021" i="6"/>
  <c r="X1021" i="6"/>
  <c r="Y1021" i="6"/>
  <c r="W1022" i="6"/>
  <c r="X1022" i="6"/>
  <c r="Y1022" i="6"/>
  <c r="W1023" i="6"/>
  <c r="X1023" i="6"/>
  <c r="Y1023" i="6"/>
  <c r="W1024" i="6"/>
  <c r="X1024" i="6"/>
  <c r="Y1024" i="6"/>
  <c r="W1025" i="6"/>
  <c r="X1025" i="6"/>
  <c r="Y1025" i="6"/>
  <c r="W1026" i="6"/>
  <c r="X1026" i="6"/>
  <c r="Y1026" i="6"/>
  <c r="W1027" i="6"/>
  <c r="X1027" i="6"/>
  <c r="Y1027" i="6"/>
  <c r="W1028" i="6"/>
  <c r="X1028" i="6"/>
  <c r="Y1028" i="6"/>
  <c r="W1029" i="6"/>
  <c r="X1029" i="6"/>
  <c r="Y1029" i="6"/>
  <c r="W1030" i="6"/>
  <c r="X1030" i="6"/>
  <c r="Y1030" i="6"/>
  <c r="W1031" i="6"/>
  <c r="X1031" i="6"/>
  <c r="Y1031" i="6"/>
  <c r="W1032" i="6"/>
  <c r="X1032" i="6"/>
  <c r="Y1032" i="6"/>
  <c r="W1033" i="6"/>
  <c r="X1033" i="6"/>
  <c r="Y1033" i="6"/>
  <c r="W1034" i="6"/>
  <c r="X1034" i="6"/>
  <c r="Y1034" i="6"/>
  <c r="W1035" i="6"/>
  <c r="X1035" i="6"/>
  <c r="Y1035" i="6"/>
  <c r="W1036" i="6"/>
  <c r="X1036" i="6"/>
  <c r="Y1036" i="6"/>
  <c r="W1037" i="6"/>
  <c r="X1037" i="6"/>
  <c r="Y1037" i="6"/>
  <c r="W1038" i="6"/>
  <c r="X1038" i="6"/>
  <c r="Y1038" i="6"/>
  <c r="W1039" i="6"/>
  <c r="X1039" i="6"/>
  <c r="Y1039" i="6"/>
  <c r="W1040" i="6"/>
  <c r="X1040" i="6"/>
  <c r="Y1040" i="6"/>
  <c r="W1041" i="6"/>
  <c r="X1041" i="6"/>
  <c r="Y1041" i="6"/>
  <c r="W1042" i="6"/>
  <c r="X1042" i="6"/>
  <c r="Y1042" i="6"/>
  <c r="W1043" i="6"/>
  <c r="X1043" i="6"/>
  <c r="Y1043" i="6"/>
  <c r="W1044" i="6"/>
  <c r="X1044" i="6"/>
  <c r="Y1044" i="6"/>
  <c r="W1045" i="6"/>
  <c r="X1045" i="6"/>
  <c r="Y1045" i="6"/>
  <c r="W1046" i="6"/>
  <c r="X1046" i="6"/>
  <c r="Y1046" i="6"/>
  <c r="W1047" i="6"/>
  <c r="X1047" i="6"/>
  <c r="Y1047" i="6"/>
  <c r="W1048" i="6"/>
  <c r="X1048" i="6"/>
  <c r="Y1048" i="6"/>
  <c r="W1049" i="6"/>
  <c r="X1049" i="6"/>
  <c r="Y1049" i="6"/>
  <c r="W1050" i="6"/>
  <c r="X1050" i="6"/>
  <c r="Y1050" i="6"/>
  <c r="W1051" i="6"/>
  <c r="X1051" i="6"/>
  <c r="Y1051" i="6"/>
  <c r="W1052" i="6"/>
  <c r="X1052" i="6"/>
  <c r="Y1052" i="6"/>
  <c r="W1053" i="6"/>
  <c r="X1053" i="6"/>
  <c r="Y1053" i="6"/>
  <c r="W1054" i="6"/>
  <c r="X1054" i="6"/>
  <c r="Y1054" i="6"/>
  <c r="W1055" i="6"/>
  <c r="X1055" i="6"/>
  <c r="Y1055" i="6"/>
  <c r="W1056" i="6"/>
  <c r="X1056" i="6"/>
  <c r="Y1056" i="6"/>
  <c r="W1057" i="6"/>
  <c r="X1057" i="6"/>
  <c r="Y1057" i="6"/>
  <c r="W1058" i="6"/>
  <c r="X1058" i="6"/>
  <c r="Y1058" i="6"/>
  <c r="W1059" i="6"/>
  <c r="X1059" i="6"/>
  <c r="Y1059" i="6"/>
  <c r="W1060" i="6"/>
  <c r="X1060" i="6"/>
  <c r="Y1060" i="6"/>
  <c r="W1061" i="6"/>
  <c r="X1061" i="6"/>
  <c r="Y1061" i="6"/>
  <c r="W1062" i="6"/>
  <c r="X1062" i="6"/>
  <c r="Y1062" i="6"/>
  <c r="W1063" i="6"/>
  <c r="X1063" i="6"/>
  <c r="Y1063" i="6"/>
  <c r="W1064" i="6"/>
  <c r="X1064" i="6"/>
  <c r="Y1064" i="6"/>
  <c r="W1065" i="6"/>
  <c r="X1065" i="6"/>
  <c r="Y1065" i="6"/>
  <c r="W1066" i="6"/>
  <c r="X1066" i="6"/>
  <c r="Y1066" i="6"/>
  <c r="W1067" i="6"/>
  <c r="X1067" i="6"/>
  <c r="Y1067" i="6"/>
  <c r="W1068" i="6"/>
  <c r="X1068" i="6"/>
  <c r="Y1068" i="6"/>
  <c r="W1069" i="6"/>
  <c r="X1069" i="6"/>
  <c r="Y1069" i="6"/>
  <c r="W1070" i="6"/>
  <c r="X1070" i="6"/>
  <c r="Y1070" i="6"/>
  <c r="W1071" i="6"/>
  <c r="X1071" i="6"/>
  <c r="Y1071" i="6"/>
  <c r="W1072" i="6"/>
  <c r="X1072" i="6"/>
  <c r="Y1072" i="6"/>
  <c r="W1073" i="6"/>
  <c r="X1073" i="6"/>
  <c r="Y1073" i="6"/>
  <c r="W1074" i="6"/>
  <c r="X1074" i="6"/>
  <c r="Y1074" i="6"/>
  <c r="W1075" i="6"/>
  <c r="X1075" i="6"/>
  <c r="Y1075" i="6"/>
  <c r="W1076" i="6"/>
  <c r="X1076" i="6"/>
  <c r="Y1076" i="6"/>
  <c r="W1077" i="6"/>
  <c r="X1077" i="6"/>
  <c r="Y1077" i="6"/>
  <c r="W1078" i="6"/>
  <c r="X1078" i="6"/>
  <c r="Y1078" i="6"/>
  <c r="W1079" i="6"/>
  <c r="X1079" i="6"/>
  <c r="Y1079" i="6"/>
  <c r="W1080" i="6"/>
  <c r="X1080" i="6"/>
  <c r="Y1080" i="6"/>
  <c r="W1081" i="6"/>
  <c r="X1081" i="6"/>
  <c r="Y1081" i="6"/>
  <c r="W1082" i="6"/>
  <c r="X1082" i="6"/>
  <c r="Y1082" i="6"/>
  <c r="W1083" i="6"/>
  <c r="X1083" i="6"/>
  <c r="Y1083" i="6"/>
  <c r="W1084" i="6"/>
  <c r="X1084" i="6"/>
  <c r="Y1084" i="6"/>
  <c r="W1085" i="6"/>
  <c r="X1085" i="6"/>
  <c r="Y1085" i="6"/>
  <c r="W1086" i="6"/>
  <c r="X1086" i="6"/>
  <c r="Y1086" i="6"/>
  <c r="W1087" i="6"/>
  <c r="X1087" i="6"/>
  <c r="Y1087" i="6"/>
  <c r="W1088" i="6"/>
  <c r="X1088" i="6"/>
  <c r="Y1088" i="6"/>
  <c r="W1089" i="6"/>
  <c r="X1089" i="6"/>
  <c r="Y1089" i="6"/>
  <c r="W1090" i="6"/>
  <c r="X1090" i="6"/>
  <c r="Y1090" i="6"/>
  <c r="W1091" i="6"/>
  <c r="X1091" i="6"/>
  <c r="Y1091" i="6"/>
  <c r="W1092" i="6"/>
  <c r="X1092" i="6"/>
  <c r="Y1092" i="6"/>
  <c r="W1093" i="6"/>
  <c r="X1093" i="6"/>
  <c r="Y1093" i="6"/>
  <c r="W1094" i="6"/>
  <c r="X1094" i="6"/>
  <c r="Y1094" i="6"/>
  <c r="W1095" i="6"/>
  <c r="X1095" i="6"/>
  <c r="Y1095" i="6"/>
  <c r="W1096" i="6"/>
  <c r="X1096" i="6"/>
  <c r="Y1096" i="6"/>
  <c r="W1097" i="6"/>
  <c r="X1097" i="6"/>
  <c r="Y1097" i="6"/>
  <c r="W1098" i="6"/>
  <c r="X1098" i="6"/>
  <c r="Y1098" i="6"/>
  <c r="W1099" i="6"/>
  <c r="X1099" i="6"/>
  <c r="Y1099" i="6"/>
  <c r="W1100" i="6"/>
  <c r="X1100" i="6"/>
  <c r="Y1100" i="6"/>
  <c r="W1101" i="6"/>
  <c r="X1101" i="6"/>
  <c r="Y1101" i="6"/>
  <c r="W1102" i="6"/>
  <c r="X1102" i="6"/>
  <c r="Y1102" i="6"/>
  <c r="W1103" i="6"/>
  <c r="X1103" i="6"/>
  <c r="Y1103" i="6"/>
  <c r="W1104" i="6"/>
  <c r="X1104" i="6"/>
  <c r="Y1104" i="6"/>
  <c r="W1105" i="6"/>
  <c r="X1105" i="6"/>
  <c r="Y1105" i="6"/>
  <c r="W1106" i="6"/>
  <c r="X1106" i="6"/>
  <c r="Y1106" i="6"/>
  <c r="W1107" i="6"/>
  <c r="X1107" i="6"/>
  <c r="Y1107" i="6"/>
  <c r="W1108" i="6"/>
  <c r="X1108" i="6"/>
  <c r="Y1108" i="6"/>
  <c r="W1109" i="6"/>
  <c r="X1109" i="6"/>
  <c r="Y1109" i="6"/>
  <c r="W1110" i="6"/>
  <c r="X1110" i="6"/>
  <c r="Y1110" i="6"/>
  <c r="W1111" i="6"/>
  <c r="X1111" i="6"/>
  <c r="Y1111" i="6"/>
  <c r="W1112" i="6"/>
  <c r="X1112" i="6"/>
  <c r="Y1112" i="6"/>
  <c r="W1113" i="6"/>
  <c r="X1113" i="6"/>
  <c r="Y1113" i="6"/>
  <c r="W1114" i="6"/>
  <c r="X1114" i="6"/>
  <c r="Y1114" i="6"/>
  <c r="W1115" i="6"/>
  <c r="X1115" i="6"/>
  <c r="Y1115" i="6"/>
  <c r="W1116" i="6"/>
  <c r="X1116" i="6"/>
  <c r="Y1116" i="6"/>
  <c r="W1117" i="6"/>
  <c r="X1117" i="6"/>
  <c r="Y1117" i="6"/>
  <c r="W1118" i="6"/>
  <c r="X1118" i="6"/>
  <c r="Y1118" i="6"/>
  <c r="W1119" i="6"/>
  <c r="X1119" i="6"/>
  <c r="Y1119" i="6"/>
  <c r="W1120" i="6"/>
  <c r="X1120" i="6"/>
  <c r="Y1120" i="6"/>
  <c r="W1121" i="6"/>
  <c r="X1121" i="6"/>
  <c r="Y1121" i="6"/>
  <c r="W1122" i="6"/>
  <c r="X1122" i="6"/>
  <c r="Y1122" i="6"/>
  <c r="W1123" i="6"/>
  <c r="X1123" i="6"/>
  <c r="Y1123" i="6"/>
  <c r="W1124" i="6"/>
  <c r="X1124" i="6"/>
  <c r="Y1124" i="6"/>
  <c r="W1125" i="6"/>
  <c r="X1125" i="6"/>
  <c r="Y1125" i="6"/>
  <c r="W1126" i="6"/>
  <c r="X1126" i="6"/>
  <c r="Y1126" i="6"/>
  <c r="W1127" i="6"/>
  <c r="X1127" i="6"/>
  <c r="Y1127" i="6"/>
  <c r="W1128" i="6"/>
  <c r="X1128" i="6"/>
  <c r="Y1128" i="6"/>
  <c r="W1129" i="6"/>
  <c r="X1129" i="6"/>
  <c r="Y1129" i="6"/>
  <c r="W1130" i="6"/>
  <c r="X1130" i="6"/>
  <c r="Y1130" i="6"/>
  <c r="W1131" i="6"/>
  <c r="X1131" i="6"/>
  <c r="Y1131" i="6"/>
  <c r="W1132" i="6"/>
  <c r="X1132" i="6"/>
  <c r="Y1132" i="6"/>
  <c r="W1133" i="6"/>
  <c r="X1133" i="6"/>
  <c r="Y1133" i="6"/>
  <c r="W1134" i="6"/>
  <c r="X1134" i="6"/>
  <c r="Y1134" i="6"/>
  <c r="W1135" i="6"/>
  <c r="X1135" i="6"/>
  <c r="Y1135" i="6"/>
  <c r="W1136" i="6"/>
  <c r="X1136" i="6"/>
  <c r="Y1136" i="6"/>
  <c r="W1137" i="6"/>
  <c r="X1137" i="6"/>
  <c r="Y1137" i="6"/>
  <c r="W1138" i="6"/>
  <c r="X1138" i="6"/>
  <c r="Y1138" i="6"/>
  <c r="W1139" i="6"/>
  <c r="X1139" i="6"/>
  <c r="Y1139" i="6"/>
  <c r="W1140" i="6"/>
  <c r="X1140" i="6"/>
  <c r="Y1140" i="6"/>
  <c r="W1141" i="6"/>
  <c r="X1141" i="6"/>
  <c r="Y1141" i="6"/>
  <c r="W1142" i="6"/>
  <c r="X1142" i="6"/>
  <c r="Y1142" i="6"/>
  <c r="W1143" i="6"/>
  <c r="X1143" i="6"/>
  <c r="Y1143" i="6"/>
  <c r="W1144" i="6"/>
  <c r="X1144" i="6"/>
  <c r="Y1144" i="6"/>
  <c r="W1145" i="6"/>
  <c r="X1145" i="6"/>
  <c r="Y1145" i="6"/>
  <c r="W1146" i="6"/>
  <c r="X1146" i="6"/>
  <c r="Y1146" i="6"/>
  <c r="W1147" i="6"/>
  <c r="X1147" i="6"/>
  <c r="Y1147" i="6"/>
  <c r="W1148" i="6"/>
  <c r="X1148" i="6"/>
  <c r="Y1148" i="6"/>
  <c r="W1149" i="6"/>
  <c r="X1149" i="6"/>
  <c r="Y1149" i="6"/>
  <c r="W1150" i="6"/>
  <c r="X1150" i="6"/>
  <c r="Y1150" i="6"/>
  <c r="W1151" i="6"/>
  <c r="X1151" i="6"/>
  <c r="Y1151" i="6"/>
  <c r="W1152" i="6"/>
  <c r="X1152" i="6"/>
  <c r="Y1152" i="6"/>
  <c r="W1153" i="6"/>
  <c r="X1153" i="6"/>
  <c r="Y1153" i="6"/>
  <c r="W1154" i="6"/>
  <c r="X1154" i="6"/>
  <c r="Y1154" i="6"/>
  <c r="W1155" i="6"/>
  <c r="X1155" i="6"/>
  <c r="Y1155" i="6"/>
  <c r="W1156" i="6"/>
  <c r="X1156" i="6"/>
  <c r="Y1156" i="6"/>
  <c r="W1157" i="6"/>
  <c r="X1157" i="6"/>
  <c r="Y1157" i="6"/>
  <c r="W1158" i="6"/>
  <c r="X1158" i="6"/>
  <c r="Y1158" i="6"/>
  <c r="W1159" i="6"/>
  <c r="X1159" i="6"/>
  <c r="Y1159" i="6"/>
  <c r="W1160" i="6"/>
  <c r="X1160" i="6"/>
  <c r="Y1160" i="6"/>
  <c r="W1161" i="6"/>
  <c r="X1161" i="6"/>
  <c r="Y1161" i="6"/>
  <c r="W1162" i="6"/>
  <c r="X1162" i="6"/>
  <c r="Y1162" i="6"/>
  <c r="W1163" i="6"/>
  <c r="X1163" i="6"/>
  <c r="Y1163" i="6"/>
  <c r="W1164" i="6"/>
  <c r="X1164" i="6"/>
  <c r="Y1164" i="6"/>
  <c r="W1165" i="6"/>
  <c r="X1165" i="6"/>
  <c r="Y1165" i="6"/>
  <c r="W1166" i="6"/>
  <c r="X1166" i="6"/>
  <c r="Y1166" i="6"/>
  <c r="W1167" i="6"/>
  <c r="X1167" i="6"/>
  <c r="Y1167" i="6"/>
  <c r="W1168" i="6"/>
  <c r="X1168" i="6"/>
  <c r="Y1168" i="6"/>
  <c r="W1169" i="6"/>
  <c r="X1169" i="6"/>
  <c r="Y1169" i="6"/>
  <c r="W1170" i="6"/>
  <c r="X1170" i="6"/>
  <c r="Y1170" i="6"/>
  <c r="W1171" i="6"/>
  <c r="X1171" i="6"/>
  <c r="Y1171" i="6"/>
  <c r="W1172" i="6"/>
  <c r="X1172" i="6"/>
  <c r="Y1172" i="6"/>
  <c r="W1173" i="6"/>
  <c r="X1173" i="6"/>
  <c r="Y1173" i="6"/>
  <c r="W1174" i="6"/>
  <c r="X1174" i="6"/>
  <c r="Y1174" i="6"/>
  <c r="W1175" i="6"/>
  <c r="X1175" i="6"/>
  <c r="Y1175" i="6"/>
  <c r="W1176" i="6"/>
  <c r="X1176" i="6"/>
  <c r="Y1176" i="6"/>
  <c r="W1177" i="6"/>
  <c r="X1177" i="6"/>
  <c r="Y1177" i="6"/>
  <c r="W1178" i="6"/>
  <c r="X1178" i="6"/>
  <c r="Y1178" i="6"/>
  <c r="W1179" i="6"/>
  <c r="X1179" i="6"/>
  <c r="Y1179" i="6"/>
  <c r="W1180" i="6"/>
  <c r="X1180" i="6"/>
  <c r="Y1180" i="6"/>
  <c r="W1181" i="6"/>
  <c r="X1181" i="6"/>
  <c r="Y1181" i="6"/>
  <c r="W1182" i="6"/>
  <c r="X1182" i="6"/>
  <c r="Y1182" i="6"/>
  <c r="W1183" i="6"/>
  <c r="X1183" i="6"/>
  <c r="Y1183" i="6"/>
  <c r="W1184" i="6"/>
  <c r="X1184" i="6"/>
  <c r="Y1184" i="6"/>
  <c r="W1185" i="6"/>
  <c r="X1185" i="6"/>
  <c r="Y1185" i="6"/>
  <c r="W1186" i="6"/>
  <c r="X1186" i="6"/>
  <c r="Y1186" i="6"/>
  <c r="W1187" i="6"/>
  <c r="X1187" i="6"/>
  <c r="Y1187" i="6"/>
  <c r="W1188" i="6"/>
  <c r="X1188" i="6"/>
  <c r="Y1188" i="6"/>
  <c r="W1189" i="6"/>
  <c r="X1189" i="6"/>
  <c r="Y1189" i="6"/>
  <c r="W1190" i="6"/>
  <c r="X1190" i="6"/>
  <c r="Y1190" i="6"/>
  <c r="W1191" i="6"/>
  <c r="X1191" i="6"/>
  <c r="Y1191" i="6"/>
  <c r="W1192" i="6"/>
  <c r="X1192" i="6"/>
  <c r="Y1192" i="6"/>
  <c r="W1193" i="6"/>
  <c r="X1193" i="6"/>
  <c r="Y1193" i="6"/>
  <c r="W1194" i="6"/>
  <c r="X1194" i="6"/>
  <c r="Y1194" i="6"/>
  <c r="W1195" i="6"/>
  <c r="X1195" i="6"/>
  <c r="Y1195" i="6"/>
  <c r="W1196" i="6"/>
  <c r="X1196" i="6"/>
  <c r="Y1196" i="6"/>
  <c r="W1197" i="6"/>
  <c r="X1197" i="6"/>
  <c r="Y1197" i="6"/>
  <c r="W1198" i="6"/>
  <c r="X1198" i="6"/>
  <c r="Y1198" i="6"/>
  <c r="W1199" i="6"/>
  <c r="X1199" i="6"/>
  <c r="Y1199" i="6"/>
  <c r="W1200" i="6"/>
  <c r="X1200" i="6"/>
  <c r="Y1200" i="6"/>
  <c r="W1201" i="6"/>
  <c r="X1201" i="6"/>
  <c r="Y1201" i="6"/>
  <c r="W1202" i="6"/>
  <c r="X1202" i="6"/>
  <c r="Y1202" i="6"/>
  <c r="W1203" i="6"/>
  <c r="X1203" i="6"/>
  <c r="Y1203" i="6"/>
  <c r="W1204" i="6"/>
  <c r="X1204" i="6"/>
  <c r="Y1204" i="6"/>
  <c r="W1205" i="6"/>
  <c r="X1205" i="6"/>
  <c r="Y1205" i="6"/>
  <c r="W1206" i="6"/>
  <c r="X1206" i="6"/>
  <c r="Y1206" i="6"/>
  <c r="W1207" i="6"/>
  <c r="X1207" i="6"/>
  <c r="Y1207" i="6"/>
  <c r="W1208" i="6"/>
  <c r="X1208" i="6"/>
  <c r="Y1208" i="6"/>
  <c r="W1209" i="6"/>
  <c r="X1209" i="6"/>
  <c r="Y1209" i="6"/>
  <c r="W1210" i="6"/>
  <c r="X1210" i="6"/>
  <c r="Y1210" i="6"/>
  <c r="W1211" i="6"/>
  <c r="X1211" i="6"/>
  <c r="Y1211" i="6"/>
  <c r="W1212" i="6"/>
  <c r="X1212" i="6"/>
  <c r="Y1212" i="6"/>
  <c r="W1213" i="6"/>
  <c r="X1213" i="6"/>
  <c r="Y1213" i="6"/>
  <c r="W1214" i="6"/>
  <c r="X1214" i="6"/>
  <c r="Y1214" i="6"/>
  <c r="W1215" i="6"/>
  <c r="X1215" i="6"/>
  <c r="Y1215" i="6"/>
  <c r="W1216" i="6"/>
  <c r="X1216" i="6"/>
  <c r="Y1216" i="6"/>
  <c r="W1217" i="6"/>
  <c r="X1217" i="6"/>
  <c r="Y1217" i="6"/>
  <c r="W1218" i="6"/>
  <c r="X1218" i="6"/>
  <c r="Y1218" i="6"/>
  <c r="W1219" i="6"/>
  <c r="X1219" i="6"/>
  <c r="Y1219" i="6"/>
  <c r="W1220" i="6"/>
  <c r="X1220" i="6"/>
  <c r="Y1220" i="6"/>
  <c r="W1221" i="6"/>
  <c r="X1221" i="6"/>
  <c r="Y1221" i="6"/>
  <c r="W1222" i="6"/>
  <c r="X1222" i="6"/>
  <c r="Y1222" i="6"/>
  <c r="W1223" i="6"/>
  <c r="X1223" i="6"/>
  <c r="Y1223" i="6"/>
  <c r="W1224" i="6"/>
  <c r="X1224" i="6"/>
  <c r="Y1224" i="6"/>
  <c r="W1225" i="6"/>
  <c r="X1225" i="6"/>
  <c r="Y1225" i="6"/>
  <c r="W1226" i="6"/>
  <c r="X1226" i="6"/>
  <c r="Y1226" i="6"/>
  <c r="W1227" i="6"/>
  <c r="X1227" i="6"/>
  <c r="Y1227" i="6"/>
  <c r="W1228" i="6"/>
  <c r="X1228" i="6"/>
  <c r="Y1228" i="6"/>
  <c r="W1229" i="6"/>
  <c r="X1229" i="6"/>
  <c r="Y1229" i="6"/>
  <c r="W1230" i="6"/>
  <c r="X1230" i="6"/>
  <c r="Y1230" i="6"/>
  <c r="W1231" i="6"/>
  <c r="X1231" i="6"/>
  <c r="Y1231" i="6"/>
  <c r="W1232" i="6"/>
  <c r="X1232" i="6"/>
  <c r="Y1232" i="6"/>
  <c r="W1233" i="6"/>
  <c r="X1233" i="6"/>
  <c r="Y1233" i="6"/>
  <c r="W1234" i="6"/>
  <c r="X1234" i="6"/>
  <c r="Y1234" i="6"/>
  <c r="W1235" i="6"/>
  <c r="X1235" i="6"/>
  <c r="Y1235" i="6"/>
  <c r="W1236" i="6"/>
  <c r="X1236" i="6"/>
  <c r="Y1236" i="6"/>
  <c r="W1237" i="6"/>
  <c r="X1237" i="6"/>
  <c r="Y1237" i="6"/>
  <c r="W1238" i="6"/>
  <c r="X1238" i="6"/>
  <c r="Y1238" i="6"/>
  <c r="W1239" i="6"/>
  <c r="X1239" i="6"/>
  <c r="Y1239" i="6"/>
  <c r="W1240" i="6"/>
  <c r="X1240" i="6"/>
  <c r="Y1240" i="6"/>
  <c r="W1241" i="6"/>
  <c r="X1241" i="6"/>
  <c r="Y1241" i="6"/>
  <c r="W1242" i="6"/>
  <c r="X1242" i="6"/>
  <c r="Y1242" i="6"/>
  <c r="W1243" i="6"/>
  <c r="X1243" i="6"/>
  <c r="Y1243" i="6"/>
  <c r="W1244" i="6"/>
  <c r="X1244" i="6"/>
  <c r="Y1244" i="6"/>
  <c r="W1245" i="6"/>
  <c r="X1245" i="6"/>
  <c r="Y1245" i="6"/>
  <c r="W1246" i="6"/>
  <c r="X1246" i="6"/>
  <c r="Y1246" i="6"/>
  <c r="W1247" i="6"/>
  <c r="X1247" i="6"/>
  <c r="Y1247" i="6"/>
  <c r="W1248" i="6"/>
  <c r="X1248" i="6"/>
  <c r="Y1248" i="6"/>
  <c r="W1249" i="6"/>
  <c r="X1249" i="6"/>
  <c r="Y1249" i="6"/>
  <c r="W1250" i="6"/>
  <c r="X1250" i="6"/>
  <c r="Y1250" i="6"/>
  <c r="W1251" i="6"/>
  <c r="X1251" i="6"/>
  <c r="Y1251" i="6"/>
  <c r="W1252" i="6"/>
  <c r="X1252" i="6"/>
  <c r="Y1252" i="6"/>
  <c r="W1253" i="6"/>
  <c r="X1253" i="6"/>
  <c r="Y1253" i="6"/>
  <c r="W1254" i="6"/>
  <c r="X1254" i="6"/>
  <c r="Y1254" i="6"/>
  <c r="W1255" i="6"/>
  <c r="X1255" i="6"/>
  <c r="Y1255" i="6"/>
  <c r="W1256" i="6"/>
  <c r="X1256" i="6"/>
  <c r="Y1256" i="6"/>
  <c r="W1257" i="6"/>
  <c r="X1257" i="6"/>
  <c r="Y1257" i="6"/>
  <c r="W1258" i="6"/>
  <c r="X1258" i="6"/>
  <c r="Y1258" i="6"/>
  <c r="W1259" i="6"/>
  <c r="X1259" i="6"/>
  <c r="Y1259" i="6"/>
  <c r="W1260" i="6"/>
  <c r="X1260" i="6"/>
  <c r="Y1260" i="6"/>
  <c r="W1261" i="6"/>
  <c r="X1261" i="6"/>
  <c r="Y1261" i="6"/>
  <c r="W1262" i="6"/>
  <c r="X1262" i="6"/>
  <c r="Y1262" i="6"/>
  <c r="W1263" i="6"/>
  <c r="X1263" i="6"/>
  <c r="Y1263" i="6"/>
  <c r="W1264" i="6"/>
  <c r="X1264" i="6"/>
  <c r="Y1264" i="6"/>
  <c r="W1265" i="6"/>
  <c r="X1265" i="6"/>
  <c r="Y1265" i="6"/>
  <c r="W1266" i="6"/>
  <c r="X1266" i="6"/>
  <c r="Y1266" i="6"/>
  <c r="W1267" i="6"/>
  <c r="X1267" i="6"/>
  <c r="Y1267" i="6"/>
  <c r="W1268" i="6"/>
  <c r="X1268" i="6"/>
  <c r="Y1268" i="6"/>
  <c r="W1269" i="6"/>
  <c r="X1269" i="6"/>
  <c r="Y1269" i="6"/>
  <c r="W1270" i="6"/>
  <c r="X1270" i="6"/>
  <c r="Y1270" i="6"/>
  <c r="W1271" i="6"/>
  <c r="X1271" i="6"/>
  <c r="Y1271" i="6"/>
  <c r="W1272" i="6"/>
  <c r="X1272" i="6"/>
  <c r="Y1272" i="6"/>
  <c r="W1273" i="6"/>
  <c r="X1273" i="6"/>
  <c r="Y1273" i="6"/>
  <c r="W1274" i="6"/>
  <c r="X1274" i="6"/>
  <c r="Y1274" i="6"/>
  <c r="W1275" i="6"/>
  <c r="X1275" i="6"/>
  <c r="Y1275" i="6"/>
  <c r="W1276" i="6"/>
  <c r="X1276" i="6"/>
  <c r="Y1276" i="6"/>
  <c r="W1277" i="6"/>
  <c r="X1277" i="6"/>
  <c r="Y1277" i="6"/>
  <c r="W1278" i="6"/>
  <c r="X1278" i="6"/>
  <c r="Y1278" i="6"/>
  <c r="W1279" i="6"/>
  <c r="X1279" i="6"/>
  <c r="Y1279" i="6"/>
  <c r="W1280" i="6"/>
  <c r="X1280" i="6"/>
  <c r="Y1280" i="6"/>
  <c r="W1281" i="6"/>
  <c r="X1281" i="6"/>
  <c r="Y1281" i="6"/>
  <c r="W1282" i="6"/>
  <c r="X1282" i="6"/>
  <c r="Y1282" i="6"/>
  <c r="W1283" i="6"/>
  <c r="X1283" i="6"/>
  <c r="Y1283" i="6"/>
  <c r="W1284" i="6"/>
  <c r="X1284" i="6"/>
  <c r="Y1284" i="6"/>
  <c r="W1285" i="6"/>
  <c r="X1285" i="6"/>
  <c r="Y1285" i="6"/>
  <c r="W1286" i="6"/>
  <c r="X1286" i="6"/>
  <c r="Y1286" i="6"/>
  <c r="W1287" i="6"/>
  <c r="X1287" i="6"/>
  <c r="Y1287" i="6"/>
  <c r="W1288" i="6"/>
  <c r="X1288" i="6"/>
  <c r="Y1288" i="6"/>
  <c r="W1289" i="6"/>
  <c r="X1289" i="6"/>
  <c r="Y1289" i="6"/>
  <c r="W1290" i="6"/>
  <c r="X1290" i="6"/>
  <c r="Y1290" i="6"/>
  <c r="W1291" i="6"/>
  <c r="X1291" i="6"/>
  <c r="Y1291" i="6"/>
  <c r="W1292" i="6"/>
  <c r="X1292" i="6"/>
  <c r="Y1292" i="6"/>
  <c r="W1293" i="6"/>
  <c r="X1293" i="6"/>
  <c r="Y1293" i="6"/>
  <c r="W1294" i="6"/>
  <c r="X1294" i="6"/>
  <c r="Y1294" i="6"/>
  <c r="W1295" i="6"/>
  <c r="X1295" i="6"/>
  <c r="Y1295" i="6"/>
  <c r="W1296" i="6"/>
  <c r="X1296" i="6"/>
  <c r="Y1296" i="6"/>
  <c r="W1297" i="6"/>
  <c r="X1297" i="6"/>
  <c r="Y1297" i="6"/>
  <c r="W1298" i="6"/>
  <c r="X1298" i="6"/>
  <c r="Y1298" i="6"/>
  <c r="W1299" i="6"/>
  <c r="X1299" i="6"/>
  <c r="Y1299" i="6"/>
  <c r="W1300" i="6"/>
  <c r="X1300" i="6"/>
  <c r="Y1300" i="6"/>
  <c r="W1301" i="6"/>
  <c r="X1301" i="6"/>
  <c r="Y1301" i="6"/>
  <c r="W1302" i="6"/>
  <c r="X1302" i="6"/>
  <c r="Y1302" i="6"/>
  <c r="W1303" i="6"/>
  <c r="X1303" i="6"/>
  <c r="Y1303" i="6"/>
  <c r="W1304" i="6"/>
  <c r="X1304" i="6"/>
  <c r="Y1304" i="6"/>
  <c r="W1305" i="6"/>
  <c r="X1305" i="6"/>
  <c r="Y1305" i="6"/>
  <c r="W1306" i="6"/>
  <c r="X1306" i="6"/>
  <c r="Y1306" i="6"/>
  <c r="W1307" i="6"/>
  <c r="X1307" i="6"/>
  <c r="Y1307" i="6"/>
  <c r="W1308" i="6"/>
  <c r="X1308" i="6"/>
  <c r="Y1308" i="6"/>
  <c r="W1309" i="6"/>
  <c r="X1309" i="6"/>
  <c r="Y1309" i="6"/>
  <c r="W1310" i="6"/>
  <c r="X1310" i="6"/>
  <c r="Y1310" i="6"/>
  <c r="W1311" i="6"/>
  <c r="X1311" i="6"/>
  <c r="Y1311" i="6"/>
  <c r="W1312" i="6"/>
  <c r="X1312" i="6"/>
  <c r="Y1312" i="6"/>
  <c r="W1313" i="6"/>
  <c r="X1313" i="6"/>
  <c r="Y1313" i="6"/>
  <c r="W1314" i="6"/>
  <c r="X1314" i="6"/>
  <c r="Y1314" i="6"/>
  <c r="W1315" i="6"/>
  <c r="X1315" i="6"/>
  <c r="Y1315" i="6"/>
  <c r="W1316" i="6"/>
  <c r="X1316" i="6"/>
  <c r="Y1316" i="6"/>
  <c r="W1317" i="6"/>
  <c r="X1317" i="6"/>
  <c r="Y1317" i="6"/>
  <c r="W1318" i="6"/>
  <c r="X1318" i="6"/>
  <c r="Y1318" i="6"/>
  <c r="W1319" i="6"/>
  <c r="X1319" i="6"/>
  <c r="Y1319" i="6"/>
  <c r="W1320" i="6"/>
  <c r="X1320" i="6"/>
  <c r="Y1320" i="6"/>
  <c r="W1321" i="6"/>
  <c r="X1321" i="6"/>
  <c r="Y1321" i="6"/>
  <c r="W1322" i="6"/>
  <c r="X1322" i="6"/>
  <c r="Y1322" i="6"/>
  <c r="W1323" i="6"/>
  <c r="X1323" i="6"/>
  <c r="Y1323" i="6"/>
  <c r="W1324" i="6"/>
  <c r="X1324" i="6"/>
  <c r="Y1324" i="6"/>
  <c r="W1325" i="6"/>
  <c r="X1325" i="6"/>
  <c r="Y1325" i="6"/>
  <c r="W1326" i="6"/>
  <c r="X1326" i="6"/>
  <c r="Y1326" i="6"/>
  <c r="W1327" i="6"/>
  <c r="X1327" i="6"/>
  <c r="Y1327" i="6"/>
  <c r="W1328" i="6"/>
  <c r="X1328" i="6"/>
  <c r="Y1328" i="6"/>
  <c r="W1329" i="6"/>
  <c r="X1329" i="6"/>
  <c r="Y1329" i="6"/>
  <c r="W1330" i="6"/>
  <c r="X1330" i="6"/>
  <c r="Y1330" i="6"/>
  <c r="W1331" i="6"/>
  <c r="X1331" i="6"/>
  <c r="Y1331" i="6"/>
  <c r="W1332" i="6"/>
  <c r="X1332" i="6"/>
  <c r="Y1332" i="6"/>
  <c r="W1333" i="6"/>
  <c r="X1333" i="6"/>
  <c r="Y1333" i="6"/>
  <c r="W1334" i="6"/>
  <c r="X1334" i="6"/>
  <c r="Y1334" i="6"/>
  <c r="W1335" i="6"/>
  <c r="X1335" i="6"/>
  <c r="Y1335" i="6"/>
  <c r="W1336" i="6"/>
  <c r="X1336" i="6"/>
  <c r="Y1336" i="6"/>
  <c r="W1337" i="6"/>
  <c r="X1337" i="6"/>
  <c r="Y1337" i="6"/>
  <c r="W1338" i="6"/>
  <c r="X1338" i="6"/>
  <c r="Y1338" i="6"/>
  <c r="W1339" i="6"/>
  <c r="X1339" i="6"/>
  <c r="Y1339" i="6"/>
  <c r="W1340" i="6"/>
  <c r="X1340" i="6"/>
  <c r="Y1340" i="6"/>
  <c r="W1341" i="6"/>
  <c r="X1341" i="6"/>
  <c r="Y1341" i="6"/>
  <c r="W1342" i="6"/>
  <c r="X1342" i="6"/>
  <c r="Y1342" i="6"/>
  <c r="W1343" i="6"/>
  <c r="X1343" i="6"/>
  <c r="Y1343" i="6"/>
  <c r="W1344" i="6"/>
  <c r="X1344" i="6"/>
  <c r="Y1344" i="6"/>
  <c r="W1345" i="6"/>
  <c r="X1345" i="6"/>
  <c r="Y1345" i="6"/>
  <c r="W1346" i="6"/>
  <c r="X1346" i="6"/>
  <c r="Y1346" i="6"/>
  <c r="W1347" i="6"/>
  <c r="X1347" i="6"/>
  <c r="Y1347" i="6"/>
  <c r="W1348" i="6"/>
  <c r="X1348" i="6"/>
  <c r="Y1348" i="6"/>
  <c r="W1349" i="6"/>
  <c r="X1349" i="6"/>
  <c r="Y1349" i="6"/>
  <c r="W1350" i="6"/>
  <c r="X1350" i="6"/>
  <c r="Y1350" i="6"/>
  <c r="W1351" i="6"/>
  <c r="X1351" i="6"/>
  <c r="Y1351" i="6"/>
  <c r="W1352" i="6"/>
  <c r="X1352" i="6"/>
  <c r="Y1352" i="6"/>
  <c r="W1353" i="6"/>
  <c r="X1353" i="6"/>
  <c r="Y1353" i="6"/>
  <c r="W1354" i="6"/>
  <c r="X1354" i="6"/>
  <c r="Y1354" i="6"/>
  <c r="W1355" i="6"/>
  <c r="X1355" i="6"/>
  <c r="Y1355" i="6"/>
  <c r="W1356" i="6"/>
  <c r="X1356" i="6"/>
  <c r="Y1356" i="6"/>
  <c r="W1357" i="6"/>
  <c r="X1357" i="6"/>
  <c r="Y1357" i="6"/>
  <c r="W1358" i="6"/>
  <c r="X1358" i="6"/>
  <c r="Y1358" i="6"/>
  <c r="W1359" i="6"/>
  <c r="X1359" i="6"/>
  <c r="Y1359" i="6"/>
  <c r="W1360" i="6"/>
  <c r="X1360" i="6"/>
  <c r="Y1360" i="6"/>
  <c r="W1361" i="6"/>
  <c r="X1361" i="6"/>
  <c r="Y1361" i="6"/>
  <c r="W1362" i="6"/>
  <c r="X1362" i="6"/>
  <c r="Y1362" i="6"/>
  <c r="W1363" i="6"/>
  <c r="X1363" i="6"/>
  <c r="Y1363" i="6"/>
  <c r="W1364" i="6"/>
  <c r="X1364" i="6"/>
  <c r="Y1364" i="6"/>
  <c r="W1365" i="6"/>
  <c r="X1365" i="6"/>
  <c r="Y1365" i="6"/>
  <c r="W1366" i="6"/>
  <c r="X1366" i="6"/>
  <c r="Y1366" i="6"/>
  <c r="W1367" i="6"/>
  <c r="X1367" i="6"/>
  <c r="Y1367" i="6"/>
  <c r="W1368" i="6"/>
  <c r="X1368" i="6"/>
  <c r="Y1368" i="6"/>
  <c r="W1369" i="6"/>
  <c r="X1369" i="6"/>
  <c r="Y1369" i="6"/>
  <c r="W1370" i="6"/>
  <c r="X1370" i="6"/>
  <c r="Y1370" i="6"/>
  <c r="W1371" i="6"/>
  <c r="X1371" i="6"/>
  <c r="Y1371" i="6"/>
  <c r="W1372" i="6"/>
  <c r="X1372" i="6"/>
  <c r="Y1372" i="6"/>
  <c r="W1373" i="6"/>
  <c r="X1373" i="6"/>
  <c r="Y1373" i="6"/>
  <c r="W1374" i="6"/>
  <c r="X1374" i="6"/>
  <c r="Y1374" i="6"/>
  <c r="W1375" i="6"/>
  <c r="X1375" i="6"/>
  <c r="Y1375" i="6"/>
  <c r="W1376" i="6"/>
  <c r="X1376" i="6"/>
  <c r="Y1376" i="6"/>
  <c r="W1377" i="6"/>
  <c r="X1377" i="6"/>
  <c r="Y1377" i="6"/>
  <c r="Y2" i="6"/>
  <c r="X2" i="6"/>
  <c r="W2" i="6"/>
  <c r="B14" i="9"/>
  <c r="B13" i="9"/>
  <c r="B12" i="9"/>
  <c r="D4" i="9" l="1"/>
  <c r="D5" i="9" s="1"/>
  <c r="C4" i="9"/>
  <c r="C5" i="9" s="1"/>
  <c r="B4" i="9"/>
  <c r="B5" i="9" s="1"/>
  <c r="B11" i="9" l="1"/>
  <c r="B10" i="9"/>
  <c r="B9" i="9"/>
  <c r="B6" i="9"/>
  <c r="B7" i="9" s="1"/>
  <c r="C6" i="9"/>
  <c r="C7" i="9" s="1"/>
  <c r="D6" i="9"/>
  <c r="D7" i="9" s="1"/>
  <c r="T2" i="6"/>
  <c r="U3" i="6" s="1"/>
  <c r="M2" i="6"/>
  <c r="N3" i="6" s="1"/>
  <c r="T3" i="6" l="1"/>
  <c r="U4" i="6" s="1"/>
  <c r="E7" i="9"/>
  <c r="M3" i="6"/>
  <c r="N4" i="6" s="1"/>
  <c r="F2" i="6"/>
  <c r="F3" i="6" l="1"/>
  <c r="G3" i="6"/>
  <c r="T4" i="6"/>
  <c r="M4" i="6"/>
  <c r="U5" i="6" l="1"/>
  <c r="T5" i="6"/>
  <c r="N5" i="6"/>
  <c r="M5" i="6"/>
  <c r="F4" i="6"/>
  <c r="G4" i="6"/>
  <c r="U6" i="6" l="1"/>
  <c r="T6" i="6"/>
  <c r="G5" i="6"/>
  <c r="F5" i="6"/>
  <c r="M6" i="6"/>
  <c r="N6" i="6"/>
  <c r="T7" i="6" l="1"/>
  <c r="U7" i="6"/>
  <c r="G6" i="6"/>
  <c r="F6" i="6"/>
  <c r="N7" i="6"/>
  <c r="M7" i="6"/>
  <c r="T8" i="6" l="1"/>
  <c r="U8" i="6"/>
  <c r="F7" i="6"/>
  <c r="N8" i="6"/>
  <c r="M8" i="6"/>
  <c r="U9" i="6" l="1"/>
  <c r="T9" i="6"/>
  <c r="F8" i="6"/>
  <c r="N9" i="6"/>
  <c r="M9" i="6"/>
  <c r="T10" i="6" l="1"/>
  <c r="U10" i="6"/>
  <c r="F9" i="6"/>
  <c r="N10" i="6"/>
  <c r="M10" i="6"/>
  <c r="T11" i="6" l="1"/>
  <c r="U11" i="6"/>
  <c r="F10" i="6"/>
  <c r="N11" i="6"/>
  <c r="M11" i="6"/>
  <c r="U12" i="6" l="1"/>
  <c r="T12" i="6"/>
  <c r="F11" i="6"/>
  <c r="N12" i="6"/>
  <c r="M12" i="6"/>
  <c r="T13" i="6" l="1"/>
  <c r="U13" i="6"/>
  <c r="F12" i="6"/>
  <c r="N13" i="6"/>
  <c r="M13" i="6"/>
  <c r="T14" i="6" l="1"/>
  <c r="U14" i="6"/>
  <c r="F13" i="6"/>
  <c r="N14" i="6"/>
  <c r="M14" i="6"/>
  <c r="U15" i="6" l="1"/>
  <c r="T15" i="6"/>
  <c r="F14" i="6"/>
  <c r="N15" i="6"/>
  <c r="M15" i="6"/>
  <c r="T16" i="6" l="1"/>
  <c r="U16" i="6"/>
  <c r="F15" i="6"/>
  <c r="N16" i="6"/>
  <c r="M16" i="6"/>
  <c r="U17" i="6" l="1"/>
  <c r="T17" i="6"/>
  <c r="F16" i="6"/>
  <c r="N17" i="6"/>
  <c r="M17" i="6"/>
  <c r="T18" i="6" l="1"/>
  <c r="U18" i="6"/>
  <c r="F17" i="6"/>
  <c r="N18" i="6"/>
  <c r="M18" i="6"/>
  <c r="U19" i="6" l="1"/>
  <c r="T19" i="6"/>
  <c r="F18" i="6"/>
  <c r="N19" i="6"/>
  <c r="M19" i="6"/>
  <c r="T20" i="6" l="1"/>
  <c r="U20" i="6"/>
  <c r="F19" i="6"/>
  <c r="N20" i="6"/>
  <c r="M20" i="6"/>
  <c r="T21" i="6" l="1"/>
  <c r="U21" i="6"/>
  <c r="F20" i="6"/>
  <c r="N21" i="6"/>
  <c r="M21" i="6"/>
  <c r="U22" i="6" l="1"/>
  <c r="T22" i="6"/>
  <c r="F21" i="6"/>
  <c r="N22" i="6"/>
  <c r="M22" i="6"/>
  <c r="T23" i="6" l="1"/>
  <c r="U23" i="6"/>
  <c r="F22" i="6"/>
  <c r="N23" i="6"/>
  <c r="M23" i="6"/>
  <c r="T24" i="6" l="1"/>
  <c r="U24" i="6"/>
  <c r="G23" i="6"/>
  <c r="F23" i="6"/>
  <c r="N24" i="6"/>
  <c r="M24" i="6"/>
  <c r="T25" i="6" l="1"/>
  <c r="U25" i="6"/>
  <c r="G24" i="6"/>
  <c r="F24" i="6"/>
  <c r="M25" i="6"/>
  <c r="N25" i="6"/>
  <c r="U26" i="6" l="1"/>
  <c r="T26" i="6"/>
  <c r="G25" i="6"/>
  <c r="F25" i="6"/>
  <c r="M26" i="6"/>
  <c r="N26" i="6"/>
  <c r="U27" i="6" l="1"/>
  <c r="T27" i="6"/>
  <c r="G26" i="6"/>
  <c r="F26" i="6"/>
  <c r="M27" i="6"/>
  <c r="N27" i="6"/>
  <c r="U28" i="6" l="1"/>
  <c r="T28" i="6"/>
  <c r="G27" i="6"/>
  <c r="F27" i="6"/>
  <c r="M28" i="6"/>
  <c r="N28" i="6"/>
  <c r="U29" i="6" l="1"/>
  <c r="T29" i="6"/>
  <c r="G28" i="6"/>
  <c r="F28" i="6"/>
  <c r="M29" i="6"/>
  <c r="N29" i="6"/>
  <c r="U30" i="6" l="1"/>
  <c r="T30" i="6"/>
  <c r="G29" i="6"/>
  <c r="F29" i="6"/>
  <c r="M30" i="6"/>
  <c r="N30" i="6"/>
  <c r="U31" i="6" l="1"/>
  <c r="T31" i="6"/>
  <c r="F30" i="6"/>
  <c r="G30" i="6"/>
  <c r="M31" i="6"/>
  <c r="N31" i="6"/>
  <c r="T32" i="6" l="1"/>
  <c r="U32" i="6"/>
  <c r="G31" i="6"/>
  <c r="F31" i="6"/>
  <c r="M32" i="6"/>
  <c r="N32" i="6"/>
  <c r="U33" i="6" l="1"/>
  <c r="T33" i="6"/>
  <c r="G32" i="6"/>
  <c r="F32" i="6"/>
  <c r="M33" i="6"/>
  <c r="N33" i="6"/>
  <c r="U34" i="6" l="1"/>
  <c r="T34" i="6"/>
  <c r="G33" i="6"/>
  <c r="F33" i="6"/>
  <c r="M34" i="6"/>
  <c r="N34" i="6"/>
  <c r="U35" i="6" l="1"/>
  <c r="T35" i="6"/>
  <c r="G34" i="6"/>
  <c r="F34" i="6"/>
  <c r="M35" i="6"/>
  <c r="N35" i="6"/>
  <c r="U36" i="6" l="1"/>
  <c r="T36" i="6"/>
  <c r="G35" i="6"/>
  <c r="F35" i="6"/>
  <c r="M36" i="6"/>
  <c r="N36" i="6"/>
  <c r="T37" i="6" l="1"/>
  <c r="U37" i="6"/>
  <c r="G36" i="6"/>
  <c r="F36" i="6"/>
  <c r="M37" i="6"/>
  <c r="N37" i="6"/>
  <c r="U38" i="6" l="1"/>
  <c r="T38" i="6"/>
  <c r="G37" i="6"/>
  <c r="F37" i="6"/>
  <c r="M38" i="6"/>
  <c r="N38" i="6"/>
  <c r="U39" i="6" l="1"/>
  <c r="T39" i="6"/>
  <c r="G38" i="6"/>
  <c r="F38" i="6"/>
  <c r="M39" i="6"/>
  <c r="N39" i="6"/>
  <c r="T40" i="6" l="1"/>
  <c r="U40" i="6"/>
  <c r="G39" i="6"/>
  <c r="F39" i="6"/>
  <c r="M40" i="6"/>
  <c r="N40" i="6"/>
  <c r="U41" i="6" l="1"/>
  <c r="T41" i="6"/>
  <c r="G40" i="6"/>
  <c r="F40" i="6"/>
  <c r="M41" i="6"/>
  <c r="N41" i="6"/>
  <c r="U42" i="6" l="1"/>
  <c r="T42" i="6"/>
  <c r="G41" i="6"/>
  <c r="F41" i="6"/>
  <c r="M42" i="6"/>
  <c r="N42" i="6"/>
  <c r="T43" i="6" l="1"/>
  <c r="U43" i="6"/>
  <c r="F42" i="6"/>
  <c r="G42" i="6"/>
  <c r="M43" i="6"/>
  <c r="N43" i="6"/>
  <c r="T44" i="6" l="1"/>
  <c r="U44" i="6"/>
  <c r="G43" i="6"/>
  <c r="F43" i="6"/>
  <c r="M44" i="6"/>
  <c r="N44" i="6"/>
  <c r="U45" i="6" l="1"/>
  <c r="T45" i="6"/>
  <c r="G44" i="6"/>
  <c r="F44" i="6"/>
  <c r="M45" i="6"/>
  <c r="N45" i="6"/>
  <c r="T46" i="6" l="1"/>
  <c r="U46" i="6"/>
  <c r="G45" i="6"/>
  <c r="F45" i="6"/>
  <c r="M46" i="6"/>
  <c r="N46" i="6"/>
  <c r="T47" i="6" l="1"/>
  <c r="U47" i="6"/>
  <c r="G46" i="6"/>
  <c r="F46" i="6"/>
  <c r="M47" i="6"/>
  <c r="N47" i="6"/>
  <c r="U48" i="6" l="1"/>
  <c r="T48" i="6"/>
  <c r="G47" i="6"/>
  <c r="F47" i="6"/>
  <c r="M48" i="6"/>
  <c r="N48" i="6"/>
  <c r="T49" i="6" l="1"/>
  <c r="U49" i="6"/>
  <c r="F48" i="6"/>
  <c r="G48" i="6"/>
  <c r="M49" i="6"/>
  <c r="N49" i="6"/>
  <c r="T50" i="6" l="1"/>
  <c r="U50" i="6"/>
  <c r="G49" i="6"/>
  <c r="F49" i="6"/>
  <c r="M50" i="6"/>
  <c r="N50" i="6"/>
  <c r="U51" i="6" l="1"/>
  <c r="T51" i="6"/>
  <c r="G50" i="6"/>
  <c r="F50" i="6"/>
  <c r="M51" i="6"/>
  <c r="N51" i="6"/>
  <c r="T52" i="6" l="1"/>
  <c r="U52" i="6"/>
  <c r="F51" i="6"/>
  <c r="G51" i="6"/>
  <c r="M52" i="6"/>
  <c r="N52" i="6"/>
  <c r="T53" i="6" l="1"/>
  <c r="U53" i="6"/>
  <c r="G52" i="6"/>
  <c r="F52" i="6"/>
  <c r="M53" i="6"/>
  <c r="N53" i="6"/>
  <c r="U54" i="6" l="1"/>
  <c r="T54" i="6"/>
  <c r="G53" i="6"/>
  <c r="F53" i="6"/>
  <c r="M54" i="6"/>
  <c r="N54" i="6"/>
  <c r="T55" i="6" l="1"/>
  <c r="U55" i="6"/>
  <c r="G54" i="6"/>
  <c r="F54" i="6"/>
  <c r="M55" i="6"/>
  <c r="N55" i="6"/>
  <c r="T56" i="6" l="1"/>
  <c r="U56" i="6"/>
  <c r="G55" i="6"/>
  <c r="F55" i="6"/>
  <c r="M56" i="6"/>
  <c r="N56" i="6"/>
  <c r="U57" i="6" l="1"/>
  <c r="T57" i="6"/>
  <c r="G56" i="6"/>
  <c r="F56" i="6"/>
  <c r="M57" i="6"/>
  <c r="N57" i="6"/>
  <c r="T58" i="6" l="1"/>
  <c r="U58" i="6"/>
  <c r="G57" i="6"/>
  <c r="F57" i="6"/>
  <c r="M58" i="6"/>
  <c r="N58" i="6"/>
  <c r="T59" i="6" l="1"/>
  <c r="U59" i="6"/>
  <c r="G58" i="6"/>
  <c r="F58" i="6"/>
  <c r="M59" i="6"/>
  <c r="N59" i="6"/>
  <c r="U60" i="6" l="1"/>
  <c r="T60" i="6"/>
  <c r="G59" i="6"/>
  <c r="F59" i="6"/>
  <c r="M60" i="6"/>
  <c r="N60" i="6"/>
  <c r="U61" i="6" l="1"/>
  <c r="T61" i="6"/>
  <c r="F60" i="6"/>
  <c r="G60" i="6"/>
  <c r="M61" i="6"/>
  <c r="N61" i="6"/>
  <c r="U62" i="6" l="1"/>
  <c r="T62" i="6"/>
  <c r="G61" i="6"/>
  <c r="F61" i="6"/>
  <c r="M62" i="6"/>
  <c r="N62" i="6"/>
  <c r="U63" i="6" l="1"/>
  <c r="T63" i="6"/>
  <c r="G62" i="6"/>
  <c r="F62" i="6"/>
  <c r="M63" i="6"/>
  <c r="N63" i="6"/>
  <c r="T64" i="6" l="1"/>
  <c r="U64" i="6"/>
  <c r="F63" i="6"/>
  <c r="G63" i="6"/>
  <c r="M64" i="6"/>
  <c r="N64" i="6"/>
  <c r="U65" i="6" l="1"/>
  <c r="T65" i="6"/>
  <c r="G64" i="6"/>
  <c r="F64" i="6"/>
  <c r="M65" i="6"/>
  <c r="N65" i="6"/>
  <c r="U66" i="6" l="1"/>
  <c r="T66" i="6"/>
  <c r="G65" i="6"/>
  <c r="F65" i="6"/>
  <c r="M66" i="6"/>
  <c r="N66" i="6"/>
  <c r="U67" i="6" l="1"/>
  <c r="T67" i="6"/>
  <c r="F66" i="6"/>
  <c r="G66" i="6"/>
  <c r="M67" i="6"/>
  <c r="N67" i="6"/>
  <c r="U68" i="6" l="1"/>
  <c r="T68" i="6"/>
  <c r="G67" i="6"/>
  <c r="F67" i="6"/>
  <c r="M68" i="6"/>
  <c r="N68" i="6"/>
  <c r="U69" i="6" l="1"/>
  <c r="T69" i="6"/>
  <c r="G68" i="6"/>
  <c r="F68" i="6"/>
  <c r="M69" i="6"/>
  <c r="N69" i="6"/>
  <c r="U70" i="6" l="1"/>
  <c r="T70" i="6"/>
  <c r="G69" i="6"/>
  <c r="F69" i="6"/>
  <c r="M70" i="6"/>
  <c r="N70" i="6"/>
  <c r="U71" i="6" l="1"/>
  <c r="T71" i="6"/>
  <c r="G70" i="6"/>
  <c r="F70" i="6"/>
  <c r="M71" i="6"/>
  <c r="N71" i="6"/>
  <c r="U72" i="6" l="1"/>
  <c r="T72" i="6"/>
  <c r="G71" i="6"/>
  <c r="F71" i="6"/>
  <c r="M72" i="6"/>
  <c r="N72" i="6"/>
  <c r="U73" i="6" l="1"/>
  <c r="T73" i="6"/>
  <c r="G72" i="6"/>
  <c r="F72" i="6"/>
  <c r="M73" i="6"/>
  <c r="N73" i="6"/>
  <c r="U74" i="6" l="1"/>
  <c r="T74" i="6"/>
  <c r="G73" i="6"/>
  <c r="F73" i="6"/>
  <c r="M74" i="6"/>
  <c r="N74" i="6"/>
  <c r="U75" i="6" l="1"/>
  <c r="T75" i="6"/>
  <c r="G74" i="6"/>
  <c r="F74" i="6"/>
  <c r="M75" i="6"/>
  <c r="N75" i="6"/>
  <c r="T76" i="6" l="1"/>
  <c r="U76" i="6"/>
  <c r="F75" i="6"/>
  <c r="G75" i="6"/>
  <c r="M76" i="6"/>
  <c r="N76" i="6"/>
  <c r="U77" i="6" l="1"/>
  <c r="T77" i="6"/>
  <c r="G76" i="6"/>
  <c r="F76" i="6"/>
  <c r="M77" i="6"/>
  <c r="N77" i="6"/>
  <c r="U78" i="6" l="1"/>
  <c r="T78" i="6"/>
  <c r="G77" i="6"/>
  <c r="F77" i="6"/>
  <c r="M78" i="6"/>
  <c r="N78" i="6"/>
  <c r="U79" i="6" l="1"/>
  <c r="T79" i="6"/>
  <c r="F78" i="6"/>
  <c r="G78" i="6"/>
  <c r="M79" i="6"/>
  <c r="N79" i="6"/>
  <c r="U80" i="6" l="1"/>
  <c r="T80" i="6"/>
  <c r="G79" i="6"/>
  <c r="F79" i="6"/>
  <c r="M80" i="6"/>
  <c r="N80" i="6"/>
  <c r="U81" i="6" l="1"/>
  <c r="T81" i="6"/>
  <c r="G80" i="6"/>
  <c r="F80" i="6"/>
  <c r="M81" i="6"/>
  <c r="N81" i="6"/>
  <c r="U82" i="6" l="1"/>
  <c r="T82" i="6"/>
  <c r="F81" i="6"/>
  <c r="G81" i="6"/>
  <c r="M82" i="6"/>
  <c r="N82" i="6"/>
  <c r="U83" i="6" l="1"/>
  <c r="T83" i="6"/>
  <c r="G82" i="6"/>
  <c r="F82" i="6"/>
  <c r="M83" i="6"/>
  <c r="N83" i="6"/>
  <c r="U84" i="6" l="1"/>
  <c r="T84" i="6"/>
  <c r="G83" i="6"/>
  <c r="F83" i="6"/>
  <c r="M84" i="6"/>
  <c r="N84" i="6"/>
  <c r="T85" i="6" l="1"/>
  <c r="U85" i="6"/>
  <c r="G84" i="6"/>
  <c r="F84" i="6"/>
  <c r="M85" i="6"/>
  <c r="N85" i="6"/>
  <c r="U86" i="6" l="1"/>
  <c r="T86" i="6"/>
  <c r="G85" i="6"/>
  <c r="F85" i="6"/>
  <c r="M86" i="6"/>
  <c r="N86" i="6"/>
  <c r="U87" i="6" l="1"/>
  <c r="T87" i="6"/>
  <c r="G86" i="6"/>
  <c r="F86" i="6"/>
  <c r="M87" i="6"/>
  <c r="N87" i="6"/>
  <c r="U88" i="6" l="1"/>
  <c r="T88" i="6"/>
  <c r="F87" i="6"/>
  <c r="G87" i="6"/>
  <c r="M88" i="6"/>
  <c r="N88" i="6"/>
  <c r="T89" i="6" l="1"/>
  <c r="U89" i="6"/>
  <c r="G88" i="6"/>
  <c r="F88" i="6"/>
  <c r="M89" i="6"/>
  <c r="N89" i="6"/>
  <c r="U90" i="6" l="1"/>
  <c r="T90" i="6"/>
  <c r="G89" i="6"/>
  <c r="F89" i="6"/>
  <c r="M90" i="6"/>
  <c r="N90" i="6"/>
  <c r="U91" i="6" l="1"/>
  <c r="T91" i="6"/>
  <c r="F90" i="6"/>
  <c r="G90" i="6"/>
  <c r="M91" i="6"/>
  <c r="N91" i="6"/>
  <c r="U92" i="6" l="1"/>
  <c r="T92" i="6"/>
  <c r="G91" i="6"/>
  <c r="F91" i="6"/>
  <c r="M92" i="6"/>
  <c r="N92" i="6"/>
  <c r="U93" i="6" l="1"/>
  <c r="T93" i="6"/>
  <c r="G92" i="6"/>
  <c r="F92" i="6"/>
  <c r="M93" i="6"/>
  <c r="N93" i="6"/>
  <c r="U94" i="6" l="1"/>
  <c r="T94" i="6"/>
  <c r="G93" i="6"/>
  <c r="F93" i="6"/>
  <c r="M94" i="6"/>
  <c r="N94" i="6"/>
  <c r="U95" i="6" l="1"/>
  <c r="T95" i="6"/>
  <c r="G94" i="6"/>
  <c r="F94" i="6"/>
  <c r="M95" i="6"/>
  <c r="N95" i="6"/>
  <c r="U96" i="6" l="1"/>
  <c r="T96" i="6"/>
  <c r="G95" i="6"/>
  <c r="F95" i="6"/>
  <c r="M96" i="6"/>
  <c r="N96" i="6"/>
  <c r="T97" i="6" l="1"/>
  <c r="U97" i="6"/>
  <c r="G96" i="6"/>
  <c r="F96" i="6"/>
  <c r="M97" i="6"/>
  <c r="N97" i="6"/>
  <c r="T98" i="6" l="1"/>
  <c r="U98" i="6"/>
  <c r="G97" i="6"/>
  <c r="F97" i="6"/>
  <c r="M98" i="6"/>
  <c r="N98" i="6"/>
  <c r="U99" i="6" l="1"/>
  <c r="T99" i="6"/>
  <c r="G98" i="6"/>
  <c r="F98" i="6"/>
  <c r="M99" i="6"/>
  <c r="N99" i="6"/>
  <c r="U100" i="6" l="1"/>
  <c r="T100" i="6"/>
  <c r="G99" i="6"/>
  <c r="F99" i="6"/>
  <c r="M100" i="6"/>
  <c r="N100" i="6"/>
  <c r="U101" i="6" l="1"/>
  <c r="T101" i="6"/>
  <c r="G100" i="6"/>
  <c r="F100" i="6"/>
  <c r="M101" i="6"/>
  <c r="N101" i="6"/>
  <c r="U102" i="6" l="1"/>
  <c r="T102" i="6"/>
  <c r="G101" i="6"/>
  <c r="F101" i="6"/>
  <c r="M102" i="6"/>
  <c r="N102" i="6"/>
  <c r="U103" i="6" l="1"/>
  <c r="T103" i="6"/>
  <c r="F102" i="6"/>
  <c r="G102" i="6"/>
  <c r="M103" i="6"/>
  <c r="N103" i="6"/>
  <c r="U104" i="6" l="1"/>
  <c r="T104" i="6"/>
  <c r="G103" i="6"/>
  <c r="F103" i="6"/>
  <c r="M104" i="6"/>
  <c r="N104" i="6"/>
  <c r="U105" i="6" l="1"/>
  <c r="T105" i="6"/>
  <c r="G104" i="6"/>
  <c r="F104" i="6"/>
  <c r="M105" i="6"/>
  <c r="N105" i="6"/>
  <c r="U106" i="6" l="1"/>
  <c r="T106" i="6"/>
  <c r="F105" i="6"/>
  <c r="G105" i="6"/>
  <c r="M106" i="6"/>
  <c r="N106" i="6"/>
  <c r="U107" i="6" l="1"/>
  <c r="T107" i="6"/>
  <c r="G106" i="6"/>
  <c r="F106" i="6"/>
  <c r="M107" i="6"/>
  <c r="N107" i="6"/>
  <c r="U108" i="6" l="1"/>
  <c r="T108" i="6"/>
  <c r="G107" i="6"/>
  <c r="F107" i="6"/>
  <c r="M108" i="6"/>
  <c r="N108" i="6"/>
  <c r="T109" i="6" l="1"/>
  <c r="U109" i="6"/>
  <c r="G108" i="6"/>
  <c r="F108" i="6"/>
  <c r="M109" i="6"/>
  <c r="N109" i="6"/>
  <c r="T110" i="6" l="1"/>
  <c r="U110" i="6"/>
  <c r="G109" i="6"/>
  <c r="F109" i="6"/>
  <c r="M110" i="6"/>
  <c r="N110" i="6"/>
  <c r="U111" i="6" l="1"/>
  <c r="T111" i="6"/>
  <c r="G110" i="6"/>
  <c r="F110" i="6"/>
  <c r="M111" i="6"/>
  <c r="N111" i="6"/>
  <c r="T112" i="6" l="1"/>
  <c r="U112" i="6"/>
  <c r="F111" i="6"/>
  <c r="G111" i="6"/>
  <c r="M112" i="6"/>
  <c r="N112" i="6"/>
  <c r="T113" i="6" l="1"/>
  <c r="U113" i="6"/>
  <c r="G112" i="6"/>
  <c r="F112" i="6"/>
  <c r="M113" i="6"/>
  <c r="N113" i="6"/>
  <c r="U114" i="6" l="1"/>
  <c r="T114" i="6"/>
  <c r="G113" i="6"/>
  <c r="F113" i="6"/>
  <c r="M114" i="6"/>
  <c r="N114" i="6"/>
  <c r="T115" i="6" l="1"/>
  <c r="U115" i="6"/>
  <c r="G114" i="6"/>
  <c r="F114" i="6"/>
  <c r="M115" i="6"/>
  <c r="N115" i="6"/>
  <c r="T116" i="6" l="1"/>
  <c r="U116" i="6"/>
  <c r="G115" i="6"/>
  <c r="F115" i="6"/>
  <c r="M116" i="6"/>
  <c r="N116" i="6"/>
  <c r="U117" i="6" l="1"/>
  <c r="T117" i="6"/>
  <c r="G116" i="6"/>
  <c r="F116" i="6"/>
  <c r="M117" i="6"/>
  <c r="N117" i="6"/>
  <c r="T118" i="6" l="1"/>
  <c r="U118" i="6"/>
  <c r="F117" i="6"/>
  <c r="G117" i="6"/>
  <c r="M118" i="6"/>
  <c r="N118" i="6"/>
  <c r="T119" i="6" l="1"/>
  <c r="U119" i="6"/>
  <c r="G118" i="6"/>
  <c r="F118" i="6"/>
  <c r="M119" i="6"/>
  <c r="N119" i="6"/>
  <c r="U120" i="6" l="1"/>
  <c r="T120" i="6"/>
  <c r="G119" i="6"/>
  <c r="F119" i="6"/>
  <c r="M120" i="6"/>
  <c r="N120" i="6"/>
  <c r="T121" i="6" l="1"/>
  <c r="U121" i="6"/>
  <c r="F120" i="6"/>
  <c r="G120" i="6"/>
  <c r="M121" i="6"/>
  <c r="N121" i="6"/>
  <c r="T122" i="6" l="1"/>
  <c r="U122" i="6"/>
  <c r="G121" i="6"/>
  <c r="F121" i="6"/>
  <c r="M122" i="6"/>
  <c r="N122" i="6"/>
  <c r="U123" i="6" l="1"/>
  <c r="T123" i="6"/>
  <c r="G122" i="6"/>
  <c r="F122" i="6"/>
  <c r="M123" i="6"/>
  <c r="N123" i="6"/>
  <c r="T124" i="6" l="1"/>
  <c r="U124" i="6"/>
  <c r="G123" i="6"/>
  <c r="F123" i="6"/>
  <c r="M124" i="6"/>
  <c r="N124" i="6"/>
  <c r="U125" i="6" l="1"/>
  <c r="T125" i="6"/>
  <c r="G124" i="6"/>
  <c r="F124" i="6"/>
  <c r="M125" i="6"/>
  <c r="N125" i="6"/>
  <c r="U126" i="6" l="1"/>
  <c r="T126" i="6"/>
  <c r="F125" i="6"/>
  <c r="G125" i="6"/>
  <c r="M126" i="6"/>
  <c r="N126" i="6"/>
  <c r="U127" i="6" l="1"/>
  <c r="T127" i="6"/>
  <c r="G126" i="6"/>
  <c r="F126" i="6"/>
  <c r="M127" i="6"/>
  <c r="N127" i="6"/>
  <c r="U128" i="6" l="1"/>
  <c r="T128" i="6"/>
  <c r="G127" i="6"/>
  <c r="F127" i="6"/>
  <c r="M128" i="6"/>
  <c r="N128" i="6"/>
  <c r="U129" i="6" l="1"/>
  <c r="T129" i="6"/>
  <c r="G128" i="6"/>
  <c r="F128" i="6"/>
  <c r="M129" i="6"/>
  <c r="N129" i="6"/>
  <c r="T130" i="6" l="1"/>
  <c r="U130" i="6"/>
  <c r="G129" i="6"/>
  <c r="F129" i="6"/>
  <c r="M130" i="6"/>
  <c r="N130" i="6"/>
  <c r="T131" i="6" l="1"/>
  <c r="U131" i="6"/>
  <c r="G130" i="6"/>
  <c r="F130" i="6"/>
  <c r="M131" i="6"/>
  <c r="N131" i="6"/>
  <c r="U132" i="6" l="1"/>
  <c r="T132" i="6"/>
  <c r="G131" i="6"/>
  <c r="F131" i="6"/>
  <c r="M132" i="6"/>
  <c r="N132" i="6"/>
  <c r="U133" i="6" l="1"/>
  <c r="T133" i="6"/>
  <c r="G132" i="6"/>
  <c r="F132" i="6"/>
  <c r="M133" i="6"/>
  <c r="N133" i="6"/>
  <c r="U134" i="6" l="1"/>
  <c r="T134" i="6"/>
  <c r="G133" i="6"/>
  <c r="F133" i="6"/>
  <c r="M134" i="6"/>
  <c r="N134" i="6"/>
  <c r="T135" i="6" l="1"/>
  <c r="U135" i="6"/>
  <c r="G134" i="6"/>
  <c r="F134" i="6"/>
  <c r="M135" i="6"/>
  <c r="N135" i="6"/>
  <c r="U136" i="6" l="1"/>
  <c r="T136" i="6"/>
  <c r="G135" i="6"/>
  <c r="F135" i="6"/>
  <c r="M136" i="6"/>
  <c r="N136" i="6"/>
  <c r="U137" i="6" l="1"/>
  <c r="T137" i="6"/>
  <c r="G136" i="6"/>
  <c r="F136" i="6"/>
  <c r="M137" i="6"/>
  <c r="N137" i="6"/>
  <c r="U138" i="6" l="1"/>
  <c r="T138" i="6"/>
  <c r="G137" i="6"/>
  <c r="F137" i="6"/>
  <c r="M138" i="6"/>
  <c r="N138" i="6"/>
  <c r="U139" i="6" l="1"/>
  <c r="T139" i="6"/>
  <c r="G138" i="6"/>
  <c r="F138" i="6"/>
  <c r="M139" i="6"/>
  <c r="N139" i="6"/>
  <c r="T140" i="6" l="1"/>
  <c r="U140" i="6"/>
  <c r="G139" i="6"/>
  <c r="F139" i="6"/>
  <c r="M140" i="6"/>
  <c r="N140" i="6"/>
  <c r="U141" i="6" l="1"/>
  <c r="T141" i="6"/>
  <c r="G140" i="6"/>
  <c r="F140" i="6"/>
  <c r="M141" i="6"/>
  <c r="N141" i="6"/>
  <c r="U142" i="6" l="1"/>
  <c r="T142" i="6"/>
  <c r="F141" i="6"/>
  <c r="G141" i="6"/>
  <c r="M142" i="6"/>
  <c r="N142" i="6"/>
  <c r="U143" i="6" l="1"/>
  <c r="T143" i="6"/>
  <c r="G142" i="6"/>
  <c r="F142" i="6"/>
  <c r="M143" i="6"/>
  <c r="N143" i="6"/>
  <c r="U144" i="6" l="1"/>
  <c r="T144" i="6"/>
  <c r="F143" i="6"/>
  <c r="G143" i="6"/>
  <c r="M144" i="6"/>
  <c r="N144" i="6"/>
  <c r="U145" i="6" l="1"/>
  <c r="T145" i="6"/>
  <c r="G144" i="6"/>
  <c r="F144" i="6"/>
  <c r="M145" i="6"/>
  <c r="N145" i="6"/>
  <c r="U146" i="6" l="1"/>
  <c r="T146" i="6"/>
  <c r="G145" i="6"/>
  <c r="F145" i="6"/>
  <c r="M146" i="6"/>
  <c r="N146" i="6"/>
  <c r="U147" i="6" l="1"/>
  <c r="T147" i="6"/>
  <c r="G146" i="6"/>
  <c r="F146" i="6"/>
  <c r="M147" i="6"/>
  <c r="N147" i="6"/>
  <c r="U148" i="6" l="1"/>
  <c r="T148" i="6"/>
  <c r="G147" i="6"/>
  <c r="F147" i="6"/>
  <c r="M148" i="6"/>
  <c r="N148" i="6"/>
  <c r="U149" i="6" l="1"/>
  <c r="T149" i="6"/>
  <c r="G148" i="6"/>
  <c r="F148" i="6"/>
  <c r="M149" i="6"/>
  <c r="N149" i="6"/>
  <c r="U150" i="6" l="1"/>
  <c r="T150" i="6"/>
  <c r="G149" i="6"/>
  <c r="F149" i="6"/>
  <c r="M150" i="6"/>
  <c r="N150" i="6"/>
  <c r="U151" i="6" l="1"/>
  <c r="T151" i="6"/>
  <c r="G150" i="6"/>
  <c r="F150" i="6"/>
  <c r="M151" i="6"/>
  <c r="N151" i="6"/>
  <c r="U152" i="6" l="1"/>
  <c r="T152" i="6"/>
  <c r="G151" i="6"/>
  <c r="F151" i="6"/>
  <c r="M152" i="6"/>
  <c r="N152" i="6"/>
  <c r="U153" i="6" l="1"/>
  <c r="T153" i="6"/>
  <c r="G152" i="6"/>
  <c r="F152" i="6"/>
  <c r="M153" i="6"/>
  <c r="N153" i="6"/>
  <c r="U154" i="6" l="1"/>
  <c r="T154" i="6"/>
  <c r="G153" i="6"/>
  <c r="F153" i="6"/>
  <c r="M154" i="6"/>
  <c r="N154" i="6"/>
  <c r="U155" i="6" l="1"/>
  <c r="T155" i="6"/>
  <c r="G154" i="6"/>
  <c r="F154" i="6"/>
  <c r="M155" i="6"/>
  <c r="N155" i="6"/>
  <c r="U156" i="6" l="1"/>
  <c r="T156" i="6"/>
  <c r="G155" i="6"/>
  <c r="F155" i="6"/>
  <c r="M156" i="6"/>
  <c r="N156" i="6"/>
  <c r="T157" i="6" l="1"/>
  <c r="U157" i="6"/>
  <c r="G156" i="6"/>
  <c r="F156" i="6"/>
  <c r="M157" i="6"/>
  <c r="N157" i="6"/>
  <c r="T158" i="6" l="1"/>
  <c r="U158" i="6"/>
  <c r="G157" i="6"/>
  <c r="F157" i="6"/>
  <c r="M158" i="6"/>
  <c r="N158" i="6"/>
  <c r="T159" i="6" l="1"/>
  <c r="U159" i="6"/>
  <c r="G158" i="6"/>
  <c r="F158" i="6"/>
  <c r="M159" i="6"/>
  <c r="N159" i="6"/>
  <c r="U160" i="6" l="1"/>
  <c r="T160" i="6"/>
  <c r="G159" i="6"/>
  <c r="F159" i="6"/>
  <c r="M160" i="6"/>
  <c r="N160" i="6"/>
  <c r="U161" i="6" l="1"/>
  <c r="T161" i="6"/>
  <c r="G160" i="6"/>
  <c r="F160" i="6"/>
  <c r="M161" i="6"/>
  <c r="N161" i="6"/>
  <c r="U162" i="6" l="1"/>
  <c r="T162" i="6"/>
  <c r="G161" i="6"/>
  <c r="F161" i="6"/>
  <c r="M162" i="6"/>
  <c r="N162" i="6"/>
  <c r="U163" i="6" l="1"/>
  <c r="T163" i="6"/>
  <c r="G162" i="6"/>
  <c r="F162" i="6"/>
  <c r="M163" i="6"/>
  <c r="N163" i="6"/>
  <c r="U164" i="6" l="1"/>
  <c r="T164" i="6"/>
  <c r="G163" i="6"/>
  <c r="F163" i="6"/>
  <c r="M164" i="6"/>
  <c r="N164" i="6"/>
  <c r="U165" i="6" l="1"/>
  <c r="T165" i="6"/>
  <c r="G164" i="6"/>
  <c r="F164" i="6"/>
  <c r="M165" i="6"/>
  <c r="N165" i="6"/>
  <c r="U166" i="6" l="1"/>
  <c r="T166" i="6"/>
  <c r="G165" i="6"/>
  <c r="F165" i="6"/>
  <c r="M166" i="6"/>
  <c r="N166" i="6"/>
  <c r="U167" i="6" l="1"/>
  <c r="T167" i="6"/>
  <c r="G166" i="6"/>
  <c r="F166" i="6"/>
  <c r="M167" i="6"/>
  <c r="N167" i="6"/>
  <c r="U168" i="6" l="1"/>
  <c r="T168" i="6"/>
  <c r="G167" i="6"/>
  <c r="F167" i="6"/>
  <c r="M168" i="6"/>
  <c r="N168" i="6"/>
  <c r="U169" i="6" l="1"/>
  <c r="T169" i="6"/>
  <c r="G168" i="6"/>
  <c r="F168" i="6"/>
  <c r="M169" i="6"/>
  <c r="N169" i="6"/>
  <c r="U170" i="6" l="1"/>
  <c r="T170" i="6"/>
  <c r="G169" i="6"/>
  <c r="F169" i="6"/>
  <c r="M170" i="6"/>
  <c r="N170" i="6"/>
  <c r="U171" i="6" l="1"/>
  <c r="T171" i="6"/>
  <c r="G170" i="6"/>
  <c r="F170" i="6"/>
  <c r="M171" i="6"/>
  <c r="N171" i="6"/>
  <c r="U172" i="6" l="1"/>
  <c r="T172" i="6"/>
  <c r="G171" i="6"/>
  <c r="F171" i="6"/>
  <c r="M172" i="6"/>
  <c r="N172" i="6"/>
  <c r="U173" i="6" l="1"/>
  <c r="T173" i="6"/>
  <c r="G172" i="6"/>
  <c r="F172" i="6"/>
  <c r="M173" i="6"/>
  <c r="N173" i="6"/>
  <c r="U174" i="6" l="1"/>
  <c r="T174" i="6"/>
  <c r="G173" i="6"/>
  <c r="F173" i="6"/>
  <c r="M174" i="6"/>
  <c r="N174" i="6"/>
  <c r="U175" i="6" l="1"/>
  <c r="T175" i="6"/>
  <c r="G174" i="6"/>
  <c r="F174" i="6"/>
  <c r="M175" i="6"/>
  <c r="N175" i="6"/>
  <c r="U176" i="6" l="1"/>
  <c r="T176" i="6"/>
  <c r="G175" i="6"/>
  <c r="F175" i="6"/>
  <c r="M176" i="6"/>
  <c r="N176" i="6"/>
  <c r="U177" i="6" l="1"/>
  <c r="T177" i="6"/>
  <c r="G176" i="6"/>
  <c r="F176" i="6"/>
  <c r="M177" i="6"/>
  <c r="N177" i="6"/>
  <c r="U178" i="6" l="1"/>
  <c r="T178" i="6"/>
  <c r="G177" i="6"/>
  <c r="F177" i="6"/>
  <c r="M178" i="6"/>
  <c r="N178" i="6"/>
  <c r="U179" i="6" l="1"/>
  <c r="T179" i="6"/>
  <c r="G178" i="6"/>
  <c r="F178" i="6"/>
  <c r="M179" i="6"/>
  <c r="N179" i="6"/>
  <c r="T180" i="6" l="1"/>
  <c r="U180" i="6"/>
  <c r="G179" i="6"/>
  <c r="F179" i="6"/>
  <c r="M180" i="6"/>
  <c r="N180" i="6"/>
  <c r="U181" i="6" l="1"/>
  <c r="T181" i="6"/>
  <c r="G180" i="6"/>
  <c r="F180" i="6"/>
  <c r="M181" i="6"/>
  <c r="N181" i="6"/>
  <c r="U182" i="6" l="1"/>
  <c r="T182" i="6"/>
  <c r="G181" i="6"/>
  <c r="F181" i="6"/>
  <c r="M182" i="6"/>
  <c r="N182" i="6"/>
  <c r="U183" i="6" l="1"/>
  <c r="T183" i="6"/>
  <c r="G182" i="6"/>
  <c r="F182" i="6"/>
  <c r="M183" i="6"/>
  <c r="N183" i="6"/>
  <c r="U184" i="6" l="1"/>
  <c r="T184" i="6"/>
  <c r="G183" i="6"/>
  <c r="F183" i="6"/>
  <c r="M184" i="6"/>
  <c r="N184" i="6"/>
  <c r="U185" i="6" l="1"/>
  <c r="T185" i="6"/>
  <c r="G184" i="6"/>
  <c r="F184" i="6"/>
  <c r="M185" i="6"/>
  <c r="N185" i="6"/>
  <c r="U186" i="6" l="1"/>
  <c r="T186" i="6"/>
  <c r="F185" i="6"/>
  <c r="G185" i="6"/>
  <c r="M186" i="6"/>
  <c r="N186" i="6"/>
  <c r="U187" i="6" l="1"/>
  <c r="T187" i="6"/>
  <c r="G186" i="6"/>
  <c r="F186" i="6"/>
  <c r="M187" i="6"/>
  <c r="N187" i="6"/>
  <c r="U188" i="6" l="1"/>
  <c r="T188" i="6"/>
  <c r="G187" i="6"/>
  <c r="F187" i="6"/>
  <c r="M188" i="6"/>
  <c r="N188" i="6"/>
  <c r="U189" i="6" l="1"/>
  <c r="T189" i="6"/>
  <c r="G188" i="6"/>
  <c r="F188" i="6"/>
  <c r="M189" i="6"/>
  <c r="N189" i="6"/>
  <c r="U190" i="6" l="1"/>
  <c r="T190" i="6"/>
  <c r="G189" i="6"/>
  <c r="F189" i="6"/>
  <c r="M190" i="6"/>
  <c r="N190" i="6"/>
  <c r="U191" i="6" l="1"/>
  <c r="T191" i="6"/>
  <c r="G190" i="6"/>
  <c r="F190" i="6"/>
  <c r="M191" i="6"/>
  <c r="N191" i="6"/>
  <c r="U192" i="6" l="1"/>
  <c r="T192" i="6"/>
  <c r="F191" i="6"/>
  <c r="G191" i="6"/>
  <c r="M192" i="6"/>
  <c r="N192" i="6"/>
  <c r="U193" i="6" l="1"/>
  <c r="T193" i="6"/>
  <c r="F192" i="6"/>
  <c r="G192" i="6"/>
  <c r="M193" i="6"/>
  <c r="N193" i="6"/>
  <c r="U194" i="6" l="1"/>
  <c r="T194" i="6"/>
  <c r="G193" i="6"/>
  <c r="F193" i="6"/>
  <c r="M194" i="6"/>
  <c r="N194" i="6"/>
  <c r="U195" i="6" l="1"/>
  <c r="T195" i="6"/>
  <c r="F194" i="6"/>
  <c r="G194" i="6"/>
  <c r="M195" i="6"/>
  <c r="N195" i="6"/>
  <c r="U196" i="6" l="1"/>
  <c r="T196" i="6"/>
  <c r="F195" i="6"/>
  <c r="G195" i="6"/>
  <c r="M196" i="6"/>
  <c r="N196" i="6"/>
  <c r="U197" i="6" l="1"/>
  <c r="T197" i="6"/>
  <c r="F196" i="6"/>
  <c r="G196" i="6"/>
  <c r="M197" i="6"/>
  <c r="N197" i="6"/>
  <c r="U198" i="6" l="1"/>
  <c r="T198" i="6"/>
  <c r="F197" i="6"/>
  <c r="G197" i="6"/>
  <c r="M198" i="6"/>
  <c r="N198" i="6"/>
  <c r="U199" i="6" l="1"/>
  <c r="T199" i="6"/>
  <c r="G198" i="6"/>
  <c r="F198" i="6"/>
  <c r="M199" i="6"/>
  <c r="N199" i="6"/>
  <c r="U200" i="6" l="1"/>
  <c r="T200" i="6"/>
  <c r="G199" i="6"/>
  <c r="F199" i="6"/>
  <c r="M200" i="6"/>
  <c r="N200" i="6"/>
  <c r="U201" i="6" l="1"/>
  <c r="T201" i="6"/>
  <c r="G200" i="6"/>
  <c r="F200" i="6"/>
  <c r="M201" i="6"/>
  <c r="N201" i="6"/>
  <c r="T202" i="6" l="1"/>
  <c r="U202" i="6"/>
  <c r="G201" i="6"/>
  <c r="F201" i="6"/>
  <c r="M202" i="6"/>
  <c r="N202" i="6"/>
  <c r="U203" i="6" l="1"/>
  <c r="T203" i="6"/>
  <c r="G202" i="6"/>
  <c r="F202" i="6"/>
  <c r="M203" i="6"/>
  <c r="N203" i="6"/>
  <c r="U204" i="6" l="1"/>
  <c r="T204" i="6"/>
  <c r="F203" i="6"/>
  <c r="G203" i="6"/>
  <c r="M204" i="6"/>
  <c r="N204" i="6"/>
  <c r="U205" i="6" l="1"/>
  <c r="T205" i="6"/>
  <c r="F204" i="6"/>
  <c r="G204" i="6"/>
  <c r="M205" i="6"/>
  <c r="N205" i="6"/>
  <c r="U206" i="6" l="1"/>
  <c r="T206" i="6"/>
  <c r="G205" i="6"/>
  <c r="F205" i="6"/>
  <c r="M206" i="6"/>
  <c r="N206" i="6"/>
  <c r="U207" i="6" l="1"/>
  <c r="T207" i="6"/>
  <c r="F206" i="6"/>
  <c r="G206" i="6"/>
  <c r="M207" i="6"/>
  <c r="N207" i="6"/>
  <c r="U208" i="6" l="1"/>
  <c r="T208" i="6"/>
  <c r="G207" i="6"/>
  <c r="F207" i="6"/>
  <c r="M208" i="6"/>
  <c r="N208" i="6"/>
  <c r="U209" i="6" l="1"/>
  <c r="T209" i="6"/>
  <c r="F208" i="6"/>
  <c r="G208" i="6"/>
  <c r="M209" i="6"/>
  <c r="N209" i="6"/>
  <c r="U210" i="6" l="1"/>
  <c r="T210" i="6"/>
  <c r="G209" i="6"/>
  <c r="F209" i="6"/>
  <c r="M210" i="6"/>
  <c r="N210" i="6"/>
  <c r="T211" i="6" l="1"/>
  <c r="U211" i="6"/>
  <c r="G210" i="6"/>
  <c r="F210" i="6"/>
  <c r="M211" i="6"/>
  <c r="N211" i="6"/>
  <c r="U212" i="6" l="1"/>
  <c r="T212" i="6"/>
  <c r="F211" i="6"/>
  <c r="G211" i="6"/>
  <c r="M212" i="6"/>
  <c r="N212" i="6"/>
  <c r="U213" i="6" l="1"/>
  <c r="T213" i="6"/>
  <c r="G212" i="6"/>
  <c r="F212" i="6"/>
  <c r="M213" i="6"/>
  <c r="N213" i="6"/>
  <c r="U214" i="6" l="1"/>
  <c r="T214" i="6"/>
  <c r="G213" i="6"/>
  <c r="F213" i="6"/>
  <c r="M214" i="6"/>
  <c r="N214" i="6"/>
  <c r="U215" i="6" l="1"/>
  <c r="T215" i="6"/>
  <c r="G214" i="6"/>
  <c r="F214" i="6"/>
  <c r="M215" i="6"/>
  <c r="N215" i="6"/>
  <c r="U216" i="6" l="1"/>
  <c r="T216" i="6"/>
  <c r="G215" i="6"/>
  <c r="F215" i="6"/>
  <c r="M216" i="6"/>
  <c r="N216" i="6"/>
  <c r="T217" i="6" l="1"/>
  <c r="U217" i="6"/>
  <c r="G216" i="6"/>
  <c r="F216" i="6"/>
  <c r="M217" i="6"/>
  <c r="N217" i="6"/>
  <c r="U218" i="6" l="1"/>
  <c r="T218" i="6"/>
  <c r="F217" i="6"/>
  <c r="G217" i="6"/>
  <c r="M218" i="6"/>
  <c r="N218" i="6"/>
  <c r="U219" i="6" l="1"/>
  <c r="T219" i="6"/>
  <c r="F218" i="6"/>
  <c r="G218" i="6"/>
  <c r="M219" i="6"/>
  <c r="N219" i="6"/>
  <c r="U220" i="6" l="1"/>
  <c r="T220" i="6"/>
  <c r="G219" i="6"/>
  <c r="F219" i="6"/>
  <c r="M220" i="6"/>
  <c r="N220" i="6"/>
  <c r="U221" i="6" l="1"/>
  <c r="T221" i="6"/>
  <c r="F220" i="6"/>
  <c r="G220" i="6"/>
  <c r="M221" i="6"/>
  <c r="N221" i="6"/>
  <c r="U222" i="6" l="1"/>
  <c r="T222" i="6"/>
  <c r="G221" i="6"/>
  <c r="F221" i="6"/>
  <c r="M222" i="6"/>
  <c r="N222" i="6"/>
  <c r="U223" i="6" l="1"/>
  <c r="T223" i="6"/>
  <c r="G222" i="6"/>
  <c r="F222" i="6"/>
  <c r="M223" i="6"/>
  <c r="N223" i="6"/>
  <c r="U224" i="6" l="1"/>
  <c r="T224" i="6"/>
  <c r="G223" i="6"/>
  <c r="F223" i="6"/>
  <c r="M224" i="6"/>
  <c r="N224" i="6"/>
  <c r="U225" i="6" l="1"/>
  <c r="T225" i="6"/>
  <c r="G224" i="6"/>
  <c r="F224" i="6"/>
  <c r="M225" i="6"/>
  <c r="N225" i="6"/>
  <c r="T226" i="6" l="1"/>
  <c r="U226" i="6"/>
  <c r="G225" i="6"/>
  <c r="F225" i="6"/>
  <c r="M226" i="6"/>
  <c r="N226" i="6"/>
  <c r="U227" i="6" l="1"/>
  <c r="T227" i="6"/>
  <c r="F226" i="6"/>
  <c r="G226" i="6"/>
  <c r="M227" i="6"/>
  <c r="N227" i="6"/>
  <c r="U228" i="6" l="1"/>
  <c r="T228" i="6"/>
  <c r="G227" i="6"/>
  <c r="F227" i="6"/>
  <c r="M228" i="6"/>
  <c r="N228" i="6"/>
  <c r="U229" i="6" l="1"/>
  <c r="T229" i="6"/>
  <c r="G228" i="6"/>
  <c r="F228" i="6"/>
  <c r="M229" i="6"/>
  <c r="N229" i="6"/>
  <c r="U230" i="6" l="1"/>
  <c r="T230" i="6"/>
  <c r="F229" i="6"/>
  <c r="G229" i="6"/>
  <c r="M230" i="6"/>
  <c r="N230" i="6"/>
  <c r="U231" i="6" l="1"/>
  <c r="T231" i="6"/>
  <c r="G230" i="6"/>
  <c r="F230" i="6"/>
  <c r="M231" i="6"/>
  <c r="N231" i="6"/>
  <c r="U232" i="6" l="1"/>
  <c r="T232" i="6"/>
  <c r="F231" i="6"/>
  <c r="G231" i="6"/>
  <c r="M232" i="6"/>
  <c r="N232" i="6"/>
  <c r="U233" i="6" l="1"/>
  <c r="T233" i="6"/>
  <c r="G232" i="6"/>
  <c r="F232" i="6"/>
  <c r="M233" i="6"/>
  <c r="N233" i="6"/>
  <c r="U234" i="6" l="1"/>
  <c r="T234" i="6"/>
  <c r="G233" i="6"/>
  <c r="F233" i="6"/>
  <c r="M234" i="6"/>
  <c r="N234" i="6"/>
  <c r="T235" i="6" l="1"/>
  <c r="U235" i="6"/>
  <c r="G234" i="6"/>
  <c r="F234" i="6"/>
  <c r="M235" i="6"/>
  <c r="N235" i="6"/>
  <c r="U236" i="6" l="1"/>
  <c r="T236" i="6"/>
  <c r="G235" i="6"/>
  <c r="F235" i="6"/>
  <c r="M236" i="6"/>
  <c r="N236" i="6"/>
  <c r="U237" i="6" l="1"/>
  <c r="T237" i="6"/>
  <c r="G236" i="6"/>
  <c r="F236" i="6"/>
  <c r="M237" i="6"/>
  <c r="N237" i="6"/>
  <c r="U238" i="6" l="1"/>
  <c r="T238" i="6"/>
  <c r="F237" i="6"/>
  <c r="G237" i="6"/>
  <c r="M238" i="6"/>
  <c r="N238" i="6"/>
  <c r="U239" i="6" l="1"/>
  <c r="T239" i="6"/>
  <c r="G238" i="6"/>
  <c r="F238" i="6"/>
  <c r="M239" i="6"/>
  <c r="N239" i="6"/>
  <c r="U240" i="6" l="1"/>
  <c r="T240" i="6"/>
  <c r="G239" i="6"/>
  <c r="F239" i="6"/>
  <c r="M240" i="6"/>
  <c r="N240" i="6"/>
  <c r="U241" i="6" l="1"/>
  <c r="T241" i="6"/>
  <c r="G240" i="6"/>
  <c r="F240" i="6"/>
  <c r="M241" i="6"/>
  <c r="N241" i="6"/>
  <c r="U242" i="6" l="1"/>
  <c r="T242" i="6"/>
  <c r="G241" i="6"/>
  <c r="F241" i="6"/>
  <c r="M242" i="6"/>
  <c r="N242" i="6"/>
  <c r="U243" i="6" l="1"/>
  <c r="T243" i="6"/>
  <c r="G242" i="6"/>
  <c r="F242" i="6"/>
  <c r="M243" i="6"/>
  <c r="N243" i="6"/>
  <c r="U244" i="6" l="1"/>
  <c r="T244" i="6"/>
  <c r="F243" i="6"/>
  <c r="G243" i="6"/>
  <c r="M244" i="6"/>
  <c r="N244" i="6"/>
  <c r="U245" i="6" l="1"/>
  <c r="T245" i="6"/>
  <c r="G244" i="6"/>
  <c r="F244" i="6"/>
  <c r="M245" i="6"/>
  <c r="N245" i="6"/>
  <c r="U246" i="6" l="1"/>
  <c r="T246" i="6"/>
  <c r="G245" i="6"/>
  <c r="F245" i="6"/>
  <c r="M246" i="6"/>
  <c r="N246" i="6"/>
  <c r="U247" i="6" l="1"/>
  <c r="T247" i="6"/>
  <c r="G246" i="6"/>
  <c r="F246" i="6"/>
  <c r="M247" i="6"/>
  <c r="N247" i="6"/>
  <c r="U248" i="6" l="1"/>
  <c r="T248" i="6"/>
  <c r="G247" i="6"/>
  <c r="F247" i="6"/>
  <c r="M248" i="6"/>
  <c r="N248" i="6"/>
  <c r="U249" i="6" l="1"/>
  <c r="T249" i="6"/>
  <c r="G248" i="6"/>
  <c r="F248" i="6"/>
  <c r="M249" i="6"/>
  <c r="N249" i="6"/>
  <c r="U250" i="6" l="1"/>
  <c r="T250" i="6"/>
  <c r="G249" i="6"/>
  <c r="F249" i="6"/>
  <c r="M250" i="6"/>
  <c r="N250" i="6"/>
  <c r="U251" i="6" l="1"/>
  <c r="T251" i="6"/>
  <c r="G250" i="6"/>
  <c r="F250" i="6"/>
  <c r="M251" i="6"/>
  <c r="N251" i="6"/>
  <c r="U252" i="6" l="1"/>
  <c r="T252" i="6"/>
  <c r="G251" i="6"/>
  <c r="F251" i="6"/>
  <c r="M252" i="6"/>
  <c r="N252" i="6"/>
  <c r="U253" i="6" l="1"/>
  <c r="T253" i="6"/>
  <c r="F252" i="6"/>
  <c r="G252" i="6"/>
  <c r="M253" i="6"/>
  <c r="N253" i="6"/>
  <c r="U254" i="6" l="1"/>
  <c r="T254" i="6"/>
  <c r="G253" i="6"/>
  <c r="F253" i="6"/>
  <c r="M254" i="6"/>
  <c r="N254" i="6"/>
  <c r="U255" i="6" l="1"/>
  <c r="T255" i="6"/>
  <c r="G254" i="6"/>
  <c r="F254" i="6"/>
  <c r="M255" i="6"/>
  <c r="N255" i="6"/>
  <c r="U256" i="6" l="1"/>
  <c r="T256" i="6"/>
  <c r="G255" i="6"/>
  <c r="F255" i="6"/>
  <c r="M256" i="6"/>
  <c r="N256" i="6"/>
  <c r="T257" i="6" l="1"/>
  <c r="U257" i="6"/>
  <c r="G256" i="6"/>
  <c r="F256" i="6"/>
  <c r="M257" i="6"/>
  <c r="N257" i="6"/>
  <c r="U258" i="6" l="1"/>
  <c r="T258" i="6"/>
  <c r="G257" i="6"/>
  <c r="F257" i="6"/>
  <c r="M258" i="6"/>
  <c r="N258" i="6"/>
  <c r="U259" i="6" l="1"/>
  <c r="T259" i="6"/>
  <c r="G258" i="6"/>
  <c r="F258" i="6"/>
  <c r="M259" i="6"/>
  <c r="N259" i="6"/>
  <c r="U260" i="6" l="1"/>
  <c r="T260" i="6"/>
  <c r="G259" i="6"/>
  <c r="F259" i="6"/>
  <c r="M260" i="6"/>
  <c r="N260" i="6"/>
  <c r="U261" i="6" l="1"/>
  <c r="T261" i="6"/>
  <c r="G260" i="6"/>
  <c r="F260" i="6"/>
  <c r="M261" i="6"/>
  <c r="N261" i="6"/>
  <c r="U262" i="6" l="1"/>
  <c r="T262" i="6"/>
  <c r="G261" i="6"/>
  <c r="F261" i="6"/>
  <c r="M262" i="6"/>
  <c r="N262" i="6"/>
  <c r="U263" i="6" l="1"/>
  <c r="T263" i="6"/>
  <c r="G262" i="6"/>
  <c r="F262" i="6"/>
  <c r="M263" i="6"/>
  <c r="N263" i="6"/>
  <c r="U264" i="6" l="1"/>
  <c r="T264" i="6"/>
  <c r="G263" i="6"/>
  <c r="F263" i="6"/>
  <c r="M264" i="6"/>
  <c r="N264" i="6"/>
  <c r="U265" i="6" l="1"/>
  <c r="T265" i="6"/>
  <c r="G264" i="6"/>
  <c r="F264" i="6"/>
  <c r="M265" i="6"/>
  <c r="N265" i="6"/>
  <c r="U266" i="6" l="1"/>
  <c r="T266" i="6"/>
  <c r="G265" i="6"/>
  <c r="F265" i="6"/>
  <c r="M266" i="6"/>
  <c r="N266" i="6"/>
  <c r="U267" i="6" l="1"/>
  <c r="T267" i="6"/>
  <c r="F266" i="6"/>
  <c r="G266" i="6"/>
  <c r="M267" i="6"/>
  <c r="N267" i="6"/>
  <c r="T268" i="6" l="1"/>
  <c r="U268" i="6"/>
  <c r="G267" i="6"/>
  <c r="F267" i="6"/>
  <c r="M268" i="6"/>
  <c r="N268" i="6"/>
  <c r="U269" i="6" l="1"/>
  <c r="T269" i="6"/>
  <c r="F268" i="6"/>
  <c r="G268" i="6"/>
  <c r="M269" i="6"/>
  <c r="N269" i="6"/>
  <c r="U270" i="6" l="1"/>
  <c r="T270" i="6"/>
  <c r="F269" i="6"/>
  <c r="G269" i="6"/>
  <c r="M270" i="6"/>
  <c r="N270" i="6"/>
  <c r="T271" i="6" l="1"/>
  <c r="U271" i="6"/>
  <c r="G270" i="6"/>
  <c r="F270" i="6"/>
  <c r="M271" i="6"/>
  <c r="N271" i="6"/>
  <c r="U272" i="6" l="1"/>
  <c r="T272" i="6"/>
  <c r="F271" i="6"/>
  <c r="G271" i="6"/>
  <c r="M272" i="6"/>
  <c r="N272" i="6"/>
  <c r="U273" i="6" l="1"/>
  <c r="T273" i="6"/>
  <c r="F272" i="6"/>
  <c r="G272" i="6"/>
  <c r="M273" i="6"/>
  <c r="N273" i="6"/>
  <c r="T274" i="6" l="1"/>
  <c r="U274" i="6"/>
  <c r="G273" i="6"/>
  <c r="F273" i="6"/>
  <c r="M274" i="6"/>
  <c r="N274" i="6"/>
  <c r="U275" i="6" l="1"/>
  <c r="T275" i="6"/>
  <c r="F274" i="6"/>
  <c r="G274" i="6"/>
  <c r="M275" i="6"/>
  <c r="N275" i="6"/>
  <c r="U276" i="6" l="1"/>
  <c r="T276" i="6"/>
  <c r="F275" i="6"/>
  <c r="G275" i="6"/>
  <c r="M276" i="6"/>
  <c r="N276" i="6"/>
  <c r="T277" i="6" l="1"/>
  <c r="U277" i="6"/>
  <c r="G276" i="6"/>
  <c r="F276" i="6"/>
  <c r="M277" i="6"/>
  <c r="N277" i="6"/>
  <c r="U278" i="6" l="1"/>
  <c r="T278" i="6"/>
  <c r="G277" i="6"/>
  <c r="F277" i="6"/>
  <c r="M278" i="6"/>
  <c r="N278" i="6"/>
  <c r="U279" i="6" l="1"/>
  <c r="T279" i="6"/>
  <c r="G278" i="6"/>
  <c r="F278" i="6"/>
  <c r="M279" i="6"/>
  <c r="N279" i="6"/>
  <c r="U280" i="6" l="1"/>
  <c r="T280" i="6"/>
  <c r="G279" i="6"/>
  <c r="F279" i="6"/>
  <c r="M280" i="6"/>
  <c r="N280" i="6"/>
  <c r="U281" i="6" l="1"/>
  <c r="T281" i="6"/>
  <c r="G280" i="6"/>
  <c r="F280" i="6"/>
  <c r="M281" i="6"/>
  <c r="N281" i="6"/>
  <c r="T282" i="6" l="1"/>
  <c r="U282" i="6"/>
  <c r="G281" i="6"/>
  <c r="F281" i="6"/>
  <c r="M282" i="6"/>
  <c r="N282" i="6"/>
  <c r="U283" i="6" l="1"/>
  <c r="T283" i="6"/>
  <c r="G282" i="6"/>
  <c r="F282" i="6"/>
  <c r="M283" i="6"/>
  <c r="N283" i="6"/>
  <c r="U284" i="6" l="1"/>
  <c r="T284" i="6"/>
  <c r="G283" i="6"/>
  <c r="F283" i="6"/>
  <c r="M284" i="6"/>
  <c r="N284" i="6"/>
  <c r="U285" i="6" l="1"/>
  <c r="T285" i="6"/>
  <c r="G284" i="6"/>
  <c r="F284" i="6"/>
  <c r="M285" i="6"/>
  <c r="N285" i="6"/>
  <c r="U286" i="6" l="1"/>
  <c r="T286" i="6"/>
  <c r="G285" i="6"/>
  <c r="F285" i="6"/>
  <c r="M286" i="6"/>
  <c r="N286" i="6"/>
  <c r="U287" i="6" l="1"/>
  <c r="T287" i="6"/>
  <c r="G286" i="6"/>
  <c r="F286" i="6"/>
  <c r="M287" i="6"/>
  <c r="N287" i="6"/>
  <c r="U288" i="6" l="1"/>
  <c r="T288" i="6"/>
  <c r="G287" i="6"/>
  <c r="F287" i="6"/>
  <c r="M288" i="6"/>
  <c r="N288" i="6"/>
  <c r="U289" i="6" l="1"/>
  <c r="T289" i="6"/>
  <c r="G288" i="6"/>
  <c r="F288" i="6"/>
  <c r="M289" i="6"/>
  <c r="N289" i="6"/>
  <c r="U290" i="6" l="1"/>
  <c r="T290" i="6"/>
  <c r="G289" i="6"/>
  <c r="F289" i="6"/>
  <c r="M290" i="6"/>
  <c r="N290" i="6"/>
  <c r="U291" i="6" l="1"/>
  <c r="T291" i="6"/>
  <c r="G290" i="6"/>
  <c r="F290" i="6"/>
  <c r="M291" i="6"/>
  <c r="N291" i="6"/>
  <c r="U292" i="6" l="1"/>
  <c r="T292" i="6"/>
  <c r="G291" i="6"/>
  <c r="F291" i="6"/>
  <c r="M292" i="6"/>
  <c r="N292" i="6"/>
  <c r="U293" i="6" l="1"/>
  <c r="T293" i="6"/>
  <c r="G292" i="6"/>
  <c r="F292" i="6"/>
  <c r="M293" i="6"/>
  <c r="N293" i="6"/>
  <c r="U294" i="6" l="1"/>
  <c r="T294" i="6"/>
  <c r="G293" i="6"/>
  <c r="F293" i="6"/>
  <c r="M294" i="6"/>
  <c r="N294" i="6"/>
  <c r="U295" i="6" l="1"/>
  <c r="T295" i="6"/>
  <c r="G294" i="6"/>
  <c r="F294" i="6"/>
  <c r="M295" i="6"/>
  <c r="N295" i="6"/>
  <c r="T296" i="6" l="1"/>
  <c r="U296" i="6"/>
  <c r="G295" i="6"/>
  <c r="F295" i="6"/>
  <c r="M296" i="6"/>
  <c r="N296" i="6"/>
  <c r="U297" i="6" l="1"/>
  <c r="T297" i="6"/>
  <c r="G296" i="6"/>
  <c r="F296" i="6"/>
  <c r="M297" i="6"/>
  <c r="N297" i="6"/>
  <c r="T298" i="6" l="1"/>
  <c r="U298" i="6"/>
  <c r="G297" i="6"/>
  <c r="F297" i="6"/>
  <c r="M298" i="6"/>
  <c r="N298" i="6"/>
  <c r="U299" i="6" l="1"/>
  <c r="T299" i="6"/>
  <c r="G298" i="6"/>
  <c r="F298" i="6"/>
  <c r="M299" i="6"/>
  <c r="N299" i="6"/>
  <c r="U300" i="6" l="1"/>
  <c r="T300" i="6"/>
  <c r="G299" i="6"/>
  <c r="F299" i="6"/>
  <c r="M300" i="6"/>
  <c r="N300" i="6"/>
  <c r="U301" i="6" l="1"/>
  <c r="T301" i="6"/>
  <c r="G300" i="6"/>
  <c r="F300" i="6"/>
  <c r="M301" i="6"/>
  <c r="N301" i="6"/>
  <c r="T302" i="6" l="1"/>
  <c r="U302" i="6"/>
  <c r="G301" i="6"/>
  <c r="F301" i="6"/>
  <c r="M302" i="6"/>
  <c r="N302" i="6"/>
  <c r="U303" i="6" l="1"/>
  <c r="T303" i="6"/>
  <c r="G302" i="6"/>
  <c r="F302" i="6"/>
  <c r="M303" i="6"/>
  <c r="N303" i="6"/>
  <c r="T304" i="6" l="1"/>
  <c r="U304" i="6"/>
  <c r="G303" i="6"/>
  <c r="F303" i="6"/>
  <c r="M304" i="6"/>
  <c r="N304" i="6"/>
  <c r="U305" i="6" l="1"/>
  <c r="T305" i="6"/>
  <c r="G304" i="6"/>
  <c r="F304" i="6"/>
  <c r="M305" i="6"/>
  <c r="N305" i="6"/>
  <c r="U306" i="6" l="1"/>
  <c r="T306" i="6"/>
  <c r="G305" i="6"/>
  <c r="F305" i="6"/>
  <c r="M306" i="6"/>
  <c r="N306" i="6"/>
  <c r="U307" i="6" l="1"/>
  <c r="T307" i="6"/>
  <c r="G306" i="6"/>
  <c r="F306" i="6"/>
  <c r="M307" i="6"/>
  <c r="N307" i="6"/>
  <c r="T308" i="6" l="1"/>
  <c r="U308" i="6"/>
  <c r="G307" i="6"/>
  <c r="F307" i="6"/>
  <c r="M308" i="6"/>
  <c r="N308" i="6"/>
  <c r="U309" i="6" l="1"/>
  <c r="T309" i="6"/>
  <c r="G308" i="6"/>
  <c r="F308" i="6"/>
  <c r="M309" i="6"/>
  <c r="N309" i="6"/>
  <c r="T310" i="6" l="1"/>
  <c r="U310" i="6"/>
  <c r="G309" i="6"/>
  <c r="F309" i="6"/>
  <c r="M310" i="6"/>
  <c r="N310" i="6"/>
  <c r="U311" i="6" l="1"/>
  <c r="T311" i="6"/>
  <c r="G310" i="6"/>
  <c r="F310" i="6"/>
  <c r="M311" i="6"/>
  <c r="N311" i="6"/>
  <c r="U312" i="6" l="1"/>
  <c r="T312" i="6"/>
  <c r="G311" i="6"/>
  <c r="F311" i="6"/>
  <c r="M312" i="6"/>
  <c r="N312" i="6"/>
  <c r="U313" i="6" l="1"/>
  <c r="T313" i="6"/>
  <c r="F312" i="6"/>
  <c r="G312" i="6"/>
  <c r="M313" i="6"/>
  <c r="N313" i="6"/>
  <c r="T314" i="6" l="1"/>
  <c r="U314" i="6"/>
  <c r="G313" i="6"/>
  <c r="F313" i="6"/>
  <c r="M314" i="6"/>
  <c r="N314" i="6"/>
  <c r="U315" i="6" l="1"/>
  <c r="T315" i="6"/>
  <c r="G314" i="6"/>
  <c r="F314" i="6"/>
  <c r="M315" i="6"/>
  <c r="N315" i="6"/>
  <c r="T316" i="6" l="1"/>
  <c r="U316" i="6"/>
  <c r="G315" i="6"/>
  <c r="F315" i="6"/>
  <c r="M316" i="6"/>
  <c r="N316" i="6"/>
  <c r="U317" i="6" l="1"/>
  <c r="T317" i="6"/>
  <c r="G316" i="6"/>
  <c r="F316" i="6"/>
  <c r="M317" i="6"/>
  <c r="N317" i="6"/>
  <c r="U318" i="6" l="1"/>
  <c r="T318" i="6"/>
  <c r="G317" i="6"/>
  <c r="F317" i="6"/>
  <c r="M318" i="6"/>
  <c r="N318" i="6"/>
  <c r="U319" i="6" l="1"/>
  <c r="T319" i="6"/>
  <c r="G318" i="6"/>
  <c r="F318" i="6"/>
  <c r="M319" i="6"/>
  <c r="N319" i="6"/>
  <c r="T320" i="6" l="1"/>
  <c r="U320" i="6"/>
  <c r="G319" i="6"/>
  <c r="F319" i="6"/>
  <c r="M320" i="6"/>
  <c r="N320" i="6"/>
  <c r="U321" i="6" l="1"/>
  <c r="T321" i="6"/>
  <c r="G320" i="6"/>
  <c r="F320" i="6"/>
  <c r="M321" i="6"/>
  <c r="N321" i="6"/>
  <c r="T322" i="6" l="1"/>
  <c r="U322" i="6"/>
  <c r="F321" i="6"/>
  <c r="G321" i="6"/>
  <c r="M322" i="6"/>
  <c r="N322" i="6"/>
  <c r="U323" i="6" l="1"/>
  <c r="T323" i="6"/>
  <c r="G322" i="6"/>
  <c r="F322" i="6"/>
  <c r="M323" i="6"/>
  <c r="N323" i="6"/>
  <c r="U324" i="6" l="1"/>
  <c r="T324" i="6"/>
  <c r="G323" i="6"/>
  <c r="F323" i="6"/>
  <c r="M324" i="6"/>
  <c r="N324" i="6"/>
  <c r="U325" i="6" l="1"/>
  <c r="T325" i="6"/>
  <c r="F324" i="6"/>
  <c r="G324" i="6"/>
  <c r="M325" i="6"/>
  <c r="N325" i="6"/>
  <c r="T326" i="6" l="1"/>
  <c r="U326" i="6"/>
  <c r="G325" i="6"/>
  <c r="F325" i="6"/>
  <c r="M326" i="6"/>
  <c r="N326" i="6"/>
  <c r="U327" i="6" l="1"/>
  <c r="T327" i="6"/>
  <c r="G326" i="6"/>
  <c r="F326" i="6"/>
  <c r="M327" i="6"/>
  <c r="N327" i="6"/>
  <c r="T328" i="6" l="1"/>
  <c r="U328" i="6"/>
  <c r="G327" i="6"/>
  <c r="F327" i="6"/>
  <c r="M328" i="6"/>
  <c r="N328" i="6"/>
  <c r="U329" i="6" l="1"/>
  <c r="T329" i="6"/>
  <c r="G328" i="6"/>
  <c r="F328" i="6"/>
  <c r="M329" i="6"/>
  <c r="N329" i="6"/>
  <c r="U330" i="6" l="1"/>
  <c r="T330" i="6"/>
  <c r="G329" i="6"/>
  <c r="F329" i="6"/>
  <c r="M330" i="6"/>
  <c r="N330" i="6"/>
  <c r="U331" i="6" l="1"/>
  <c r="T331" i="6"/>
  <c r="F330" i="6"/>
  <c r="G330" i="6"/>
  <c r="M331" i="6"/>
  <c r="N331" i="6"/>
  <c r="U332" i="6" l="1"/>
  <c r="T332" i="6"/>
  <c r="G331" i="6"/>
  <c r="F331" i="6"/>
  <c r="M332" i="6"/>
  <c r="N332" i="6"/>
  <c r="T333" i="6" l="1"/>
  <c r="U333" i="6"/>
  <c r="G332" i="6"/>
  <c r="F332" i="6"/>
  <c r="M333" i="6"/>
  <c r="N333" i="6"/>
  <c r="U334" i="6" l="1"/>
  <c r="T334" i="6"/>
  <c r="F333" i="6"/>
  <c r="G333" i="6"/>
  <c r="M334" i="6"/>
  <c r="N334" i="6"/>
  <c r="U335" i="6" l="1"/>
  <c r="T335" i="6"/>
  <c r="G334" i="6"/>
  <c r="F334" i="6"/>
  <c r="M335" i="6"/>
  <c r="N335" i="6"/>
  <c r="U336" i="6" l="1"/>
  <c r="T336" i="6"/>
  <c r="G335" i="6"/>
  <c r="F335" i="6"/>
  <c r="M336" i="6"/>
  <c r="N336" i="6"/>
  <c r="U337" i="6" l="1"/>
  <c r="T337" i="6"/>
  <c r="G336" i="6"/>
  <c r="F336" i="6"/>
  <c r="M337" i="6"/>
  <c r="N337" i="6"/>
  <c r="U338" i="6" l="1"/>
  <c r="T338" i="6"/>
  <c r="G337" i="6"/>
  <c r="F337" i="6"/>
  <c r="M338" i="6"/>
  <c r="N338" i="6"/>
  <c r="T339" i="6" l="1"/>
  <c r="U339" i="6"/>
  <c r="G338" i="6"/>
  <c r="F338" i="6"/>
  <c r="M339" i="6"/>
  <c r="N339" i="6"/>
  <c r="U340" i="6" l="1"/>
  <c r="T340" i="6"/>
  <c r="F339" i="6"/>
  <c r="G339" i="6"/>
  <c r="M340" i="6"/>
  <c r="N340" i="6"/>
  <c r="U341" i="6" l="1"/>
  <c r="T341" i="6"/>
  <c r="G340" i="6"/>
  <c r="F340" i="6"/>
  <c r="M341" i="6"/>
  <c r="N341" i="6"/>
  <c r="U342" i="6" l="1"/>
  <c r="T342" i="6"/>
  <c r="G341" i="6"/>
  <c r="F341" i="6"/>
  <c r="M342" i="6"/>
  <c r="N342" i="6"/>
  <c r="T343" i="6" l="1"/>
  <c r="U343" i="6"/>
  <c r="G342" i="6"/>
  <c r="F342" i="6"/>
  <c r="M343" i="6"/>
  <c r="N343" i="6"/>
  <c r="T344" i="6" l="1"/>
  <c r="U344" i="6"/>
  <c r="G343" i="6"/>
  <c r="F343" i="6"/>
  <c r="M344" i="6"/>
  <c r="N344" i="6"/>
  <c r="U345" i="6" l="1"/>
  <c r="T345" i="6"/>
  <c r="G344" i="6"/>
  <c r="F344" i="6"/>
  <c r="M345" i="6"/>
  <c r="N345" i="6"/>
  <c r="U346" i="6" l="1"/>
  <c r="T346" i="6"/>
  <c r="G345" i="6"/>
  <c r="F345" i="6"/>
  <c r="M346" i="6"/>
  <c r="N346" i="6"/>
  <c r="T347" i="6" l="1"/>
  <c r="U347" i="6"/>
  <c r="G346" i="6"/>
  <c r="F346" i="6"/>
  <c r="M347" i="6"/>
  <c r="N347" i="6"/>
  <c r="U348" i="6" l="1"/>
  <c r="T348" i="6"/>
  <c r="G347" i="6"/>
  <c r="F347" i="6"/>
  <c r="M348" i="6"/>
  <c r="N348" i="6"/>
  <c r="T349" i="6" l="1"/>
  <c r="U349" i="6"/>
  <c r="F348" i="6"/>
  <c r="G348" i="6"/>
  <c r="M349" i="6"/>
  <c r="N349" i="6"/>
  <c r="U350" i="6" l="1"/>
  <c r="T350" i="6"/>
  <c r="G349" i="6"/>
  <c r="F349" i="6"/>
  <c r="M350" i="6"/>
  <c r="N350" i="6"/>
  <c r="U351" i="6" l="1"/>
  <c r="T351" i="6"/>
  <c r="G350" i="6"/>
  <c r="F350" i="6"/>
  <c r="M351" i="6"/>
  <c r="N351" i="6"/>
  <c r="U352" i="6" l="1"/>
  <c r="T352" i="6"/>
  <c r="F351" i="6"/>
  <c r="G351" i="6"/>
  <c r="M352" i="6"/>
  <c r="N352" i="6"/>
  <c r="U353" i="6" l="1"/>
  <c r="T353" i="6"/>
  <c r="G352" i="6"/>
  <c r="F352" i="6"/>
  <c r="M353" i="6"/>
  <c r="N353" i="6"/>
  <c r="U354" i="6" l="1"/>
  <c r="T354" i="6"/>
  <c r="G353" i="6"/>
  <c r="F353" i="6"/>
  <c r="M354" i="6"/>
  <c r="N354" i="6"/>
  <c r="U355" i="6" l="1"/>
  <c r="T355" i="6"/>
  <c r="F354" i="6"/>
  <c r="G354" i="6"/>
  <c r="M355" i="6"/>
  <c r="N355" i="6"/>
  <c r="U356" i="6" l="1"/>
  <c r="T356" i="6"/>
  <c r="G355" i="6"/>
  <c r="F355" i="6"/>
  <c r="M356" i="6"/>
  <c r="N356" i="6"/>
  <c r="U357" i="6" l="1"/>
  <c r="T357" i="6"/>
  <c r="G356" i="6"/>
  <c r="F356" i="6"/>
  <c r="M357" i="6"/>
  <c r="N357" i="6"/>
  <c r="U358" i="6" l="1"/>
  <c r="T358" i="6"/>
  <c r="F357" i="6"/>
  <c r="G357" i="6"/>
  <c r="M358" i="6"/>
  <c r="N358" i="6"/>
  <c r="U359" i="6" l="1"/>
  <c r="T359" i="6"/>
  <c r="G358" i="6"/>
  <c r="F358" i="6"/>
  <c r="M359" i="6"/>
  <c r="N359" i="6"/>
  <c r="T360" i="6" l="1"/>
  <c r="U360" i="6"/>
  <c r="F359" i="6"/>
  <c r="G359" i="6"/>
  <c r="M360" i="6"/>
  <c r="N360" i="6"/>
  <c r="T361" i="6" l="1"/>
  <c r="U361" i="6"/>
  <c r="G360" i="6"/>
  <c r="F360" i="6"/>
  <c r="M361" i="6"/>
  <c r="N361" i="6"/>
  <c r="U362" i="6" l="1"/>
  <c r="T362" i="6"/>
  <c r="G361" i="6"/>
  <c r="F361" i="6"/>
  <c r="M362" i="6"/>
  <c r="N362" i="6"/>
  <c r="U363" i="6" l="1"/>
  <c r="T363" i="6"/>
  <c r="G362" i="6"/>
  <c r="F362" i="6"/>
  <c r="M363" i="6"/>
  <c r="N363" i="6"/>
  <c r="U364" i="6" l="1"/>
  <c r="T364" i="6"/>
  <c r="G363" i="6"/>
  <c r="F363" i="6"/>
  <c r="M364" i="6"/>
  <c r="N364" i="6"/>
  <c r="U365" i="6" l="1"/>
  <c r="T365" i="6"/>
  <c r="G364" i="6"/>
  <c r="F364" i="6"/>
  <c r="M365" i="6"/>
  <c r="N365" i="6"/>
  <c r="U366" i="6" l="1"/>
  <c r="T366" i="6"/>
  <c r="G365" i="6"/>
  <c r="F365" i="6"/>
  <c r="M366" i="6"/>
  <c r="N366" i="6"/>
  <c r="U367" i="6" l="1"/>
  <c r="T367" i="6"/>
  <c r="G366" i="6"/>
  <c r="F366" i="6"/>
  <c r="M367" i="6"/>
  <c r="N367" i="6"/>
  <c r="U368" i="6" l="1"/>
  <c r="T368" i="6"/>
  <c r="G367" i="6"/>
  <c r="F367" i="6"/>
  <c r="M368" i="6"/>
  <c r="N368" i="6"/>
  <c r="U369" i="6" l="1"/>
  <c r="T369" i="6"/>
  <c r="F368" i="6"/>
  <c r="G368" i="6"/>
  <c r="M369" i="6"/>
  <c r="N369" i="6"/>
  <c r="U370" i="6" l="1"/>
  <c r="T370" i="6"/>
  <c r="G369" i="6"/>
  <c r="F369" i="6"/>
  <c r="M370" i="6"/>
  <c r="N370" i="6"/>
  <c r="T371" i="6" l="1"/>
  <c r="U371" i="6"/>
  <c r="G370" i="6"/>
  <c r="F370" i="6"/>
  <c r="M371" i="6"/>
  <c r="N371" i="6"/>
  <c r="U372" i="6" l="1"/>
  <c r="T372" i="6"/>
  <c r="F371" i="6"/>
  <c r="G371" i="6"/>
  <c r="M372" i="6"/>
  <c r="N372" i="6"/>
  <c r="U373" i="6" l="1"/>
  <c r="T373" i="6"/>
  <c r="G372" i="6"/>
  <c r="F372" i="6"/>
  <c r="M373" i="6"/>
  <c r="N373" i="6"/>
  <c r="U374" i="6" l="1"/>
  <c r="T374" i="6"/>
  <c r="G373" i="6"/>
  <c r="F373" i="6"/>
  <c r="M374" i="6"/>
  <c r="N374" i="6"/>
  <c r="U375" i="6" l="1"/>
  <c r="T375" i="6"/>
  <c r="F374" i="6"/>
  <c r="G374" i="6"/>
  <c r="M375" i="6"/>
  <c r="N375" i="6"/>
  <c r="U376" i="6" l="1"/>
  <c r="T376" i="6"/>
  <c r="G375" i="6"/>
  <c r="F375" i="6"/>
  <c r="M376" i="6"/>
  <c r="N376" i="6"/>
  <c r="U377" i="6" l="1"/>
  <c r="T377" i="6"/>
  <c r="G376" i="6"/>
  <c r="F376" i="6"/>
  <c r="M377" i="6"/>
  <c r="N377" i="6"/>
  <c r="U378" i="6" l="1"/>
  <c r="T378" i="6"/>
  <c r="F377" i="6"/>
  <c r="G377" i="6"/>
  <c r="M378" i="6"/>
  <c r="N378" i="6"/>
  <c r="U379" i="6" l="1"/>
  <c r="T379" i="6"/>
  <c r="G378" i="6"/>
  <c r="F378" i="6"/>
  <c r="M379" i="6"/>
  <c r="N379" i="6"/>
  <c r="U380" i="6" l="1"/>
  <c r="T380" i="6"/>
  <c r="G379" i="6"/>
  <c r="F379" i="6"/>
  <c r="M380" i="6"/>
  <c r="N380" i="6"/>
  <c r="U381" i="6" l="1"/>
  <c r="T381" i="6"/>
  <c r="G380" i="6"/>
  <c r="F380" i="6"/>
  <c r="M381" i="6"/>
  <c r="N381" i="6"/>
  <c r="U382" i="6" l="1"/>
  <c r="T382" i="6"/>
  <c r="G381" i="6"/>
  <c r="F381" i="6"/>
  <c r="M382" i="6"/>
  <c r="N382" i="6"/>
  <c r="T383" i="6" l="1"/>
  <c r="U383" i="6"/>
  <c r="G382" i="6"/>
  <c r="F382" i="6"/>
  <c r="M383" i="6"/>
  <c r="N383" i="6"/>
  <c r="U384" i="6" l="1"/>
  <c r="T384" i="6"/>
  <c r="G383" i="6"/>
  <c r="F383" i="6"/>
  <c r="M384" i="6"/>
  <c r="N384" i="6"/>
  <c r="U385" i="6" l="1"/>
  <c r="T385" i="6"/>
  <c r="G384" i="6"/>
  <c r="F384" i="6"/>
  <c r="M385" i="6"/>
  <c r="N385" i="6"/>
  <c r="U386" i="6" l="1"/>
  <c r="T386" i="6"/>
  <c r="G385" i="6"/>
  <c r="F385" i="6"/>
  <c r="M386" i="6"/>
  <c r="N386" i="6"/>
  <c r="U387" i="6" l="1"/>
  <c r="T387" i="6"/>
  <c r="G386" i="6"/>
  <c r="F386" i="6"/>
  <c r="M387" i="6"/>
  <c r="N387" i="6"/>
  <c r="U388" i="6" l="1"/>
  <c r="T388" i="6"/>
  <c r="G387" i="6"/>
  <c r="F387" i="6"/>
  <c r="M388" i="6"/>
  <c r="N388" i="6"/>
  <c r="T389" i="6" l="1"/>
  <c r="U389" i="6"/>
  <c r="G388" i="6"/>
  <c r="F388" i="6"/>
  <c r="M389" i="6"/>
  <c r="N389" i="6"/>
  <c r="U390" i="6" l="1"/>
  <c r="T390" i="6"/>
  <c r="F389" i="6"/>
  <c r="G389" i="6"/>
  <c r="M390" i="6"/>
  <c r="N390" i="6"/>
  <c r="U391" i="6" l="1"/>
  <c r="T391" i="6"/>
  <c r="G390" i="6"/>
  <c r="F390" i="6"/>
  <c r="M391" i="6"/>
  <c r="N391" i="6"/>
  <c r="U392" i="6" l="1"/>
  <c r="T392" i="6"/>
  <c r="G391" i="6"/>
  <c r="F391" i="6"/>
  <c r="M392" i="6"/>
  <c r="N392" i="6"/>
  <c r="U393" i="6" l="1"/>
  <c r="T393" i="6"/>
  <c r="F392" i="6"/>
  <c r="G392" i="6"/>
  <c r="M393" i="6"/>
  <c r="N393" i="6"/>
  <c r="U394" i="6" l="1"/>
  <c r="T394" i="6"/>
  <c r="G393" i="6"/>
  <c r="F393" i="6"/>
  <c r="M394" i="6"/>
  <c r="N394" i="6"/>
  <c r="U395" i="6" l="1"/>
  <c r="T395" i="6"/>
  <c r="G394" i="6"/>
  <c r="F394" i="6"/>
  <c r="M395" i="6"/>
  <c r="N395" i="6"/>
  <c r="U396" i="6" l="1"/>
  <c r="T396" i="6"/>
  <c r="F395" i="6"/>
  <c r="G395" i="6"/>
  <c r="M396" i="6"/>
  <c r="N396" i="6"/>
  <c r="U397" i="6" l="1"/>
  <c r="T397" i="6"/>
  <c r="G396" i="6"/>
  <c r="F396" i="6"/>
  <c r="M397" i="6"/>
  <c r="N397" i="6"/>
  <c r="U398" i="6" l="1"/>
  <c r="T398" i="6"/>
  <c r="G397" i="6"/>
  <c r="F397" i="6"/>
  <c r="M398" i="6"/>
  <c r="N398" i="6"/>
  <c r="U399" i="6" l="1"/>
  <c r="T399" i="6"/>
  <c r="F398" i="6"/>
  <c r="G398" i="6"/>
  <c r="M399" i="6"/>
  <c r="N399" i="6"/>
  <c r="U400" i="6" l="1"/>
  <c r="T400" i="6"/>
  <c r="G399" i="6"/>
  <c r="F399" i="6"/>
  <c r="M400" i="6"/>
  <c r="N400" i="6"/>
  <c r="T401" i="6" l="1"/>
  <c r="U401" i="6"/>
  <c r="G400" i="6"/>
  <c r="F400" i="6"/>
  <c r="M401" i="6"/>
  <c r="N401" i="6"/>
  <c r="U402" i="6" l="1"/>
  <c r="T402" i="6"/>
  <c r="F401" i="6"/>
  <c r="G401" i="6"/>
  <c r="M402" i="6"/>
  <c r="N402" i="6"/>
  <c r="U403" i="6" l="1"/>
  <c r="T403" i="6"/>
  <c r="G402" i="6"/>
  <c r="F402" i="6"/>
  <c r="M403" i="6"/>
  <c r="N403" i="6"/>
  <c r="U404" i="6" l="1"/>
  <c r="T404" i="6"/>
  <c r="G403" i="6"/>
  <c r="F403" i="6"/>
  <c r="M404" i="6"/>
  <c r="N404" i="6"/>
  <c r="U405" i="6" l="1"/>
  <c r="T405" i="6"/>
  <c r="F404" i="6"/>
  <c r="G404" i="6"/>
  <c r="M405" i="6"/>
  <c r="N405" i="6"/>
  <c r="U406" i="6" l="1"/>
  <c r="T406" i="6"/>
  <c r="G405" i="6"/>
  <c r="F405" i="6"/>
  <c r="M406" i="6"/>
  <c r="N406" i="6"/>
  <c r="T407" i="6" l="1"/>
  <c r="U407" i="6"/>
  <c r="G406" i="6"/>
  <c r="F406" i="6"/>
  <c r="M407" i="6"/>
  <c r="N407" i="6"/>
  <c r="U408" i="6" l="1"/>
  <c r="T408" i="6"/>
  <c r="F407" i="6"/>
  <c r="G407" i="6"/>
  <c r="M408" i="6"/>
  <c r="N408" i="6"/>
  <c r="U409" i="6" l="1"/>
  <c r="T409" i="6"/>
  <c r="G408" i="6"/>
  <c r="F408" i="6"/>
  <c r="M409" i="6"/>
  <c r="N409" i="6"/>
  <c r="U410" i="6" l="1"/>
  <c r="T410" i="6"/>
  <c r="G409" i="6"/>
  <c r="F409" i="6"/>
  <c r="M410" i="6"/>
  <c r="N410" i="6"/>
  <c r="U411" i="6" l="1"/>
  <c r="T411" i="6"/>
  <c r="F410" i="6"/>
  <c r="G410" i="6"/>
  <c r="M411" i="6"/>
  <c r="N411" i="6"/>
  <c r="U412" i="6" l="1"/>
  <c r="T412" i="6"/>
  <c r="G411" i="6"/>
  <c r="F411" i="6"/>
  <c r="M412" i="6"/>
  <c r="N412" i="6"/>
  <c r="U413" i="6" l="1"/>
  <c r="T413" i="6"/>
  <c r="G412" i="6"/>
  <c r="F412" i="6"/>
  <c r="M413" i="6"/>
  <c r="N413" i="6"/>
  <c r="T414" i="6" l="1"/>
  <c r="U414" i="6"/>
  <c r="G413" i="6"/>
  <c r="F413" i="6"/>
  <c r="M414" i="6"/>
  <c r="N414" i="6"/>
  <c r="U415" i="6" l="1"/>
  <c r="T415" i="6"/>
  <c r="F414" i="6"/>
  <c r="G414" i="6"/>
  <c r="M415" i="6"/>
  <c r="N415" i="6"/>
  <c r="U416" i="6" l="1"/>
  <c r="T416" i="6"/>
  <c r="G415" i="6"/>
  <c r="F415" i="6"/>
  <c r="M416" i="6"/>
  <c r="N416" i="6"/>
  <c r="U417" i="6" l="1"/>
  <c r="T417" i="6"/>
  <c r="G416" i="6"/>
  <c r="F416" i="6"/>
  <c r="M417" i="6"/>
  <c r="N417" i="6"/>
  <c r="U418" i="6" l="1"/>
  <c r="T418" i="6"/>
  <c r="F417" i="6"/>
  <c r="G417" i="6"/>
  <c r="M418" i="6"/>
  <c r="N418" i="6"/>
  <c r="U419" i="6" l="1"/>
  <c r="T419" i="6"/>
  <c r="G418" i="6"/>
  <c r="F418" i="6"/>
  <c r="M419" i="6"/>
  <c r="N419" i="6"/>
  <c r="U420" i="6" l="1"/>
  <c r="T420" i="6"/>
  <c r="G419" i="6"/>
  <c r="F419" i="6"/>
  <c r="M420" i="6"/>
  <c r="N420" i="6"/>
  <c r="U421" i="6" l="1"/>
  <c r="T421" i="6"/>
  <c r="F420" i="6"/>
  <c r="G420" i="6"/>
  <c r="M421" i="6"/>
  <c r="N421" i="6"/>
  <c r="U422" i="6" l="1"/>
  <c r="T422" i="6"/>
  <c r="G421" i="6"/>
  <c r="F421" i="6"/>
  <c r="M422" i="6"/>
  <c r="N422" i="6"/>
  <c r="T423" i="6" l="1"/>
  <c r="U423" i="6"/>
  <c r="G422" i="6"/>
  <c r="F422" i="6"/>
  <c r="M423" i="6"/>
  <c r="N423" i="6"/>
  <c r="U424" i="6" l="1"/>
  <c r="T424" i="6"/>
  <c r="G423" i="6"/>
  <c r="F423" i="6"/>
  <c r="M424" i="6"/>
  <c r="N424" i="6"/>
  <c r="U425" i="6" l="1"/>
  <c r="T425" i="6"/>
  <c r="G424" i="6"/>
  <c r="F424" i="6"/>
  <c r="M425" i="6"/>
  <c r="N425" i="6"/>
  <c r="U426" i="6" l="1"/>
  <c r="T426" i="6"/>
  <c r="G425" i="6"/>
  <c r="F425" i="6"/>
  <c r="M426" i="6"/>
  <c r="N426" i="6"/>
  <c r="U427" i="6" l="1"/>
  <c r="T427" i="6"/>
  <c r="F426" i="6"/>
  <c r="G426" i="6"/>
  <c r="M427" i="6"/>
  <c r="N427" i="6"/>
  <c r="U428" i="6" l="1"/>
  <c r="T428" i="6"/>
  <c r="G427" i="6"/>
  <c r="F427" i="6"/>
  <c r="M428" i="6"/>
  <c r="N428" i="6"/>
  <c r="U429" i="6" l="1"/>
  <c r="T429" i="6"/>
  <c r="G428" i="6"/>
  <c r="F428" i="6"/>
  <c r="M429" i="6"/>
  <c r="N429" i="6"/>
  <c r="U430" i="6" l="1"/>
  <c r="T430" i="6"/>
  <c r="F429" i="6"/>
  <c r="G429" i="6"/>
  <c r="M430" i="6"/>
  <c r="N430" i="6"/>
  <c r="U431" i="6" l="1"/>
  <c r="T431" i="6"/>
  <c r="G430" i="6"/>
  <c r="F430" i="6"/>
  <c r="M431" i="6"/>
  <c r="N431" i="6"/>
  <c r="T432" i="6" l="1"/>
  <c r="U432" i="6"/>
  <c r="G431" i="6"/>
  <c r="F431" i="6"/>
  <c r="M432" i="6"/>
  <c r="N432" i="6"/>
  <c r="U433" i="6" l="1"/>
  <c r="T433" i="6"/>
  <c r="F432" i="6"/>
  <c r="G432" i="6"/>
  <c r="M433" i="6"/>
  <c r="N433" i="6"/>
  <c r="U434" i="6" l="1"/>
  <c r="T434" i="6"/>
  <c r="G433" i="6"/>
  <c r="F433" i="6"/>
  <c r="M434" i="6"/>
  <c r="N434" i="6"/>
  <c r="T435" i="6" l="1"/>
  <c r="U435" i="6"/>
  <c r="G434" i="6"/>
  <c r="F434" i="6"/>
  <c r="M435" i="6"/>
  <c r="N435" i="6"/>
  <c r="U436" i="6" l="1"/>
  <c r="T436" i="6"/>
  <c r="F435" i="6"/>
  <c r="G435" i="6"/>
  <c r="M436" i="6"/>
  <c r="N436" i="6"/>
  <c r="U437" i="6" l="1"/>
  <c r="T437" i="6"/>
  <c r="G436" i="6"/>
  <c r="F436" i="6"/>
  <c r="M437" i="6"/>
  <c r="N437" i="6"/>
  <c r="T438" i="6" l="1"/>
  <c r="U438" i="6"/>
  <c r="G437" i="6"/>
  <c r="F437" i="6"/>
  <c r="M438" i="6"/>
  <c r="N438" i="6"/>
  <c r="U439" i="6" l="1"/>
  <c r="T439" i="6"/>
  <c r="F438" i="6"/>
  <c r="G438" i="6"/>
  <c r="M439" i="6"/>
  <c r="N439" i="6"/>
  <c r="U440" i="6" l="1"/>
  <c r="T440" i="6"/>
  <c r="G439" i="6"/>
  <c r="F439" i="6"/>
  <c r="M440" i="6"/>
  <c r="N440" i="6"/>
  <c r="T441" i="6" l="1"/>
  <c r="U441" i="6"/>
  <c r="G440" i="6"/>
  <c r="F440" i="6"/>
  <c r="M441" i="6"/>
  <c r="N441" i="6"/>
  <c r="U442" i="6" l="1"/>
  <c r="T442" i="6"/>
  <c r="G441" i="6"/>
  <c r="F441" i="6"/>
  <c r="M442" i="6"/>
  <c r="N442" i="6"/>
  <c r="U443" i="6" l="1"/>
  <c r="T443" i="6"/>
  <c r="G442" i="6"/>
  <c r="F442" i="6"/>
  <c r="M443" i="6"/>
  <c r="N443" i="6"/>
  <c r="T444" i="6" l="1"/>
  <c r="U444" i="6"/>
  <c r="G443" i="6"/>
  <c r="F443" i="6"/>
  <c r="M444" i="6"/>
  <c r="N444" i="6"/>
  <c r="T445" i="6" l="1"/>
  <c r="U445" i="6"/>
  <c r="F444" i="6"/>
  <c r="G444" i="6"/>
  <c r="M445" i="6"/>
  <c r="N445" i="6"/>
  <c r="U446" i="6" l="1"/>
  <c r="T446" i="6"/>
  <c r="G445" i="6"/>
  <c r="F445" i="6"/>
  <c r="M446" i="6"/>
  <c r="N446" i="6"/>
  <c r="U447" i="6" l="1"/>
  <c r="T447" i="6"/>
  <c r="G446" i="6"/>
  <c r="F446" i="6"/>
  <c r="M447" i="6"/>
  <c r="N447" i="6"/>
  <c r="U448" i="6" l="1"/>
  <c r="T448" i="6"/>
  <c r="F447" i="6"/>
  <c r="G447" i="6"/>
  <c r="M448" i="6"/>
  <c r="N448" i="6"/>
  <c r="U449" i="6" l="1"/>
  <c r="T449" i="6"/>
  <c r="G448" i="6"/>
  <c r="F448" i="6"/>
  <c r="M449" i="6"/>
  <c r="N449" i="6"/>
  <c r="U450" i="6" l="1"/>
  <c r="T450" i="6"/>
  <c r="G449" i="6"/>
  <c r="F449" i="6"/>
  <c r="M450" i="6"/>
  <c r="N450" i="6"/>
  <c r="U451" i="6" l="1"/>
  <c r="T451" i="6"/>
  <c r="F450" i="6"/>
  <c r="G450" i="6"/>
  <c r="M451" i="6"/>
  <c r="N451" i="6"/>
  <c r="U452" i="6" l="1"/>
  <c r="T452" i="6"/>
  <c r="G451" i="6"/>
  <c r="F451" i="6"/>
  <c r="M452" i="6"/>
  <c r="N452" i="6"/>
  <c r="T453" i="6" l="1"/>
  <c r="U453" i="6"/>
  <c r="G452" i="6"/>
  <c r="F452" i="6"/>
  <c r="M453" i="6"/>
  <c r="N453" i="6"/>
  <c r="U454" i="6" l="1"/>
  <c r="T454" i="6"/>
  <c r="F453" i="6"/>
  <c r="G453" i="6"/>
  <c r="M454" i="6"/>
  <c r="N454" i="6"/>
  <c r="U455" i="6" l="1"/>
  <c r="T455" i="6"/>
  <c r="G454" i="6"/>
  <c r="F454" i="6"/>
  <c r="M455" i="6"/>
  <c r="N455" i="6"/>
  <c r="T456" i="6" l="1"/>
  <c r="U456" i="6"/>
  <c r="G455" i="6"/>
  <c r="F455" i="6"/>
  <c r="M456" i="6"/>
  <c r="N456" i="6"/>
  <c r="U457" i="6" l="1"/>
  <c r="T457" i="6"/>
  <c r="F456" i="6"/>
  <c r="G456" i="6"/>
  <c r="M457" i="6"/>
  <c r="N457" i="6"/>
  <c r="U458" i="6" l="1"/>
  <c r="T458" i="6"/>
  <c r="G457" i="6"/>
  <c r="F457" i="6"/>
  <c r="M458" i="6"/>
  <c r="N458" i="6"/>
  <c r="T459" i="6" l="1"/>
  <c r="U459" i="6"/>
  <c r="G458" i="6"/>
  <c r="F458" i="6"/>
  <c r="M459" i="6"/>
  <c r="N459" i="6"/>
  <c r="U460" i="6" l="1"/>
  <c r="T460" i="6"/>
  <c r="F459" i="6"/>
  <c r="G459" i="6"/>
  <c r="M460" i="6"/>
  <c r="N460" i="6"/>
  <c r="U461" i="6" l="1"/>
  <c r="T461" i="6"/>
  <c r="G460" i="6"/>
  <c r="F460" i="6"/>
  <c r="M461" i="6"/>
  <c r="N461" i="6"/>
  <c r="T462" i="6" l="1"/>
  <c r="U462" i="6"/>
  <c r="G461" i="6"/>
  <c r="F461" i="6"/>
  <c r="M462" i="6"/>
  <c r="N462" i="6"/>
  <c r="U463" i="6" l="1"/>
  <c r="T463" i="6"/>
  <c r="F462" i="6"/>
  <c r="G462" i="6"/>
  <c r="M463" i="6"/>
  <c r="N463" i="6"/>
  <c r="U464" i="6" l="1"/>
  <c r="T464" i="6"/>
  <c r="G463" i="6"/>
  <c r="F463" i="6"/>
  <c r="M464" i="6"/>
  <c r="N464" i="6"/>
  <c r="T465" i="6" l="1"/>
  <c r="U465" i="6"/>
  <c r="G464" i="6"/>
  <c r="F464" i="6"/>
  <c r="M465" i="6"/>
  <c r="N465" i="6"/>
  <c r="U466" i="6" l="1"/>
  <c r="T466" i="6"/>
  <c r="F465" i="6"/>
  <c r="G465" i="6"/>
  <c r="M466" i="6"/>
  <c r="N466" i="6"/>
  <c r="U467" i="6" l="1"/>
  <c r="T467" i="6"/>
  <c r="G466" i="6"/>
  <c r="F466" i="6"/>
  <c r="M467" i="6"/>
  <c r="N467" i="6"/>
  <c r="T468" i="6" l="1"/>
  <c r="U468" i="6"/>
  <c r="G467" i="6"/>
  <c r="F467" i="6"/>
  <c r="M468" i="6"/>
  <c r="N468" i="6"/>
  <c r="U469" i="6" l="1"/>
  <c r="T469" i="6"/>
  <c r="F468" i="6"/>
  <c r="G468" i="6"/>
  <c r="M469" i="6"/>
  <c r="N469" i="6"/>
  <c r="U470" i="6" l="1"/>
  <c r="T470" i="6"/>
  <c r="G469" i="6"/>
  <c r="F469" i="6"/>
  <c r="M470" i="6"/>
  <c r="N470" i="6"/>
  <c r="U471" i="6" l="1"/>
  <c r="T471" i="6"/>
  <c r="G470" i="6"/>
  <c r="F470" i="6"/>
  <c r="M471" i="6"/>
  <c r="N471" i="6"/>
  <c r="U472" i="6" l="1"/>
  <c r="T472" i="6"/>
  <c r="G471" i="6"/>
  <c r="F471" i="6"/>
  <c r="M472" i="6"/>
  <c r="N472" i="6"/>
  <c r="U473" i="6" l="1"/>
  <c r="T473" i="6"/>
  <c r="G472" i="6"/>
  <c r="F472" i="6"/>
  <c r="M473" i="6"/>
  <c r="N473" i="6"/>
  <c r="T474" i="6" l="1"/>
  <c r="U474" i="6"/>
  <c r="G473" i="6"/>
  <c r="F473" i="6"/>
  <c r="M474" i="6"/>
  <c r="N474" i="6"/>
  <c r="U475" i="6" l="1"/>
  <c r="T475" i="6"/>
  <c r="G474" i="6"/>
  <c r="F474" i="6"/>
  <c r="M475" i="6"/>
  <c r="N475" i="6"/>
  <c r="U476" i="6" l="1"/>
  <c r="T476" i="6"/>
  <c r="G475" i="6"/>
  <c r="F475" i="6"/>
  <c r="M476" i="6"/>
  <c r="N476" i="6"/>
  <c r="T477" i="6" l="1"/>
  <c r="U477" i="6"/>
  <c r="G476" i="6"/>
  <c r="F476" i="6"/>
  <c r="M477" i="6"/>
  <c r="N477" i="6"/>
  <c r="U478" i="6" l="1"/>
  <c r="T478" i="6"/>
  <c r="F477" i="6"/>
  <c r="G477" i="6"/>
  <c r="M478" i="6"/>
  <c r="N478" i="6"/>
  <c r="U479" i="6" l="1"/>
  <c r="T479" i="6"/>
  <c r="G478" i="6"/>
  <c r="F478" i="6"/>
  <c r="M479" i="6"/>
  <c r="N479" i="6"/>
  <c r="U480" i="6" l="1"/>
  <c r="T480" i="6"/>
  <c r="G479" i="6"/>
  <c r="F479" i="6"/>
  <c r="M480" i="6"/>
  <c r="N480" i="6"/>
  <c r="U481" i="6" l="1"/>
  <c r="T481" i="6"/>
  <c r="F480" i="6"/>
  <c r="G480" i="6"/>
  <c r="M481" i="6"/>
  <c r="N481" i="6"/>
  <c r="U482" i="6" l="1"/>
  <c r="T482" i="6"/>
  <c r="G481" i="6"/>
  <c r="F481" i="6"/>
  <c r="M482" i="6"/>
  <c r="N482" i="6"/>
  <c r="T483" i="6" l="1"/>
  <c r="U483" i="6"/>
  <c r="G482" i="6"/>
  <c r="F482" i="6"/>
  <c r="M483" i="6"/>
  <c r="N483" i="6"/>
  <c r="U484" i="6" l="1"/>
  <c r="T484" i="6"/>
  <c r="F483" i="6"/>
  <c r="G483" i="6"/>
  <c r="M484" i="6"/>
  <c r="N484" i="6"/>
  <c r="U485" i="6" l="1"/>
  <c r="T485" i="6"/>
  <c r="G484" i="6"/>
  <c r="F484" i="6"/>
  <c r="M485" i="6"/>
  <c r="N485" i="6"/>
  <c r="U486" i="6" l="1"/>
  <c r="T486" i="6"/>
  <c r="G485" i="6"/>
  <c r="F485" i="6"/>
  <c r="M486" i="6"/>
  <c r="N486" i="6"/>
  <c r="U487" i="6" l="1"/>
  <c r="T487" i="6"/>
  <c r="F486" i="6"/>
  <c r="G486" i="6"/>
  <c r="M487" i="6"/>
  <c r="N487" i="6"/>
  <c r="U488" i="6" l="1"/>
  <c r="T488" i="6"/>
  <c r="G487" i="6"/>
  <c r="F487" i="6"/>
  <c r="M488" i="6"/>
  <c r="N488" i="6"/>
  <c r="T489" i="6" l="1"/>
  <c r="U489" i="6"/>
  <c r="G488" i="6"/>
  <c r="F488" i="6"/>
  <c r="M489" i="6"/>
  <c r="N489" i="6"/>
  <c r="U490" i="6" l="1"/>
  <c r="T490" i="6"/>
  <c r="G489" i="6"/>
  <c r="F489" i="6"/>
  <c r="M490" i="6"/>
  <c r="N490" i="6"/>
  <c r="T491" i="6" l="1"/>
  <c r="U491" i="6"/>
  <c r="G490" i="6"/>
  <c r="F490" i="6"/>
  <c r="M491" i="6"/>
  <c r="N491" i="6"/>
  <c r="U492" i="6" l="1"/>
  <c r="T492" i="6"/>
  <c r="G491" i="6"/>
  <c r="F491" i="6"/>
  <c r="M492" i="6"/>
  <c r="N492" i="6"/>
  <c r="T493" i="6" l="1"/>
  <c r="U493" i="6"/>
  <c r="G492" i="6"/>
  <c r="F492" i="6"/>
  <c r="M493" i="6"/>
  <c r="N493" i="6"/>
  <c r="T494" i="6" l="1"/>
  <c r="U494" i="6"/>
  <c r="G493" i="6"/>
  <c r="F493" i="6"/>
  <c r="M494" i="6"/>
  <c r="N494" i="6"/>
  <c r="T495" i="6" l="1"/>
  <c r="U495" i="6"/>
  <c r="F494" i="6"/>
  <c r="G494" i="6"/>
  <c r="M495" i="6"/>
  <c r="N495" i="6"/>
  <c r="U496" i="6" l="1"/>
  <c r="T496" i="6"/>
  <c r="G495" i="6"/>
  <c r="F495" i="6"/>
  <c r="M496" i="6"/>
  <c r="N496" i="6"/>
  <c r="U497" i="6" l="1"/>
  <c r="T497" i="6"/>
  <c r="G496" i="6"/>
  <c r="F496" i="6"/>
  <c r="M497" i="6"/>
  <c r="N497" i="6"/>
  <c r="T498" i="6" l="1"/>
  <c r="U498" i="6"/>
  <c r="G497" i="6"/>
  <c r="F497" i="6"/>
  <c r="M498" i="6"/>
  <c r="N498" i="6"/>
  <c r="U499" i="6" l="1"/>
  <c r="T499" i="6"/>
  <c r="G498" i="6"/>
  <c r="F498" i="6"/>
  <c r="M499" i="6"/>
  <c r="N499" i="6"/>
  <c r="U500" i="6" l="1"/>
  <c r="T500" i="6"/>
  <c r="G499" i="6"/>
  <c r="F499" i="6"/>
  <c r="M500" i="6"/>
  <c r="N500" i="6"/>
  <c r="T501" i="6" l="1"/>
  <c r="U501" i="6"/>
  <c r="G500" i="6"/>
  <c r="F500" i="6"/>
  <c r="M501" i="6"/>
  <c r="N501" i="6"/>
  <c r="U502" i="6" l="1"/>
  <c r="T502" i="6"/>
  <c r="F501" i="6"/>
  <c r="G501" i="6"/>
  <c r="M502" i="6"/>
  <c r="N502" i="6"/>
  <c r="U503" i="6" l="1"/>
  <c r="T503" i="6"/>
  <c r="G502" i="6"/>
  <c r="F502" i="6"/>
  <c r="M503" i="6"/>
  <c r="N503" i="6"/>
  <c r="T504" i="6" l="1"/>
  <c r="U504" i="6"/>
  <c r="G503" i="6"/>
  <c r="F503" i="6"/>
  <c r="M504" i="6"/>
  <c r="N504" i="6"/>
  <c r="U505" i="6" l="1"/>
  <c r="T505" i="6"/>
  <c r="F504" i="6"/>
  <c r="G504" i="6"/>
  <c r="M505" i="6"/>
  <c r="N505" i="6"/>
  <c r="U506" i="6" l="1"/>
  <c r="T506" i="6"/>
  <c r="G505" i="6"/>
  <c r="F505" i="6"/>
  <c r="M506" i="6"/>
  <c r="N506" i="6"/>
  <c r="U507" i="6" l="1"/>
  <c r="T507" i="6"/>
  <c r="G506" i="6"/>
  <c r="F506" i="6"/>
  <c r="M507" i="6"/>
  <c r="N507" i="6"/>
  <c r="U508" i="6" l="1"/>
  <c r="T508" i="6"/>
  <c r="F507" i="6"/>
  <c r="G507" i="6"/>
  <c r="M508" i="6"/>
  <c r="N508" i="6"/>
  <c r="U509" i="6" l="1"/>
  <c r="T509" i="6"/>
  <c r="G508" i="6"/>
  <c r="F508" i="6"/>
  <c r="M509" i="6"/>
  <c r="N509" i="6"/>
  <c r="T510" i="6" l="1"/>
  <c r="U510" i="6"/>
  <c r="G509" i="6"/>
  <c r="F509" i="6"/>
  <c r="M510" i="6"/>
  <c r="N510" i="6"/>
  <c r="U511" i="6" l="1"/>
  <c r="T511" i="6"/>
  <c r="G510" i="6"/>
  <c r="F510" i="6"/>
  <c r="M511" i="6"/>
  <c r="N511" i="6"/>
  <c r="U512" i="6" l="1"/>
  <c r="T512" i="6"/>
  <c r="G511" i="6"/>
  <c r="F511" i="6"/>
  <c r="M512" i="6"/>
  <c r="N512" i="6"/>
  <c r="T513" i="6" l="1"/>
  <c r="U513" i="6"/>
  <c r="G512" i="6"/>
  <c r="F512" i="6"/>
  <c r="M513" i="6"/>
  <c r="N513" i="6"/>
  <c r="U514" i="6" l="1"/>
  <c r="T514" i="6"/>
  <c r="F513" i="6"/>
  <c r="G513" i="6"/>
  <c r="M514" i="6"/>
  <c r="N514" i="6"/>
  <c r="U515" i="6" l="1"/>
  <c r="T515" i="6"/>
  <c r="G514" i="6"/>
  <c r="F514" i="6"/>
  <c r="M515" i="6"/>
  <c r="N515" i="6"/>
  <c r="U516" i="6" l="1"/>
  <c r="T516" i="6"/>
  <c r="G515" i="6"/>
  <c r="F515" i="6"/>
  <c r="M516" i="6"/>
  <c r="N516" i="6"/>
  <c r="U517" i="6" l="1"/>
  <c r="T517" i="6"/>
  <c r="F516" i="6"/>
  <c r="G516" i="6"/>
  <c r="M517" i="6"/>
  <c r="N517" i="6"/>
  <c r="U518" i="6" l="1"/>
  <c r="T518" i="6"/>
  <c r="G517" i="6"/>
  <c r="F517" i="6"/>
  <c r="M518" i="6"/>
  <c r="N518" i="6"/>
  <c r="T519" i="6" l="1"/>
  <c r="U519" i="6"/>
  <c r="G518" i="6"/>
  <c r="F518" i="6"/>
  <c r="M519" i="6"/>
  <c r="N519" i="6"/>
  <c r="U520" i="6" l="1"/>
  <c r="T520" i="6"/>
  <c r="F519" i="6"/>
  <c r="G519" i="6"/>
  <c r="M520" i="6"/>
  <c r="N520" i="6"/>
  <c r="U521" i="6" l="1"/>
  <c r="T521" i="6"/>
  <c r="G520" i="6"/>
  <c r="F520" i="6"/>
  <c r="M521" i="6"/>
  <c r="N521" i="6"/>
  <c r="T522" i="6" l="1"/>
  <c r="U522" i="6"/>
  <c r="G521" i="6"/>
  <c r="F521" i="6"/>
  <c r="M522" i="6"/>
  <c r="N522" i="6"/>
  <c r="U523" i="6" l="1"/>
  <c r="T523" i="6"/>
  <c r="F522" i="6"/>
  <c r="G522" i="6"/>
  <c r="M523" i="6"/>
  <c r="N523" i="6"/>
  <c r="U524" i="6" l="1"/>
  <c r="T524" i="6"/>
  <c r="G523" i="6"/>
  <c r="F523" i="6"/>
  <c r="M524" i="6"/>
  <c r="N524" i="6"/>
  <c r="T525" i="6" l="1"/>
  <c r="U525" i="6"/>
  <c r="G524" i="6"/>
  <c r="F524" i="6"/>
  <c r="M525" i="6"/>
  <c r="N525" i="6"/>
  <c r="U526" i="6" l="1"/>
  <c r="T526" i="6"/>
  <c r="F525" i="6"/>
  <c r="G525" i="6"/>
  <c r="M526" i="6"/>
  <c r="N526" i="6"/>
  <c r="U527" i="6" l="1"/>
  <c r="T527" i="6"/>
  <c r="G526" i="6"/>
  <c r="F526" i="6"/>
  <c r="M527" i="6"/>
  <c r="N527" i="6"/>
  <c r="T528" i="6" l="1"/>
  <c r="U528" i="6"/>
  <c r="G527" i="6"/>
  <c r="F527" i="6"/>
  <c r="M528" i="6"/>
  <c r="N528" i="6"/>
  <c r="U529" i="6" l="1"/>
  <c r="T529" i="6"/>
  <c r="F528" i="6"/>
  <c r="G528" i="6"/>
  <c r="M529" i="6"/>
  <c r="N529" i="6"/>
  <c r="U530" i="6" l="1"/>
  <c r="T530" i="6"/>
  <c r="G529" i="6"/>
  <c r="F529" i="6"/>
  <c r="M530" i="6"/>
  <c r="N530" i="6"/>
  <c r="U531" i="6" l="1"/>
  <c r="T531" i="6"/>
  <c r="G530" i="6"/>
  <c r="F530" i="6"/>
  <c r="M531" i="6"/>
  <c r="N531" i="6"/>
  <c r="U532" i="6" l="1"/>
  <c r="T532" i="6"/>
  <c r="F531" i="6"/>
  <c r="G531" i="6"/>
  <c r="M532" i="6"/>
  <c r="N532" i="6"/>
  <c r="T533" i="6" l="1"/>
  <c r="U533" i="6"/>
  <c r="G532" i="6"/>
  <c r="F532" i="6"/>
  <c r="M533" i="6"/>
  <c r="N533" i="6"/>
  <c r="U534" i="6" l="1"/>
  <c r="T534" i="6"/>
  <c r="G533" i="6"/>
  <c r="F533" i="6"/>
  <c r="M534" i="6"/>
  <c r="N534" i="6"/>
  <c r="U535" i="6" l="1"/>
  <c r="T535" i="6"/>
  <c r="F534" i="6"/>
  <c r="G534" i="6"/>
  <c r="M535" i="6"/>
  <c r="N535" i="6"/>
  <c r="U536" i="6" l="1"/>
  <c r="T536" i="6"/>
  <c r="G535" i="6"/>
  <c r="F535" i="6"/>
  <c r="M536" i="6"/>
  <c r="N536" i="6"/>
  <c r="U537" i="6" l="1"/>
  <c r="T537" i="6"/>
  <c r="F536" i="6"/>
  <c r="G536" i="6"/>
  <c r="M537" i="6"/>
  <c r="N537" i="6"/>
  <c r="U538" i="6" l="1"/>
  <c r="T538" i="6"/>
  <c r="F537" i="6"/>
  <c r="G537" i="6"/>
  <c r="M538" i="6"/>
  <c r="N538" i="6"/>
  <c r="U539" i="6" l="1"/>
  <c r="T539" i="6"/>
  <c r="G538" i="6"/>
  <c r="F538" i="6"/>
  <c r="M539" i="6"/>
  <c r="N539" i="6"/>
  <c r="U540" i="6" l="1"/>
  <c r="T540" i="6"/>
  <c r="G539" i="6"/>
  <c r="F539" i="6"/>
  <c r="M540" i="6"/>
  <c r="N540" i="6"/>
  <c r="U541" i="6" l="1"/>
  <c r="T541" i="6"/>
  <c r="G540" i="6"/>
  <c r="F540" i="6"/>
  <c r="M541" i="6"/>
  <c r="N541" i="6"/>
  <c r="U542" i="6" l="1"/>
  <c r="T542" i="6"/>
  <c r="G541" i="6"/>
  <c r="F541" i="6"/>
  <c r="M542" i="6"/>
  <c r="N542" i="6"/>
  <c r="U543" i="6" l="1"/>
  <c r="T543" i="6"/>
  <c r="G542" i="6"/>
  <c r="F542" i="6"/>
  <c r="M543" i="6"/>
  <c r="N543" i="6"/>
  <c r="U544" i="6" l="1"/>
  <c r="T544" i="6"/>
  <c r="F543" i="6"/>
  <c r="G543" i="6"/>
  <c r="M544" i="6"/>
  <c r="N544" i="6"/>
  <c r="U545" i="6" l="1"/>
  <c r="T545" i="6"/>
  <c r="G544" i="6"/>
  <c r="F544" i="6"/>
  <c r="M545" i="6"/>
  <c r="N545" i="6"/>
  <c r="U546" i="6" l="1"/>
  <c r="T546" i="6"/>
  <c r="G545" i="6"/>
  <c r="F545" i="6"/>
  <c r="M546" i="6"/>
  <c r="N546" i="6"/>
  <c r="U547" i="6" l="1"/>
  <c r="T547" i="6"/>
  <c r="F546" i="6"/>
  <c r="G546" i="6"/>
  <c r="M547" i="6"/>
  <c r="N547" i="6"/>
  <c r="U548" i="6" l="1"/>
  <c r="T548" i="6"/>
  <c r="G547" i="6"/>
  <c r="F547" i="6"/>
  <c r="M548" i="6"/>
  <c r="N548" i="6"/>
  <c r="U549" i="6" l="1"/>
  <c r="T549" i="6"/>
  <c r="G548" i="6"/>
  <c r="F548" i="6"/>
  <c r="M549" i="6"/>
  <c r="N549" i="6"/>
  <c r="U550" i="6" l="1"/>
  <c r="T550" i="6"/>
  <c r="G549" i="6"/>
  <c r="F549" i="6"/>
  <c r="M550" i="6"/>
  <c r="N550" i="6"/>
  <c r="U551" i="6" l="1"/>
  <c r="T551" i="6"/>
  <c r="G550" i="6"/>
  <c r="F550" i="6"/>
  <c r="M551" i="6"/>
  <c r="N551" i="6"/>
  <c r="U552" i="6" l="1"/>
  <c r="T552" i="6"/>
  <c r="G551" i="6"/>
  <c r="F551" i="6"/>
  <c r="M552" i="6"/>
  <c r="N552" i="6"/>
  <c r="U553" i="6" l="1"/>
  <c r="T553" i="6"/>
  <c r="F552" i="6"/>
  <c r="G552" i="6"/>
  <c r="M553" i="6"/>
  <c r="N553" i="6"/>
  <c r="U554" i="6" l="1"/>
  <c r="T554" i="6"/>
  <c r="G553" i="6"/>
  <c r="F553" i="6"/>
  <c r="M554" i="6"/>
  <c r="N554" i="6"/>
  <c r="U555" i="6" l="1"/>
  <c r="T555" i="6"/>
  <c r="G554" i="6"/>
  <c r="F554" i="6"/>
  <c r="M555" i="6"/>
  <c r="N555" i="6"/>
  <c r="U556" i="6" l="1"/>
  <c r="T556" i="6"/>
  <c r="F555" i="6"/>
  <c r="G555" i="6"/>
  <c r="M556" i="6"/>
  <c r="N556" i="6"/>
  <c r="U557" i="6" l="1"/>
  <c r="T557" i="6"/>
  <c r="G556" i="6"/>
  <c r="F556" i="6"/>
  <c r="M557" i="6"/>
  <c r="N557" i="6"/>
  <c r="U558" i="6" l="1"/>
  <c r="T558" i="6"/>
  <c r="G557" i="6"/>
  <c r="F557" i="6"/>
  <c r="M558" i="6"/>
  <c r="N558" i="6"/>
  <c r="U559" i="6" l="1"/>
  <c r="T559" i="6"/>
  <c r="G558" i="6"/>
  <c r="F558" i="6"/>
  <c r="M559" i="6"/>
  <c r="N559" i="6"/>
  <c r="U560" i="6" l="1"/>
  <c r="T560" i="6"/>
  <c r="G559" i="6"/>
  <c r="F559" i="6"/>
  <c r="M560" i="6"/>
  <c r="N560" i="6"/>
  <c r="U561" i="6" l="1"/>
  <c r="T561" i="6"/>
  <c r="G560" i="6"/>
  <c r="F560" i="6"/>
  <c r="M561" i="6"/>
  <c r="N561" i="6"/>
  <c r="U562" i="6" l="1"/>
  <c r="T562" i="6"/>
  <c r="F561" i="6"/>
  <c r="G561" i="6"/>
  <c r="M562" i="6"/>
  <c r="N562" i="6"/>
  <c r="U563" i="6" l="1"/>
  <c r="T563" i="6"/>
  <c r="G562" i="6"/>
  <c r="F562" i="6"/>
  <c r="M563" i="6"/>
  <c r="N563" i="6"/>
  <c r="U564" i="6" l="1"/>
  <c r="T564" i="6"/>
  <c r="G563" i="6"/>
  <c r="F563" i="6"/>
  <c r="M564" i="6"/>
  <c r="N564" i="6"/>
  <c r="U565" i="6" l="1"/>
  <c r="T565" i="6"/>
  <c r="F564" i="6"/>
  <c r="G564" i="6"/>
  <c r="M565" i="6"/>
  <c r="N565" i="6"/>
  <c r="U566" i="6" l="1"/>
  <c r="T566" i="6"/>
  <c r="G565" i="6"/>
  <c r="F565" i="6"/>
  <c r="M566" i="6"/>
  <c r="N566" i="6"/>
  <c r="U567" i="6" l="1"/>
  <c r="T567" i="6"/>
  <c r="G566" i="6"/>
  <c r="F566" i="6"/>
  <c r="M567" i="6"/>
  <c r="N567" i="6"/>
  <c r="U568" i="6" l="1"/>
  <c r="T568" i="6"/>
  <c r="G567" i="6"/>
  <c r="F567" i="6"/>
  <c r="M568" i="6"/>
  <c r="N568" i="6"/>
  <c r="U569" i="6" l="1"/>
  <c r="T569" i="6"/>
  <c r="G568" i="6"/>
  <c r="F568" i="6"/>
  <c r="M569" i="6"/>
  <c r="N569" i="6"/>
  <c r="U570" i="6" l="1"/>
  <c r="T570" i="6"/>
  <c r="G569" i="6"/>
  <c r="F569" i="6"/>
  <c r="M570" i="6"/>
  <c r="N570" i="6"/>
  <c r="U571" i="6" l="1"/>
  <c r="T571" i="6"/>
  <c r="G570" i="6"/>
  <c r="F570" i="6"/>
  <c r="M571" i="6"/>
  <c r="N571" i="6"/>
  <c r="U572" i="6" l="1"/>
  <c r="T572" i="6"/>
  <c r="F571" i="6"/>
  <c r="G571" i="6"/>
  <c r="M572" i="6"/>
  <c r="N572" i="6"/>
  <c r="U573" i="6" l="1"/>
  <c r="T573" i="6"/>
  <c r="F572" i="6"/>
  <c r="G572" i="6"/>
  <c r="M573" i="6"/>
  <c r="N573" i="6"/>
  <c r="U574" i="6" l="1"/>
  <c r="T574" i="6"/>
  <c r="G573" i="6"/>
  <c r="F573" i="6"/>
  <c r="M574" i="6"/>
  <c r="N574" i="6"/>
  <c r="U575" i="6" l="1"/>
  <c r="T575" i="6"/>
  <c r="F574" i="6"/>
  <c r="G574" i="6"/>
  <c r="M575" i="6"/>
  <c r="N575" i="6"/>
  <c r="U576" i="6" l="1"/>
  <c r="T576" i="6"/>
  <c r="G575" i="6"/>
  <c r="F575" i="6"/>
  <c r="M576" i="6"/>
  <c r="N576" i="6"/>
  <c r="U577" i="6" l="1"/>
  <c r="T577" i="6"/>
  <c r="G576" i="6"/>
  <c r="F576" i="6"/>
  <c r="M577" i="6"/>
  <c r="N577" i="6"/>
  <c r="U578" i="6" l="1"/>
  <c r="T578" i="6"/>
  <c r="F577" i="6"/>
  <c r="G577" i="6"/>
  <c r="M578" i="6"/>
  <c r="N578" i="6"/>
  <c r="U579" i="6" l="1"/>
  <c r="T579" i="6"/>
  <c r="G578" i="6"/>
  <c r="F578" i="6"/>
  <c r="M579" i="6"/>
  <c r="N579" i="6"/>
  <c r="U580" i="6" l="1"/>
  <c r="T580" i="6"/>
  <c r="G579" i="6"/>
  <c r="F579" i="6"/>
  <c r="M580" i="6"/>
  <c r="N580" i="6"/>
  <c r="U581" i="6" l="1"/>
  <c r="T581" i="6"/>
  <c r="G580" i="6"/>
  <c r="F580" i="6"/>
  <c r="M581" i="6"/>
  <c r="N581" i="6"/>
  <c r="U582" i="6" l="1"/>
  <c r="T582" i="6"/>
  <c r="G581" i="6"/>
  <c r="F581" i="6"/>
  <c r="M582" i="6"/>
  <c r="N582" i="6"/>
  <c r="U583" i="6" l="1"/>
  <c r="T583" i="6"/>
  <c r="G582" i="6"/>
  <c r="F582" i="6"/>
  <c r="M583" i="6"/>
  <c r="N583" i="6"/>
  <c r="U584" i="6" l="1"/>
  <c r="T584" i="6"/>
  <c r="F583" i="6"/>
  <c r="G583" i="6"/>
  <c r="M584" i="6"/>
  <c r="N584" i="6"/>
  <c r="U585" i="6" l="1"/>
  <c r="T585" i="6"/>
  <c r="G584" i="6"/>
  <c r="F584" i="6"/>
  <c r="M585" i="6"/>
  <c r="N585" i="6"/>
  <c r="U586" i="6" l="1"/>
  <c r="T586" i="6"/>
  <c r="G585" i="6"/>
  <c r="F585" i="6"/>
  <c r="M586" i="6"/>
  <c r="N586" i="6"/>
  <c r="U587" i="6" l="1"/>
  <c r="T587" i="6"/>
  <c r="G586" i="6"/>
  <c r="F586" i="6"/>
  <c r="M587" i="6"/>
  <c r="N587" i="6"/>
  <c r="U588" i="6" l="1"/>
  <c r="T588" i="6"/>
  <c r="G587" i="6"/>
  <c r="F587" i="6"/>
  <c r="M588" i="6"/>
  <c r="N588" i="6"/>
  <c r="U589" i="6" l="1"/>
  <c r="T589" i="6"/>
  <c r="G588" i="6"/>
  <c r="F588" i="6"/>
  <c r="M589" i="6"/>
  <c r="N589" i="6"/>
  <c r="U590" i="6" l="1"/>
  <c r="T590" i="6"/>
  <c r="G589" i="6"/>
  <c r="F589" i="6"/>
  <c r="M590" i="6"/>
  <c r="N590" i="6"/>
  <c r="U591" i="6" l="1"/>
  <c r="T591" i="6"/>
  <c r="G590" i="6"/>
  <c r="F590" i="6"/>
  <c r="M591" i="6"/>
  <c r="N591" i="6"/>
  <c r="U592" i="6" l="1"/>
  <c r="T592" i="6"/>
  <c r="G591" i="6"/>
  <c r="F591" i="6"/>
  <c r="M592" i="6"/>
  <c r="N592" i="6"/>
  <c r="U593" i="6" l="1"/>
  <c r="T593" i="6"/>
  <c r="G592" i="6"/>
  <c r="F592" i="6"/>
  <c r="M593" i="6"/>
  <c r="N593" i="6"/>
  <c r="U594" i="6" l="1"/>
  <c r="T594" i="6"/>
  <c r="G593" i="6"/>
  <c r="F593" i="6"/>
  <c r="M594" i="6"/>
  <c r="N594" i="6"/>
  <c r="U595" i="6" l="1"/>
  <c r="T595" i="6"/>
  <c r="G594" i="6"/>
  <c r="F594" i="6"/>
  <c r="M595" i="6"/>
  <c r="N595" i="6"/>
  <c r="U596" i="6" l="1"/>
  <c r="T596" i="6"/>
  <c r="G595" i="6"/>
  <c r="F595" i="6"/>
  <c r="M596" i="6"/>
  <c r="N596" i="6"/>
  <c r="U597" i="6" l="1"/>
  <c r="T597" i="6"/>
  <c r="G596" i="6"/>
  <c r="F596" i="6"/>
  <c r="M597" i="6"/>
  <c r="N597" i="6"/>
  <c r="U598" i="6" l="1"/>
  <c r="T598" i="6"/>
  <c r="G597" i="6"/>
  <c r="F597" i="6"/>
  <c r="M598" i="6"/>
  <c r="N598" i="6"/>
  <c r="U599" i="6" l="1"/>
  <c r="T599" i="6"/>
  <c r="F598" i="6"/>
  <c r="G598" i="6"/>
  <c r="M599" i="6"/>
  <c r="N599" i="6"/>
  <c r="U600" i="6" l="1"/>
  <c r="T600" i="6"/>
  <c r="G599" i="6"/>
  <c r="F599" i="6"/>
  <c r="M600" i="6"/>
  <c r="N600" i="6"/>
  <c r="U601" i="6" l="1"/>
  <c r="T601" i="6"/>
  <c r="G600" i="6"/>
  <c r="F600" i="6"/>
  <c r="M601" i="6"/>
  <c r="N601" i="6"/>
  <c r="U602" i="6" l="1"/>
  <c r="T602" i="6"/>
  <c r="G601" i="6"/>
  <c r="F601" i="6"/>
  <c r="M602" i="6"/>
  <c r="N602" i="6"/>
  <c r="U603" i="6" l="1"/>
  <c r="T603" i="6"/>
  <c r="G602" i="6"/>
  <c r="F602" i="6"/>
  <c r="M603" i="6"/>
  <c r="N603" i="6"/>
  <c r="U604" i="6" l="1"/>
  <c r="T604" i="6"/>
  <c r="G603" i="6"/>
  <c r="F603" i="6"/>
  <c r="M604" i="6"/>
  <c r="N604" i="6"/>
  <c r="U605" i="6" l="1"/>
  <c r="T605" i="6"/>
  <c r="G604" i="6"/>
  <c r="F604" i="6"/>
  <c r="M605" i="6"/>
  <c r="N605" i="6"/>
  <c r="U606" i="6" l="1"/>
  <c r="T606" i="6"/>
  <c r="G605" i="6"/>
  <c r="F605" i="6"/>
  <c r="M606" i="6"/>
  <c r="N606" i="6"/>
  <c r="U607" i="6" l="1"/>
  <c r="T607" i="6"/>
  <c r="G606" i="6"/>
  <c r="F606" i="6"/>
  <c r="M607" i="6"/>
  <c r="N607" i="6"/>
  <c r="U608" i="6" l="1"/>
  <c r="T608" i="6"/>
  <c r="F607" i="6"/>
  <c r="G607" i="6"/>
  <c r="M608" i="6"/>
  <c r="N608" i="6"/>
  <c r="U609" i="6" l="1"/>
  <c r="T609" i="6"/>
  <c r="G608" i="6"/>
  <c r="F608" i="6"/>
  <c r="M609" i="6"/>
  <c r="N609" i="6"/>
  <c r="U610" i="6" l="1"/>
  <c r="T610" i="6"/>
  <c r="G609" i="6"/>
  <c r="F609" i="6"/>
  <c r="M610" i="6"/>
  <c r="N610" i="6"/>
  <c r="U611" i="6" l="1"/>
  <c r="T611" i="6"/>
  <c r="G610" i="6"/>
  <c r="F610" i="6"/>
  <c r="M611" i="6"/>
  <c r="N611" i="6"/>
  <c r="U612" i="6" l="1"/>
  <c r="T612" i="6"/>
  <c r="G611" i="6"/>
  <c r="F611" i="6"/>
  <c r="M612" i="6"/>
  <c r="N612" i="6"/>
  <c r="U613" i="6" l="1"/>
  <c r="T613" i="6"/>
  <c r="G612" i="6"/>
  <c r="F612" i="6"/>
  <c r="M613" i="6"/>
  <c r="N613" i="6"/>
  <c r="U614" i="6" l="1"/>
  <c r="T614" i="6"/>
  <c r="F613" i="6"/>
  <c r="G613" i="6"/>
  <c r="M614" i="6"/>
  <c r="N614" i="6"/>
  <c r="U615" i="6" l="1"/>
  <c r="T615" i="6"/>
  <c r="G614" i="6"/>
  <c r="F614" i="6"/>
  <c r="M615" i="6"/>
  <c r="N615" i="6"/>
  <c r="U616" i="6" l="1"/>
  <c r="T616" i="6"/>
  <c r="G615" i="6"/>
  <c r="F615" i="6"/>
  <c r="M616" i="6"/>
  <c r="N616" i="6"/>
  <c r="U617" i="6" l="1"/>
  <c r="T617" i="6"/>
  <c r="F616" i="6"/>
  <c r="G616" i="6"/>
  <c r="M617" i="6"/>
  <c r="N617" i="6"/>
  <c r="U618" i="6" l="1"/>
  <c r="T618" i="6"/>
  <c r="G617" i="6"/>
  <c r="F617" i="6"/>
  <c r="M618" i="6"/>
  <c r="N618" i="6"/>
  <c r="T619" i="6" l="1"/>
  <c r="U619" i="6"/>
  <c r="G618" i="6"/>
  <c r="F618" i="6"/>
  <c r="M619" i="6"/>
  <c r="N619" i="6"/>
  <c r="U620" i="6" l="1"/>
  <c r="T620" i="6"/>
  <c r="G619" i="6"/>
  <c r="F619" i="6"/>
  <c r="M620" i="6"/>
  <c r="N620" i="6"/>
  <c r="U621" i="6" l="1"/>
  <c r="T621" i="6"/>
  <c r="G620" i="6"/>
  <c r="F620" i="6"/>
  <c r="M621" i="6"/>
  <c r="N621" i="6"/>
  <c r="U622" i="6" l="1"/>
  <c r="T622" i="6"/>
  <c r="G621" i="6"/>
  <c r="F621" i="6"/>
  <c r="M622" i="6"/>
  <c r="N622" i="6"/>
  <c r="U623" i="6" l="1"/>
  <c r="T623" i="6"/>
  <c r="G622" i="6"/>
  <c r="F622" i="6"/>
  <c r="M623" i="6"/>
  <c r="N623" i="6"/>
  <c r="U624" i="6" l="1"/>
  <c r="T624" i="6"/>
  <c r="G623" i="6"/>
  <c r="F623" i="6"/>
  <c r="M624" i="6"/>
  <c r="N624" i="6"/>
  <c r="U625" i="6" l="1"/>
  <c r="T625" i="6"/>
  <c r="G624" i="6"/>
  <c r="F624" i="6"/>
  <c r="M625" i="6"/>
  <c r="N625" i="6"/>
  <c r="U626" i="6" l="1"/>
  <c r="T626" i="6"/>
  <c r="F625" i="6"/>
  <c r="G625" i="6"/>
  <c r="M626" i="6"/>
  <c r="N626" i="6"/>
  <c r="U627" i="6" l="1"/>
  <c r="T627" i="6"/>
  <c r="G626" i="6"/>
  <c r="F626" i="6"/>
  <c r="M627" i="6"/>
  <c r="N627" i="6"/>
  <c r="U628" i="6" l="1"/>
  <c r="T628" i="6"/>
  <c r="G627" i="6"/>
  <c r="F627" i="6"/>
  <c r="M628" i="6"/>
  <c r="N628" i="6"/>
  <c r="U629" i="6" l="1"/>
  <c r="T629" i="6"/>
  <c r="G628" i="6"/>
  <c r="F628" i="6"/>
  <c r="M629" i="6"/>
  <c r="N629" i="6"/>
  <c r="U630" i="6" l="1"/>
  <c r="T630" i="6"/>
  <c r="G629" i="6"/>
  <c r="F629" i="6"/>
  <c r="M630" i="6"/>
  <c r="N630" i="6"/>
  <c r="U631" i="6" l="1"/>
  <c r="T631" i="6"/>
  <c r="G630" i="6"/>
  <c r="F630" i="6"/>
  <c r="M631" i="6"/>
  <c r="N631" i="6"/>
  <c r="U632" i="6" l="1"/>
  <c r="T632" i="6"/>
  <c r="F631" i="6"/>
  <c r="G631" i="6"/>
  <c r="M632" i="6"/>
  <c r="N632" i="6"/>
  <c r="U633" i="6" l="1"/>
  <c r="T633" i="6"/>
  <c r="G632" i="6"/>
  <c r="F632" i="6"/>
  <c r="M633" i="6"/>
  <c r="N633" i="6"/>
  <c r="U634" i="6" l="1"/>
  <c r="T634" i="6"/>
  <c r="G633" i="6"/>
  <c r="F633" i="6"/>
  <c r="M634" i="6"/>
  <c r="N634" i="6"/>
  <c r="U635" i="6" l="1"/>
  <c r="T635" i="6"/>
  <c r="F634" i="6"/>
  <c r="G634" i="6"/>
  <c r="M635" i="6"/>
  <c r="N635" i="6"/>
  <c r="U636" i="6" l="1"/>
  <c r="T636" i="6"/>
  <c r="G635" i="6"/>
  <c r="F635" i="6"/>
  <c r="M636" i="6"/>
  <c r="N636" i="6"/>
  <c r="U637" i="6" l="1"/>
  <c r="T637" i="6"/>
  <c r="G636" i="6"/>
  <c r="F636" i="6"/>
  <c r="M637" i="6"/>
  <c r="N637" i="6"/>
  <c r="U638" i="6" l="1"/>
  <c r="T638" i="6"/>
  <c r="G637" i="6"/>
  <c r="F637" i="6"/>
  <c r="M638" i="6"/>
  <c r="N638" i="6"/>
  <c r="U639" i="6" l="1"/>
  <c r="T639" i="6"/>
  <c r="G638" i="6"/>
  <c r="F638" i="6"/>
  <c r="M639" i="6"/>
  <c r="N639" i="6"/>
  <c r="U640" i="6" l="1"/>
  <c r="T640" i="6"/>
  <c r="G639" i="6"/>
  <c r="F639" i="6"/>
  <c r="M640" i="6"/>
  <c r="N640" i="6"/>
  <c r="U641" i="6" l="1"/>
  <c r="T641" i="6"/>
  <c r="G640" i="6"/>
  <c r="F640" i="6"/>
  <c r="M641" i="6"/>
  <c r="N641" i="6"/>
  <c r="U642" i="6" l="1"/>
  <c r="T642" i="6"/>
  <c r="G641" i="6"/>
  <c r="F641" i="6"/>
  <c r="M642" i="6"/>
  <c r="N642" i="6"/>
  <c r="U643" i="6" l="1"/>
  <c r="T643" i="6"/>
  <c r="G642" i="6"/>
  <c r="F642" i="6"/>
  <c r="M643" i="6"/>
  <c r="N643" i="6"/>
  <c r="U644" i="6" l="1"/>
  <c r="T644" i="6"/>
  <c r="G643" i="6"/>
  <c r="F643" i="6"/>
  <c r="M644" i="6"/>
  <c r="N644" i="6"/>
  <c r="U645" i="6" l="1"/>
  <c r="T645" i="6"/>
  <c r="G644" i="6"/>
  <c r="F644" i="6"/>
  <c r="M645" i="6"/>
  <c r="N645" i="6"/>
  <c r="U646" i="6" l="1"/>
  <c r="T646" i="6"/>
  <c r="F645" i="6"/>
  <c r="G645" i="6"/>
  <c r="M646" i="6"/>
  <c r="N646" i="6"/>
  <c r="U647" i="6" l="1"/>
  <c r="T647" i="6"/>
  <c r="G646" i="6"/>
  <c r="F646" i="6"/>
  <c r="M647" i="6"/>
  <c r="N647" i="6"/>
  <c r="U648" i="6" l="1"/>
  <c r="T648" i="6"/>
  <c r="G647" i="6"/>
  <c r="F647" i="6"/>
  <c r="M648" i="6"/>
  <c r="N648" i="6"/>
  <c r="T649" i="6" l="1"/>
  <c r="U649" i="6"/>
  <c r="F648" i="6"/>
  <c r="G648" i="6"/>
  <c r="M649" i="6"/>
  <c r="N649" i="6"/>
  <c r="U650" i="6" l="1"/>
  <c r="T650" i="6"/>
  <c r="G649" i="6"/>
  <c r="F649" i="6"/>
  <c r="M650" i="6"/>
  <c r="N650" i="6"/>
  <c r="U651" i="6" l="1"/>
  <c r="T651" i="6"/>
  <c r="G650" i="6"/>
  <c r="F650" i="6"/>
  <c r="M651" i="6"/>
  <c r="N651" i="6"/>
  <c r="U652" i="6" l="1"/>
  <c r="T652" i="6"/>
  <c r="G651" i="6"/>
  <c r="F651" i="6"/>
  <c r="M652" i="6"/>
  <c r="N652" i="6"/>
  <c r="U653" i="6" l="1"/>
  <c r="T653" i="6"/>
  <c r="G652" i="6"/>
  <c r="F652" i="6"/>
  <c r="M653" i="6"/>
  <c r="N653" i="6"/>
  <c r="U654" i="6" l="1"/>
  <c r="T654" i="6"/>
  <c r="G653" i="6"/>
  <c r="F653" i="6"/>
  <c r="M654" i="6"/>
  <c r="N654" i="6"/>
  <c r="T655" i="6" l="1"/>
  <c r="U655" i="6"/>
  <c r="F654" i="6"/>
  <c r="G654" i="6"/>
  <c r="M655" i="6"/>
  <c r="N655" i="6"/>
  <c r="U656" i="6" l="1"/>
  <c r="T656" i="6"/>
  <c r="G655" i="6"/>
  <c r="F655" i="6"/>
  <c r="M656" i="6"/>
  <c r="N656" i="6"/>
  <c r="U657" i="6" l="1"/>
  <c r="T657" i="6"/>
  <c r="G656" i="6"/>
  <c r="F656" i="6"/>
  <c r="M657" i="6"/>
  <c r="N657" i="6"/>
  <c r="U658" i="6" l="1"/>
  <c r="T658" i="6"/>
  <c r="G657" i="6"/>
  <c r="F657" i="6"/>
  <c r="M658" i="6"/>
  <c r="N658" i="6"/>
  <c r="U659" i="6" l="1"/>
  <c r="T659" i="6"/>
  <c r="G658" i="6"/>
  <c r="F658" i="6"/>
  <c r="M659" i="6"/>
  <c r="N659" i="6"/>
  <c r="T660" i="6" l="1"/>
  <c r="U660" i="6"/>
  <c r="G659" i="6"/>
  <c r="F659" i="6"/>
  <c r="M660" i="6"/>
  <c r="N660" i="6"/>
  <c r="U661" i="6" l="1"/>
  <c r="T661" i="6"/>
  <c r="F660" i="6"/>
  <c r="G660" i="6"/>
  <c r="M661" i="6"/>
  <c r="N661" i="6"/>
  <c r="U662" i="6" l="1"/>
  <c r="T662" i="6"/>
  <c r="G661" i="6"/>
  <c r="F661" i="6"/>
  <c r="M662" i="6"/>
  <c r="N662" i="6"/>
  <c r="T663" i="6" l="1"/>
  <c r="U663" i="6"/>
  <c r="G662" i="6"/>
  <c r="F662" i="6"/>
  <c r="M663" i="6"/>
  <c r="N663" i="6"/>
  <c r="U664" i="6" l="1"/>
  <c r="T664" i="6"/>
  <c r="G663" i="6"/>
  <c r="F663" i="6"/>
  <c r="M664" i="6"/>
  <c r="N664" i="6"/>
  <c r="T665" i="6" l="1"/>
  <c r="U665" i="6"/>
  <c r="G664" i="6"/>
  <c r="F664" i="6"/>
  <c r="M665" i="6"/>
  <c r="N665" i="6"/>
  <c r="U666" i="6" l="1"/>
  <c r="T666" i="6"/>
  <c r="G665" i="6"/>
  <c r="F665" i="6"/>
  <c r="M666" i="6"/>
  <c r="N666" i="6"/>
  <c r="T667" i="6" l="1"/>
  <c r="U667" i="6"/>
  <c r="G666" i="6"/>
  <c r="F666" i="6"/>
  <c r="M667" i="6"/>
  <c r="N667" i="6"/>
  <c r="T668" i="6" l="1"/>
  <c r="U668" i="6"/>
  <c r="G667" i="6"/>
  <c r="F667" i="6"/>
  <c r="M668" i="6"/>
  <c r="N668" i="6"/>
  <c r="U669" i="6" l="1"/>
  <c r="T669" i="6"/>
  <c r="G668" i="6"/>
  <c r="F668" i="6"/>
  <c r="M669" i="6"/>
  <c r="N669" i="6"/>
  <c r="U670" i="6" l="1"/>
  <c r="T670" i="6"/>
  <c r="G669" i="6"/>
  <c r="F669" i="6"/>
  <c r="M670" i="6"/>
  <c r="N670" i="6"/>
  <c r="T671" i="6" l="1"/>
  <c r="U671" i="6"/>
  <c r="G670" i="6"/>
  <c r="F670" i="6"/>
  <c r="M671" i="6"/>
  <c r="N671" i="6"/>
  <c r="U672" i="6" l="1"/>
  <c r="T672" i="6"/>
  <c r="G671" i="6"/>
  <c r="F671" i="6"/>
  <c r="M672" i="6"/>
  <c r="N672" i="6"/>
  <c r="T673" i="6" l="1"/>
  <c r="U673" i="6"/>
  <c r="G672" i="6"/>
  <c r="F672" i="6"/>
  <c r="M673" i="6"/>
  <c r="N673" i="6"/>
  <c r="T674" i="6" l="1"/>
  <c r="U674" i="6"/>
  <c r="G673" i="6"/>
  <c r="F673" i="6"/>
  <c r="M674" i="6"/>
  <c r="N674" i="6"/>
  <c r="U675" i="6" l="1"/>
  <c r="T675" i="6"/>
  <c r="G674" i="6"/>
  <c r="F674" i="6"/>
  <c r="M675" i="6"/>
  <c r="N675" i="6"/>
  <c r="U676" i="6" l="1"/>
  <c r="T676" i="6"/>
  <c r="F675" i="6"/>
  <c r="G675" i="6"/>
  <c r="M676" i="6"/>
  <c r="N676" i="6"/>
  <c r="U677" i="6" l="1"/>
  <c r="T677" i="6"/>
  <c r="G676" i="6"/>
  <c r="F676" i="6"/>
  <c r="M677" i="6"/>
  <c r="N677" i="6"/>
  <c r="U678" i="6" l="1"/>
  <c r="T678" i="6"/>
  <c r="G677" i="6"/>
  <c r="F677" i="6"/>
  <c r="M678" i="6"/>
  <c r="N678" i="6"/>
  <c r="T679" i="6" l="1"/>
  <c r="U679" i="6"/>
  <c r="G678" i="6"/>
  <c r="F678" i="6"/>
  <c r="M679" i="6"/>
  <c r="N679" i="6"/>
  <c r="T680" i="6" l="1"/>
  <c r="U680" i="6"/>
  <c r="G679" i="6"/>
  <c r="F679" i="6"/>
  <c r="M680" i="6"/>
  <c r="N680" i="6"/>
  <c r="U681" i="6" l="1"/>
  <c r="T681" i="6"/>
  <c r="G680" i="6"/>
  <c r="F680" i="6"/>
  <c r="M681" i="6"/>
  <c r="N681" i="6"/>
  <c r="T682" i="6" l="1"/>
  <c r="U682" i="6"/>
  <c r="G681" i="6"/>
  <c r="F681" i="6"/>
  <c r="M682" i="6"/>
  <c r="N682" i="6"/>
  <c r="T683" i="6" l="1"/>
  <c r="U683" i="6"/>
  <c r="G682" i="6"/>
  <c r="F682" i="6"/>
  <c r="M683" i="6"/>
  <c r="N683" i="6"/>
  <c r="U684" i="6" l="1"/>
  <c r="T684" i="6"/>
  <c r="G683" i="6"/>
  <c r="F683" i="6"/>
  <c r="M684" i="6"/>
  <c r="N684" i="6"/>
  <c r="U685" i="6" l="1"/>
  <c r="T685" i="6"/>
  <c r="F684" i="6"/>
  <c r="G684" i="6"/>
  <c r="M685" i="6"/>
  <c r="N685" i="6"/>
  <c r="U686" i="6" l="1"/>
  <c r="T686" i="6"/>
  <c r="G685" i="6"/>
  <c r="F685" i="6"/>
  <c r="M686" i="6"/>
  <c r="N686" i="6"/>
  <c r="U687" i="6" l="1"/>
  <c r="T687" i="6"/>
  <c r="G686" i="6"/>
  <c r="F686" i="6"/>
  <c r="M687" i="6"/>
  <c r="N687" i="6"/>
  <c r="T688" i="6" l="1"/>
  <c r="U688" i="6"/>
  <c r="G687" i="6"/>
  <c r="F687" i="6"/>
  <c r="M688" i="6"/>
  <c r="N688" i="6"/>
  <c r="U689" i="6" l="1"/>
  <c r="T689" i="6"/>
  <c r="G688" i="6"/>
  <c r="F688" i="6"/>
  <c r="M689" i="6"/>
  <c r="N689" i="6"/>
  <c r="U690" i="6" l="1"/>
  <c r="T690" i="6"/>
  <c r="G689" i="6"/>
  <c r="F689" i="6"/>
  <c r="M690" i="6"/>
  <c r="N690" i="6"/>
  <c r="U691" i="6" l="1"/>
  <c r="T691" i="6"/>
  <c r="G690" i="6"/>
  <c r="F690" i="6"/>
  <c r="M691" i="6"/>
  <c r="N691" i="6"/>
  <c r="T692" i="6" l="1"/>
  <c r="U692" i="6"/>
  <c r="G691" i="6"/>
  <c r="F691" i="6"/>
  <c r="M692" i="6"/>
  <c r="N692" i="6"/>
  <c r="U693" i="6" l="1"/>
  <c r="T693" i="6"/>
  <c r="G692" i="6"/>
  <c r="F692" i="6"/>
  <c r="M693" i="6"/>
  <c r="N693" i="6"/>
  <c r="U694" i="6" l="1"/>
  <c r="T694" i="6"/>
  <c r="G693" i="6"/>
  <c r="F693" i="6"/>
  <c r="M694" i="6"/>
  <c r="N694" i="6"/>
  <c r="U695" i="6" l="1"/>
  <c r="T695" i="6"/>
  <c r="G694" i="6"/>
  <c r="F694" i="6"/>
  <c r="M695" i="6"/>
  <c r="N695" i="6"/>
  <c r="U696" i="6" l="1"/>
  <c r="T696" i="6"/>
  <c r="G695" i="6"/>
  <c r="F695" i="6"/>
  <c r="M696" i="6"/>
  <c r="N696" i="6"/>
  <c r="U697" i="6" l="1"/>
  <c r="T697" i="6"/>
  <c r="F696" i="6"/>
  <c r="G696" i="6"/>
  <c r="M697" i="6"/>
  <c r="N697" i="6"/>
  <c r="U698" i="6" l="1"/>
  <c r="T698" i="6"/>
  <c r="G697" i="6"/>
  <c r="F697" i="6"/>
  <c r="M698" i="6"/>
  <c r="N698" i="6"/>
  <c r="U699" i="6" l="1"/>
  <c r="T699" i="6"/>
  <c r="G698" i="6"/>
  <c r="F698" i="6"/>
  <c r="M699" i="6"/>
  <c r="N699" i="6"/>
  <c r="T700" i="6" l="1"/>
  <c r="U700" i="6"/>
  <c r="G699" i="6"/>
  <c r="F699" i="6"/>
  <c r="M700" i="6"/>
  <c r="N700" i="6"/>
  <c r="T701" i="6" l="1"/>
  <c r="U701" i="6"/>
  <c r="G700" i="6"/>
  <c r="F700" i="6"/>
  <c r="M701" i="6"/>
  <c r="N701" i="6"/>
  <c r="U702" i="6" l="1"/>
  <c r="T702" i="6"/>
  <c r="G701" i="6"/>
  <c r="F701" i="6"/>
  <c r="M702" i="6"/>
  <c r="N702" i="6"/>
  <c r="U703" i="6" l="1"/>
  <c r="T703" i="6"/>
  <c r="G702" i="6"/>
  <c r="F702" i="6"/>
  <c r="M703" i="6"/>
  <c r="N703" i="6"/>
  <c r="U704" i="6" l="1"/>
  <c r="T704" i="6"/>
  <c r="G703" i="6"/>
  <c r="F703" i="6"/>
  <c r="M704" i="6"/>
  <c r="N704" i="6"/>
  <c r="U705" i="6" l="1"/>
  <c r="T705" i="6"/>
  <c r="G704" i="6"/>
  <c r="F704" i="6"/>
  <c r="M705" i="6"/>
  <c r="N705" i="6"/>
  <c r="T706" i="6" l="1"/>
  <c r="U706" i="6"/>
  <c r="G705" i="6"/>
  <c r="F705" i="6"/>
  <c r="M706" i="6"/>
  <c r="N706" i="6"/>
  <c r="T707" i="6" l="1"/>
  <c r="U707" i="6"/>
  <c r="G706" i="6"/>
  <c r="F706" i="6"/>
  <c r="M707" i="6"/>
  <c r="N707" i="6"/>
  <c r="U708" i="6" l="1"/>
  <c r="T708" i="6"/>
  <c r="G707" i="6"/>
  <c r="F707" i="6"/>
  <c r="M708" i="6"/>
  <c r="N708" i="6"/>
  <c r="U709" i="6" l="1"/>
  <c r="T709" i="6"/>
  <c r="G708" i="6"/>
  <c r="F708" i="6"/>
  <c r="M709" i="6"/>
  <c r="N709" i="6"/>
  <c r="U710" i="6" l="1"/>
  <c r="T710" i="6"/>
  <c r="G709" i="6"/>
  <c r="F709" i="6"/>
  <c r="M710" i="6"/>
  <c r="N710" i="6"/>
  <c r="U711" i="6" l="1"/>
  <c r="T711" i="6"/>
  <c r="G710" i="6"/>
  <c r="F710" i="6"/>
  <c r="M711" i="6"/>
  <c r="N711" i="6"/>
  <c r="U712" i="6" l="1"/>
  <c r="T712" i="6"/>
  <c r="F711" i="6"/>
  <c r="G711" i="6"/>
  <c r="M712" i="6"/>
  <c r="N712" i="6"/>
  <c r="U713" i="6" l="1"/>
  <c r="T713" i="6"/>
  <c r="G712" i="6"/>
  <c r="F712" i="6"/>
  <c r="M713" i="6"/>
  <c r="N713" i="6"/>
  <c r="U714" i="6" l="1"/>
  <c r="T714" i="6"/>
  <c r="G713" i="6"/>
  <c r="F713" i="6"/>
  <c r="M714" i="6"/>
  <c r="N714" i="6"/>
  <c r="U715" i="6" l="1"/>
  <c r="T715" i="6"/>
  <c r="G714" i="6"/>
  <c r="F714" i="6"/>
  <c r="M715" i="6"/>
  <c r="N715" i="6"/>
  <c r="U716" i="6" l="1"/>
  <c r="T716" i="6"/>
  <c r="G715" i="6"/>
  <c r="F715" i="6"/>
  <c r="M716" i="6"/>
  <c r="N716" i="6"/>
  <c r="U717" i="6" l="1"/>
  <c r="T717" i="6"/>
  <c r="G716" i="6"/>
  <c r="F716" i="6"/>
  <c r="M717" i="6"/>
  <c r="N717" i="6"/>
  <c r="T718" i="6" l="1"/>
  <c r="U718" i="6"/>
  <c r="G717" i="6"/>
  <c r="F717" i="6"/>
  <c r="M718" i="6"/>
  <c r="N718" i="6"/>
  <c r="U719" i="6" l="1"/>
  <c r="T719" i="6"/>
  <c r="G718" i="6"/>
  <c r="F718" i="6"/>
  <c r="M719" i="6"/>
  <c r="N719" i="6"/>
  <c r="U720" i="6" l="1"/>
  <c r="T720" i="6"/>
  <c r="G719" i="6"/>
  <c r="F719" i="6"/>
  <c r="M720" i="6"/>
  <c r="N720" i="6"/>
  <c r="U721" i="6" l="1"/>
  <c r="T721" i="6"/>
  <c r="F720" i="6"/>
  <c r="G720" i="6"/>
  <c r="M721" i="6"/>
  <c r="N721" i="6"/>
  <c r="U722" i="6" l="1"/>
  <c r="T722" i="6"/>
  <c r="G721" i="6"/>
  <c r="F721" i="6"/>
  <c r="M722" i="6"/>
  <c r="N722" i="6"/>
  <c r="U723" i="6" l="1"/>
  <c r="T723" i="6"/>
  <c r="G722" i="6"/>
  <c r="F722" i="6"/>
  <c r="M723" i="6"/>
  <c r="N723" i="6"/>
  <c r="U724" i="6" l="1"/>
  <c r="T724" i="6"/>
  <c r="F723" i="6"/>
  <c r="G723" i="6"/>
  <c r="M724" i="6"/>
  <c r="N724" i="6"/>
  <c r="U725" i="6" l="1"/>
  <c r="T725" i="6"/>
  <c r="G724" i="6"/>
  <c r="F724" i="6"/>
  <c r="M725" i="6"/>
  <c r="N725" i="6"/>
  <c r="U726" i="6" l="1"/>
  <c r="T726" i="6"/>
  <c r="F725" i="6"/>
  <c r="G725" i="6"/>
  <c r="M726" i="6"/>
  <c r="N726" i="6"/>
  <c r="U727" i="6" l="1"/>
  <c r="T727" i="6"/>
  <c r="G726" i="6"/>
  <c r="F726" i="6"/>
  <c r="M727" i="6"/>
  <c r="N727" i="6"/>
  <c r="U728" i="6" l="1"/>
  <c r="T728" i="6"/>
  <c r="G727" i="6"/>
  <c r="F727" i="6"/>
  <c r="M728" i="6"/>
  <c r="N728" i="6"/>
  <c r="U729" i="6" l="1"/>
  <c r="T729" i="6"/>
  <c r="F728" i="6"/>
  <c r="G728" i="6"/>
  <c r="M729" i="6"/>
  <c r="N729" i="6"/>
  <c r="U730" i="6" l="1"/>
  <c r="T730" i="6"/>
  <c r="G729" i="6"/>
  <c r="F729" i="6"/>
  <c r="M730" i="6"/>
  <c r="N730" i="6"/>
  <c r="U731" i="6" l="1"/>
  <c r="T731" i="6"/>
  <c r="G730" i="6"/>
  <c r="F730" i="6"/>
  <c r="M731" i="6"/>
  <c r="N731" i="6"/>
  <c r="U732" i="6" l="1"/>
  <c r="T732" i="6"/>
  <c r="F731" i="6"/>
  <c r="G731" i="6"/>
  <c r="M732" i="6"/>
  <c r="N732" i="6"/>
  <c r="U733" i="6" l="1"/>
  <c r="T733" i="6"/>
  <c r="G732" i="6"/>
  <c r="F732" i="6"/>
  <c r="M733" i="6"/>
  <c r="N733" i="6"/>
  <c r="T734" i="6" l="1"/>
  <c r="U734" i="6"/>
  <c r="G733" i="6"/>
  <c r="F733" i="6"/>
  <c r="M734" i="6"/>
  <c r="N734" i="6"/>
  <c r="U735" i="6" l="1"/>
  <c r="T735" i="6"/>
  <c r="G734" i="6"/>
  <c r="F734" i="6"/>
  <c r="M735" i="6"/>
  <c r="N735" i="6"/>
  <c r="U736" i="6" l="1"/>
  <c r="T736" i="6"/>
  <c r="G735" i="6"/>
  <c r="F735" i="6"/>
  <c r="M736" i="6"/>
  <c r="N736" i="6"/>
  <c r="U737" i="6" l="1"/>
  <c r="T737" i="6"/>
  <c r="G736" i="6"/>
  <c r="F736" i="6"/>
  <c r="M737" i="6"/>
  <c r="N737" i="6"/>
  <c r="U738" i="6" l="1"/>
  <c r="T738" i="6"/>
  <c r="G737" i="6"/>
  <c r="F737" i="6"/>
  <c r="M738" i="6"/>
  <c r="N738" i="6"/>
  <c r="U739" i="6" l="1"/>
  <c r="T739" i="6"/>
  <c r="G738" i="6"/>
  <c r="F738" i="6"/>
  <c r="M739" i="6"/>
  <c r="N739" i="6"/>
  <c r="T740" i="6" l="1"/>
  <c r="U740" i="6"/>
  <c r="G739" i="6"/>
  <c r="F739" i="6"/>
  <c r="M740" i="6"/>
  <c r="N740" i="6"/>
  <c r="U741" i="6" l="1"/>
  <c r="T741" i="6"/>
  <c r="G740" i="6"/>
  <c r="F740" i="6"/>
  <c r="M741" i="6"/>
  <c r="N741" i="6"/>
  <c r="U742" i="6" l="1"/>
  <c r="T742" i="6"/>
  <c r="G741" i="6"/>
  <c r="F741" i="6"/>
  <c r="M742" i="6"/>
  <c r="N742" i="6"/>
  <c r="U743" i="6" l="1"/>
  <c r="T743" i="6"/>
  <c r="G742" i="6"/>
  <c r="F742" i="6"/>
  <c r="M743" i="6"/>
  <c r="N743" i="6"/>
  <c r="U744" i="6" l="1"/>
  <c r="T744" i="6"/>
  <c r="F743" i="6"/>
  <c r="G743" i="6"/>
  <c r="M744" i="6"/>
  <c r="N744" i="6"/>
  <c r="U745" i="6" l="1"/>
  <c r="T745" i="6"/>
  <c r="G744" i="6"/>
  <c r="F744" i="6"/>
  <c r="M745" i="6"/>
  <c r="N745" i="6"/>
  <c r="U746" i="6" l="1"/>
  <c r="T746" i="6"/>
  <c r="G745" i="6"/>
  <c r="F745" i="6"/>
  <c r="M746" i="6"/>
  <c r="N746" i="6"/>
  <c r="U747" i="6" l="1"/>
  <c r="T747" i="6"/>
  <c r="G746" i="6"/>
  <c r="F746" i="6"/>
  <c r="M747" i="6"/>
  <c r="N747" i="6"/>
  <c r="U748" i="6" l="1"/>
  <c r="T748" i="6"/>
  <c r="G747" i="6"/>
  <c r="F747" i="6"/>
  <c r="M748" i="6"/>
  <c r="N748" i="6"/>
  <c r="T749" i="6" l="1"/>
  <c r="U749" i="6"/>
  <c r="G748" i="6"/>
  <c r="F748" i="6"/>
  <c r="M749" i="6"/>
  <c r="N749" i="6"/>
  <c r="U750" i="6" l="1"/>
  <c r="T750" i="6"/>
  <c r="G749" i="6"/>
  <c r="F749" i="6"/>
  <c r="M750" i="6"/>
  <c r="N750" i="6"/>
  <c r="T751" i="6" l="1"/>
  <c r="U751" i="6"/>
  <c r="G750" i="6"/>
  <c r="F750" i="6"/>
  <c r="M751" i="6"/>
  <c r="N751" i="6"/>
  <c r="U752" i="6" l="1"/>
  <c r="T752" i="6"/>
  <c r="G751" i="6"/>
  <c r="F751" i="6"/>
  <c r="M752" i="6"/>
  <c r="N752" i="6"/>
  <c r="U753" i="6" l="1"/>
  <c r="T753" i="6"/>
  <c r="F752" i="6"/>
  <c r="G752" i="6"/>
  <c r="M753" i="6"/>
  <c r="N753" i="6"/>
  <c r="U754" i="6" l="1"/>
  <c r="T754" i="6"/>
  <c r="G753" i="6"/>
  <c r="F753" i="6"/>
  <c r="M754" i="6"/>
  <c r="N754" i="6"/>
  <c r="T755" i="6" l="1"/>
  <c r="U755" i="6"/>
  <c r="G754" i="6"/>
  <c r="F754" i="6"/>
  <c r="M755" i="6"/>
  <c r="N755" i="6"/>
  <c r="U756" i="6" l="1"/>
  <c r="T756" i="6"/>
  <c r="F755" i="6"/>
  <c r="G755" i="6"/>
  <c r="M756" i="6"/>
  <c r="N756" i="6"/>
  <c r="U757" i="6" l="1"/>
  <c r="T757" i="6"/>
  <c r="G756" i="6"/>
  <c r="F756" i="6"/>
  <c r="M757" i="6"/>
  <c r="N757" i="6"/>
  <c r="T758" i="6" l="1"/>
  <c r="U758" i="6"/>
  <c r="G757" i="6"/>
  <c r="F757" i="6"/>
  <c r="M758" i="6"/>
  <c r="N758" i="6"/>
  <c r="U759" i="6" l="1"/>
  <c r="T759" i="6"/>
  <c r="G758" i="6"/>
  <c r="F758" i="6"/>
  <c r="M759" i="6"/>
  <c r="N759" i="6"/>
  <c r="U760" i="6" l="1"/>
  <c r="T760" i="6"/>
  <c r="G759" i="6"/>
  <c r="F759" i="6"/>
  <c r="M760" i="6"/>
  <c r="N760" i="6"/>
  <c r="U761" i="6" l="1"/>
  <c r="T761" i="6"/>
  <c r="G760" i="6"/>
  <c r="F760" i="6"/>
  <c r="M761" i="6"/>
  <c r="N761" i="6"/>
  <c r="U762" i="6" l="1"/>
  <c r="T762" i="6"/>
  <c r="G761" i="6"/>
  <c r="F761" i="6"/>
  <c r="M762" i="6"/>
  <c r="N762" i="6"/>
  <c r="U763" i="6" l="1"/>
  <c r="T763" i="6"/>
  <c r="G762" i="6"/>
  <c r="F762" i="6"/>
  <c r="M763" i="6"/>
  <c r="N763" i="6"/>
  <c r="U764" i="6" l="1"/>
  <c r="T764" i="6"/>
  <c r="G763" i="6"/>
  <c r="F763" i="6"/>
  <c r="M764" i="6"/>
  <c r="N764" i="6"/>
  <c r="U765" i="6" l="1"/>
  <c r="T765" i="6"/>
  <c r="F764" i="6"/>
  <c r="G764" i="6"/>
  <c r="M765" i="6"/>
  <c r="N765" i="6"/>
  <c r="U766" i="6" l="1"/>
  <c r="T766" i="6"/>
  <c r="G765" i="6"/>
  <c r="F765" i="6"/>
  <c r="M766" i="6"/>
  <c r="N766" i="6"/>
  <c r="U767" i="6" l="1"/>
  <c r="T767" i="6"/>
  <c r="G766" i="6"/>
  <c r="F766" i="6"/>
  <c r="M767" i="6"/>
  <c r="N767" i="6"/>
  <c r="U768" i="6" l="1"/>
  <c r="T768" i="6"/>
  <c r="G767" i="6"/>
  <c r="F767" i="6"/>
  <c r="M768" i="6"/>
  <c r="N768" i="6"/>
  <c r="U769" i="6" l="1"/>
  <c r="T769" i="6"/>
  <c r="G768" i="6"/>
  <c r="F768" i="6"/>
  <c r="M769" i="6"/>
  <c r="N769" i="6"/>
  <c r="U770" i="6" l="1"/>
  <c r="T770" i="6"/>
  <c r="G769" i="6"/>
  <c r="F769" i="6"/>
  <c r="M770" i="6"/>
  <c r="N770" i="6"/>
  <c r="U771" i="6" l="1"/>
  <c r="T771" i="6"/>
  <c r="G770" i="6"/>
  <c r="F770" i="6"/>
  <c r="M771" i="6"/>
  <c r="N771" i="6"/>
  <c r="U772" i="6" l="1"/>
  <c r="T772" i="6"/>
  <c r="G771" i="6"/>
  <c r="F771" i="6"/>
  <c r="M772" i="6"/>
  <c r="N772" i="6"/>
  <c r="T773" i="6" l="1"/>
  <c r="U773" i="6"/>
  <c r="G772" i="6"/>
  <c r="F772" i="6"/>
  <c r="M773" i="6"/>
  <c r="N773" i="6"/>
  <c r="U774" i="6" l="1"/>
  <c r="T774" i="6"/>
  <c r="G773" i="6"/>
  <c r="F773" i="6"/>
  <c r="M774" i="6"/>
  <c r="N774" i="6"/>
  <c r="U775" i="6" l="1"/>
  <c r="T775" i="6"/>
  <c r="G774" i="6"/>
  <c r="F774" i="6"/>
  <c r="M775" i="6"/>
  <c r="N775" i="6"/>
  <c r="U776" i="6" l="1"/>
  <c r="T776" i="6"/>
  <c r="G775" i="6"/>
  <c r="F775" i="6"/>
  <c r="M776" i="6"/>
  <c r="N776" i="6"/>
  <c r="U777" i="6" l="1"/>
  <c r="T777" i="6"/>
  <c r="F776" i="6"/>
  <c r="G776" i="6"/>
  <c r="M777" i="6"/>
  <c r="N777" i="6"/>
  <c r="U778" i="6" l="1"/>
  <c r="T778" i="6"/>
  <c r="G777" i="6"/>
  <c r="F777" i="6"/>
  <c r="M778" i="6"/>
  <c r="N778" i="6"/>
  <c r="U779" i="6" l="1"/>
  <c r="T779" i="6"/>
  <c r="G778" i="6"/>
  <c r="F778" i="6"/>
  <c r="M779" i="6"/>
  <c r="N779" i="6"/>
  <c r="U780" i="6" l="1"/>
  <c r="T780" i="6"/>
  <c r="G779" i="6"/>
  <c r="F779" i="6"/>
  <c r="M780" i="6"/>
  <c r="N780" i="6"/>
  <c r="U781" i="6" l="1"/>
  <c r="T781" i="6"/>
  <c r="G780" i="6"/>
  <c r="F780" i="6"/>
  <c r="M781" i="6"/>
  <c r="N781" i="6"/>
  <c r="U782" i="6" l="1"/>
  <c r="T782" i="6"/>
  <c r="G781" i="6"/>
  <c r="F781" i="6"/>
  <c r="M782" i="6"/>
  <c r="N782" i="6"/>
  <c r="U783" i="6" l="1"/>
  <c r="T783" i="6"/>
  <c r="G782" i="6"/>
  <c r="F782" i="6"/>
  <c r="M783" i="6"/>
  <c r="N783" i="6"/>
  <c r="U784" i="6" l="1"/>
  <c r="T784" i="6"/>
  <c r="G783" i="6"/>
  <c r="F783" i="6"/>
  <c r="M784" i="6"/>
  <c r="N784" i="6"/>
  <c r="U785" i="6" l="1"/>
  <c r="T785" i="6"/>
  <c r="G784" i="6"/>
  <c r="F784" i="6"/>
  <c r="M785" i="6"/>
  <c r="N785" i="6"/>
  <c r="U786" i="6" l="1"/>
  <c r="T786" i="6"/>
  <c r="G785" i="6"/>
  <c r="F785" i="6"/>
  <c r="M786" i="6"/>
  <c r="N786" i="6"/>
  <c r="U787" i="6" l="1"/>
  <c r="T787" i="6"/>
  <c r="G786" i="6"/>
  <c r="F786" i="6"/>
  <c r="M787" i="6"/>
  <c r="N787" i="6"/>
  <c r="U788" i="6" l="1"/>
  <c r="T788" i="6"/>
  <c r="G787" i="6"/>
  <c r="F787" i="6"/>
  <c r="M788" i="6"/>
  <c r="N788" i="6"/>
  <c r="U789" i="6" l="1"/>
  <c r="T789" i="6"/>
  <c r="F788" i="6"/>
  <c r="G788" i="6"/>
  <c r="M789" i="6"/>
  <c r="N789" i="6"/>
  <c r="U790" i="6" l="1"/>
  <c r="T790" i="6"/>
  <c r="G789" i="6"/>
  <c r="F789" i="6"/>
  <c r="M790" i="6"/>
  <c r="N790" i="6"/>
  <c r="U791" i="6" l="1"/>
  <c r="T791" i="6"/>
  <c r="G790" i="6"/>
  <c r="F790" i="6"/>
  <c r="M791" i="6"/>
  <c r="N791" i="6"/>
  <c r="U792" i="6" l="1"/>
  <c r="T792" i="6"/>
  <c r="G791" i="6"/>
  <c r="F791" i="6"/>
  <c r="M792" i="6"/>
  <c r="N792" i="6"/>
  <c r="U793" i="6" l="1"/>
  <c r="T793" i="6"/>
  <c r="G792" i="6"/>
  <c r="F792" i="6"/>
  <c r="M793" i="6"/>
  <c r="N793" i="6"/>
  <c r="T794" i="6" l="1"/>
  <c r="U794" i="6"/>
  <c r="G793" i="6"/>
  <c r="F793" i="6"/>
  <c r="M794" i="6"/>
  <c r="N794" i="6"/>
  <c r="U795" i="6" l="1"/>
  <c r="T795" i="6"/>
  <c r="G794" i="6"/>
  <c r="F794" i="6"/>
  <c r="M795" i="6"/>
  <c r="N795" i="6"/>
  <c r="U796" i="6" l="1"/>
  <c r="T796" i="6"/>
  <c r="G795" i="6"/>
  <c r="F795" i="6"/>
  <c r="M796" i="6"/>
  <c r="N796" i="6"/>
  <c r="U797" i="6" l="1"/>
  <c r="T797" i="6"/>
  <c r="G796" i="6"/>
  <c r="F796" i="6"/>
  <c r="M797" i="6"/>
  <c r="N797" i="6"/>
  <c r="U798" i="6" l="1"/>
  <c r="T798" i="6"/>
  <c r="G797" i="6"/>
  <c r="F797" i="6"/>
  <c r="M798" i="6"/>
  <c r="N798" i="6"/>
  <c r="T799" i="6" l="1"/>
  <c r="U799" i="6"/>
  <c r="G798" i="6"/>
  <c r="F798" i="6"/>
  <c r="M799" i="6"/>
  <c r="N799" i="6"/>
  <c r="U800" i="6" l="1"/>
  <c r="T800" i="6"/>
  <c r="G799" i="6"/>
  <c r="F799" i="6"/>
  <c r="M800" i="6"/>
  <c r="N800" i="6"/>
  <c r="U801" i="6" l="1"/>
  <c r="T801" i="6"/>
  <c r="F800" i="6"/>
  <c r="G800" i="6"/>
  <c r="M801" i="6"/>
  <c r="N801" i="6"/>
  <c r="U802" i="6" l="1"/>
  <c r="T802" i="6"/>
  <c r="G801" i="6"/>
  <c r="F801" i="6"/>
  <c r="M802" i="6"/>
  <c r="N802" i="6"/>
  <c r="U803" i="6" l="1"/>
  <c r="T803" i="6"/>
  <c r="F802" i="6"/>
  <c r="G802" i="6"/>
  <c r="M803" i="6"/>
  <c r="N803" i="6"/>
  <c r="U804" i="6" l="1"/>
  <c r="T804" i="6"/>
  <c r="G803" i="6"/>
  <c r="F803" i="6"/>
  <c r="M804" i="6"/>
  <c r="N804" i="6"/>
  <c r="T805" i="6" l="1"/>
  <c r="U805" i="6"/>
  <c r="G804" i="6"/>
  <c r="F804" i="6"/>
  <c r="M805" i="6"/>
  <c r="N805" i="6"/>
  <c r="T806" i="6" l="1"/>
  <c r="U806" i="6"/>
  <c r="G805" i="6"/>
  <c r="F805" i="6"/>
  <c r="M806" i="6"/>
  <c r="N806" i="6"/>
  <c r="U807" i="6" l="1"/>
  <c r="T807" i="6"/>
  <c r="G806" i="6"/>
  <c r="F806" i="6"/>
  <c r="M807" i="6"/>
  <c r="N807" i="6"/>
  <c r="U808" i="6" l="1"/>
  <c r="T808" i="6"/>
  <c r="G807" i="6"/>
  <c r="F807" i="6"/>
  <c r="M808" i="6"/>
  <c r="N808" i="6"/>
  <c r="U809" i="6" l="1"/>
  <c r="T809" i="6"/>
  <c r="G808" i="6"/>
  <c r="F808" i="6"/>
  <c r="M809" i="6"/>
  <c r="N809" i="6"/>
  <c r="U810" i="6" l="1"/>
  <c r="T810" i="6"/>
  <c r="G809" i="6"/>
  <c r="F809" i="6"/>
  <c r="M810" i="6"/>
  <c r="N810" i="6"/>
  <c r="U811" i="6" l="1"/>
  <c r="T811" i="6"/>
  <c r="G810" i="6"/>
  <c r="F810" i="6"/>
  <c r="M811" i="6"/>
  <c r="N811" i="6"/>
  <c r="U812" i="6" l="1"/>
  <c r="T812" i="6"/>
  <c r="G811" i="6"/>
  <c r="F811" i="6"/>
  <c r="M812" i="6"/>
  <c r="N812" i="6"/>
  <c r="T813" i="6" l="1"/>
  <c r="U813" i="6"/>
  <c r="F812" i="6"/>
  <c r="G812" i="6"/>
  <c r="M813" i="6"/>
  <c r="N813" i="6"/>
  <c r="T814" i="6" l="1"/>
  <c r="U814" i="6"/>
  <c r="G813" i="6"/>
  <c r="F813" i="6"/>
  <c r="M814" i="6"/>
  <c r="N814" i="6"/>
  <c r="U815" i="6" l="1"/>
  <c r="T815" i="6"/>
  <c r="G814" i="6"/>
  <c r="F814" i="6"/>
  <c r="M815" i="6"/>
  <c r="N815" i="6"/>
  <c r="U816" i="6" l="1"/>
  <c r="T816" i="6"/>
  <c r="G815" i="6"/>
  <c r="F815" i="6"/>
  <c r="M816" i="6"/>
  <c r="N816" i="6"/>
  <c r="T817" i="6" l="1"/>
  <c r="U817" i="6"/>
  <c r="G816" i="6"/>
  <c r="F816" i="6"/>
  <c r="M817" i="6"/>
  <c r="N817" i="6"/>
  <c r="T818" i="6" l="1"/>
  <c r="U818" i="6"/>
  <c r="G817" i="6"/>
  <c r="F817" i="6"/>
  <c r="M818" i="6"/>
  <c r="N818" i="6"/>
  <c r="T819" i="6" l="1"/>
  <c r="U819" i="6"/>
  <c r="F818" i="6"/>
  <c r="G818" i="6"/>
  <c r="M819" i="6"/>
  <c r="N819" i="6"/>
  <c r="U820" i="6" l="1"/>
  <c r="T820" i="6"/>
  <c r="G819" i="6"/>
  <c r="F819" i="6"/>
  <c r="M820" i="6"/>
  <c r="N820" i="6"/>
  <c r="U821" i="6" l="1"/>
  <c r="T821" i="6"/>
  <c r="F820" i="6"/>
  <c r="G820" i="6"/>
  <c r="M821" i="6"/>
  <c r="N821" i="6"/>
  <c r="U822" i="6" l="1"/>
  <c r="T822" i="6"/>
  <c r="G821" i="6"/>
  <c r="F821" i="6"/>
  <c r="M822" i="6"/>
  <c r="N822" i="6"/>
  <c r="U823" i="6" l="1"/>
  <c r="T823" i="6"/>
  <c r="G822" i="6"/>
  <c r="F822" i="6"/>
  <c r="M823" i="6"/>
  <c r="N823" i="6"/>
  <c r="U824" i="6" l="1"/>
  <c r="T824" i="6"/>
  <c r="G823" i="6"/>
  <c r="F823" i="6"/>
  <c r="M824" i="6"/>
  <c r="N824" i="6"/>
  <c r="U825" i="6" l="1"/>
  <c r="T825" i="6"/>
  <c r="G824" i="6"/>
  <c r="F824" i="6"/>
  <c r="M825" i="6"/>
  <c r="N825" i="6"/>
  <c r="U826" i="6" l="1"/>
  <c r="T826" i="6"/>
  <c r="F825" i="6"/>
  <c r="G825" i="6"/>
  <c r="M826" i="6"/>
  <c r="N826" i="6"/>
  <c r="U827" i="6" l="1"/>
  <c r="T827" i="6"/>
  <c r="F826" i="6"/>
  <c r="G826" i="6"/>
  <c r="M827" i="6"/>
  <c r="N827" i="6"/>
  <c r="U828" i="6" l="1"/>
  <c r="T828" i="6"/>
  <c r="G827" i="6"/>
  <c r="F827" i="6"/>
  <c r="M828" i="6"/>
  <c r="N828" i="6"/>
  <c r="U829" i="6" l="1"/>
  <c r="T829" i="6"/>
  <c r="G828" i="6"/>
  <c r="F828" i="6"/>
  <c r="M829" i="6"/>
  <c r="N829" i="6"/>
  <c r="U830" i="6" l="1"/>
  <c r="T830" i="6"/>
  <c r="G829" i="6"/>
  <c r="F829" i="6"/>
  <c r="M830" i="6"/>
  <c r="N830" i="6"/>
  <c r="U831" i="6" l="1"/>
  <c r="T831" i="6"/>
  <c r="G830" i="6"/>
  <c r="F830" i="6"/>
  <c r="M831" i="6"/>
  <c r="N831" i="6"/>
  <c r="U832" i="6" l="1"/>
  <c r="T832" i="6"/>
  <c r="F831" i="6"/>
  <c r="G831" i="6"/>
  <c r="M832" i="6"/>
  <c r="N832" i="6"/>
  <c r="T833" i="6" l="1"/>
  <c r="U833" i="6"/>
  <c r="G832" i="6"/>
  <c r="F832" i="6"/>
  <c r="M833" i="6"/>
  <c r="N833" i="6"/>
  <c r="U834" i="6" l="1"/>
  <c r="T834" i="6"/>
  <c r="F833" i="6"/>
  <c r="G833" i="6"/>
  <c r="M834" i="6"/>
  <c r="N834" i="6"/>
  <c r="U835" i="6" l="1"/>
  <c r="T835" i="6"/>
  <c r="G834" i="6"/>
  <c r="F834" i="6"/>
  <c r="M835" i="6"/>
  <c r="N835" i="6"/>
  <c r="U836" i="6" l="1"/>
  <c r="T836" i="6"/>
  <c r="G835" i="6"/>
  <c r="F835" i="6"/>
  <c r="M836" i="6"/>
  <c r="N836" i="6"/>
  <c r="T837" i="6" l="1"/>
  <c r="U837" i="6"/>
  <c r="G836" i="6"/>
  <c r="F836" i="6"/>
  <c r="M837" i="6"/>
  <c r="N837" i="6"/>
  <c r="U838" i="6" l="1"/>
  <c r="T838" i="6"/>
  <c r="G837" i="6"/>
  <c r="F837" i="6"/>
  <c r="M838" i="6"/>
  <c r="N838" i="6"/>
  <c r="U839" i="6" l="1"/>
  <c r="T839" i="6"/>
  <c r="G838" i="6"/>
  <c r="F838" i="6"/>
  <c r="M839" i="6"/>
  <c r="N839" i="6"/>
  <c r="U840" i="6" l="1"/>
  <c r="T840" i="6"/>
  <c r="G839" i="6"/>
  <c r="F839" i="6"/>
  <c r="M840" i="6"/>
  <c r="N840" i="6"/>
  <c r="U841" i="6" l="1"/>
  <c r="T841" i="6"/>
  <c r="G840" i="6"/>
  <c r="F840" i="6"/>
  <c r="M841" i="6"/>
  <c r="N841" i="6"/>
  <c r="U842" i="6" l="1"/>
  <c r="T842" i="6"/>
  <c r="G841" i="6"/>
  <c r="F841" i="6"/>
  <c r="M842" i="6"/>
  <c r="N842" i="6"/>
  <c r="U843" i="6" l="1"/>
  <c r="T843" i="6"/>
  <c r="G842" i="6"/>
  <c r="F842" i="6"/>
  <c r="M843" i="6"/>
  <c r="N843" i="6"/>
  <c r="T844" i="6" l="1"/>
  <c r="U844" i="6"/>
  <c r="F843" i="6"/>
  <c r="G843" i="6"/>
  <c r="M844" i="6"/>
  <c r="N844" i="6"/>
  <c r="U845" i="6" l="1"/>
  <c r="T845" i="6"/>
  <c r="G844" i="6"/>
  <c r="F844" i="6"/>
  <c r="M845" i="6"/>
  <c r="N845" i="6"/>
  <c r="U846" i="6" l="1"/>
  <c r="T846" i="6"/>
  <c r="G845" i="6"/>
  <c r="F845" i="6"/>
  <c r="M846" i="6"/>
  <c r="N846" i="6"/>
  <c r="U847" i="6" l="1"/>
  <c r="T847" i="6"/>
  <c r="F846" i="6"/>
  <c r="G846" i="6"/>
  <c r="M847" i="6"/>
  <c r="N847" i="6"/>
  <c r="U848" i="6" l="1"/>
  <c r="T848" i="6"/>
  <c r="G847" i="6"/>
  <c r="F847" i="6"/>
  <c r="M848" i="6"/>
  <c r="N848" i="6"/>
  <c r="U849" i="6" l="1"/>
  <c r="T849" i="6"/>
  <c r="G848" i="6"/>
  <c r="F848" i="6"/>
  <c r="M849" i="6"/>
  <c r="N849" i="6"/>
  <c r="U850" i="6" l="1"/>
  <c r="T850" i="6"/>
  <c r="G849" i="6"/>
  <c r="F849" i="6"/>
  <c r="M850" i="6"/>
  <c r="N850" i="6"/>
  <c r="U851" i="6" l="1"/>
  <c r="T851" i="6"/>
  <c r="G850" i="6"/>
  <c r="F850" i="6"/>
  <c r="M851" i="6"/>
  <c r="N851" i="6"/>
  <c r="U852" i="6" l="1"/>
  <c r="T852" i="6"/>
  <c r="G851" i="6"/>
  <c r="F851" i="6"/>
  <c r="M852" i="6"/>
  <c r="N852" i="6"/>
  <c r="U853" i="6" l="1"/>
  <c r="T853" i="6"/>
  <c r="G852" i="6"/>
  <c r="F852" i="6"/>
  <c r="M853" i="6"/>
  <c r="N853" i="6"/>
  <c r="U854" i="6" l="1"/>
  <c r="T854" i="6"/>
  <c r="G853" i="6"/>
  <c r="F853" i="6"/>
  <c r="M854" i="6"/>
  <c r="N854" i="6"/>
  <c r="T855" i="6" l="1"/>
  <c r="U855" i="6"/>
  <c r="F854" i="6"/>
  <c r="G854" i="6"/>
  <c r="M855" i="6"/>
  <c r="N855" i="6"/>
  <c r="U856" i="6" l="1"/>
  <c r="T856" i="6"/>
  <c r="G855" i="6"/>
  <c r="F855" i="6"/>
  <c r="M856" i="6"/>
  <c r="N856" i="6"/>
  <c r="T857" i="6" l="1"/>
  <c r="U857" i="6"/>
  <c r="G856" i="6"/>
  <c r="F856" i="6"/>
  <c r="M857" i="6"/>
  <c r="N857" i="6"/>
  <c r="T858" i="6" l="1"/>
  <c r="U858" i="6"/>
  <c r="G857" i="6"/>
  <c r="F857" i="6"/>
  <c r="M858" i="6"/>
  <c r="N858" i="6"/>
  <c r="U859" i="6" l="1"/>
  <c r="T859" i="6"/>
  <c r="G858" i="6"/>
  <c r="F858" i="6"/>
  <c r="M859" i="6"/>
  <c r="N859" i="6"/>
  <c r="T860" i="6" l="1"/>
  <c r="U860" i="6"/>
  <c r="F859" i="6"/>
  <c r="G859" i="6"/>
  <c r="M860" i="6"/>
  <c r="N860" i="6"/>
  <c r="T861" i="6" l="1"/>
  <c r="U861" i="6"/>
  <c r="G860" i="6"/>
  <c r="F860" i="6"/>
  <c r="M861" i="6"/>
  <c r="N861" i="6"/>
  <c r="T862" i="6" l="1"/>
  <c r="U862" i="6"/>
  <c r="F861" i="6"/>
  <c r="G861" i="6"/>
  <c r="M862" i="6"/>
  <c r="N862" i="6"/>
  <c r="T863" i="6" l="1"/>
  <c r="U863" i="6"/>
  <c r="G862" i="6"/>
  <c r="F862" i="6"/>
  <c r="M863" i="6"/>
  <c r="N863" i="6"/>
  <c r="T864" i="6" l="1"/>
  <c r="U864" i="6"/>
  <c r="G863" i="6"/>
  <c r="F863" i="6"/>
  <c r="M864" i="6"/>
  <c r="N864" i="6"/>
  <c r="T865" i="6" l="1"/>
  <c r="U865" i="6"/>
  <c r="G864" i="6"/>
  <c r="F864" i="6"/>
  <c r="M865" i="6"/>
  <c r="N865" i="6"/>
  <c r="U866" i="6" l="1"/>
  <c r="T866" i="6"/>
  <c r="G865" i="6"/>
  <c r="F865" i="6"/>
  <c r="M866" i="6"/>
  <c r="N866" i="6"/>
  <c r="T867" i="6" l="1"/>
  <c r="U867" i="6"/>
  <c r="G866" i="6"/>
  <c r="F866" i="6"/>
  <c r="M867" i="6"/>
  <c r="N867" i="6"/>
  <c r="U868" i="6" l="1"/>
  <c r="T868" i="6"/>
  <c r="G867" i="6"/>
  <c r="F867" i="6"/>
  <c r="M868" i="6"/>
  <c r="N868" i="6"/>
  <c r="T869" i="6" l="1"/>
  <c r="U869" i="6"/>
  <c r="G868" i="6"/>
  <c r="F868" i="6"/>
  <c r="M869" i="6"/>
  <c r="N869" i="6"/>
  <c r="U870" i="6" l="1"/>
  <c r="T870" i="6"/>
  <c r="F869" i="6"/>
  <c r="G869" i="6"/>
  <c r="M870" i="6"/>
  <c r="N870" i="6"/>
  <c r="U871" i="6" l="1"/>
  <c r="T871" i="6"/>
  <c r="F870" i="6"/>
  <c r="G870" i="6"/>
  <c r="M871" i="6"/>
  <c r="N871" i="6"/>
  <c r="U872" i="6" l="1"/>
  <c r="T872" i="6"/>
  <c r="F871" i="6"/>
  <c r="G871" i="6"/>
  <c r="M872" i="6"/>
  <c r="N872" i="6"/>
  <c r="U873" i="6" l="1"/>
  <c r="T873" i="6"/>
  <c r="F872" i="6"/>
  <c r="G872" i="6"/>
  <c r="M873" i="6"/>
  <c r="N873" i="6"/>
  <c r="U874" i="6" l="1"/>
  <c r="T874" i="6"/>
  <c r="F873" i="6"/>
  <c r="G873" i="6"/>
  <c r="M874" i="6"/>
  <c r="N874" i="6"/>
  <c r="U875" i="6" l="1"/>
  <c r="T875" i="6"/>
  <c r="G874" i="6"/>
  <c r="F874" i="6"/>
  <c r="M875" i="6"/>
  <c r="N875" i="6"/>
  <c r="U876" i="6" l="1"/>
  <c r="T876" i="6"/>
  <c r="F875" i="6"/>
  <c r="G875" i="6"/>
  <c r="M876" i="6"/>
  <c r="N876" i="6"/>
  <c r="U877" i="6" l="1"/>
  <c r="T877" i="6"/>
  <c r="G876" i="6"/>
  <c r="F876" i="6"/>
  <c r="M877" i="6"/>
  <c r="N877" i="6"/>
  <c r="U878" i="6" l="1"/>
  <c r="T878" i="6"/>
  <c r="F877" i="6"/>
  <c r="G877" i="6"/>
  <c r="M878" i="6"/>
  <c r="N878" i="6"/>
  <c r="U879" i="6" l="1"/>
  <c r="T879" i="6"/>
  <c r="G878" i="6"/>
  <c r="F878" i="6"/>
  <c r="M879" i="6"/>
  <c r="N879" i="6"/>
  <c r="U880" i="6" l="1"/>
  <c r="T880" i="6"/>
  <c r="G879" i="6"/>
  <c r="F879" i="6"/>
  <c r="M880" i="6"/>
  <c r="N880" i="6"/>
  <c r="T881" i="6" l="1"/>
  <c r="U881" i="6"/>
  <c r="F880" i="6"/>
  <c r="G880" i="6"/>
  <c r="M881" i="6"/>
  <c r="N881" i="6"/>
  <c r="T882" i="6" l="1"/>
  <c r="U882" i="6"/>
  <c r="F881" i="6"/>
  <c r="G881" i="6"/>
  <c r="M882" i="6"/>
  <c r="N882" i="6"/>
  <c r="U883" i="6" l="1"/>
  <c r="T883" i="6"/>
  <c r="G882" i="6"/>
  <c r="F882" i="6"/>
  <c r="M883" i="6"/>
  <c r="N883" i="6"/>
  <c r="U884" i="6" l="1"/>
  <c r="T884" i="6"/>
  <c r="G883" i="6"/>
  <c r="F883" i="6"/>
  <c r="M884" i="6"/>
  <c r="N884" i="6"/>
  <c r="T885" i="6" l="1"/>
  <c r="U885" i="6"/>
  <c r="G884" i="6"/>
  <c r="F884" i="6"/>
  <c r="M885" i="6"/>
  <c r="N885" i="6"/>
  <c r="T886" i="6" l="1"/>
  <c r="U886" i="6"/>
  <c r="F885" i="6"/>
  <c r="G885" i="6"/>
  <c r="M886" i="6"/>
  <c r="N886" i="6"/>
  <c r="T887" i="6" l="1"/>
  <c r="U887" i="6"/>
  <c r="G886" i="6"/>
  <c r="F886" i="6"/>
  <c r="M887" i="6"/>
  <c r="N887" i="6"/>
  <c r="T888" i="6" l="1"/>
  <c r="U888" i="6"/>
  <c r="G887" i="6"/>
  <c r="F887" i="6"/>
  <c r="M888" i="6"/>
  <c r="N888" i="6"/>
  <c r="T889" i="6" l="1"/>
  <c r="U889" i="6"/>
  <c r="G888" i="6"/>
  <c r="F888" i="6"/>
  <c r="M889" i="6"/>
  <c r="N889" i="6"/>
  <c r="T890" i="6" l="1"/>
  <c r="U890" i="6"/>
  <c r="G889" i="6"/>
  <c r="F889" i="6"/>
  <c r="M890" i="6"/>
  <c r="N890" i="6"/>
  <c r="T891" i="6" l="1"/>
  <c r="U891" i="6"/>
  <c r="G890" i="6"/>
  <c r="F890" i="6"/>
  <c r="M891" i="6"/>
  <c r="N891" i="6"/>
  <c r="U892" i="6" l="1"/>
  <c r="T892" i="6"/>
  <c r="G891" i="6"/>
  <c r="F891" i="6"/>
  <c r="M892" i="6"/>
  <c r="N892" i="6"/>
  <c r="U893" i="6" l="1"/>
  <c r="T893" i="6"/>
  <c r="G892" i="6"/>
  <c r="F892" i="6"/>
  <c r="M893" i="6"/>
  <c r="N893" i="6"/>
  <c r="U894" i="6" l="1"/>
  <c r="T894" i="6"/>
  <c r="G893" i="6"/>
  <c r="F893" i="6"/>
  <c r="M894" i="6"/>
  <c r="N894" i="6"/>
  <c r="U895" i="6" l="1"/>
  <c r="T895" i="6"/>
  <c r="G894" i="6"/>
  <c r="F894" i="6"/>
  <c r="M895" i="6"/>
  <c r="N895" i="6"/>
  <c r="U896" i="6" l="1"/>
  <c r="T896" i="6"/>
  <c r="G895" i="6"/>
  <c r="F895" i="6"/>
  <c r="M896" i="6"/>
  <c r="N896" i="6"/>
  <c r="U897" i="6" l="1"/>
  <c r="T897" i="6"/>
  <c r="G896" i="6"/>
  <c r="F896" i="6"/>
  <c r="M897" i="6"/>
  <c r="N897" i="6"/>
  <c r="U898" i="6" l="1"/>
  <c r="T898" i="6"/>
  <c r="G897" i="6"/>
  <c r="F897" i="6"/>
  <c r="M898" i="6"/>
  <c r="N898" i="6"/>
  <c r="U899" i="6" l="1"/>
  <c r="T899" i="6"/>
  <c r="G898" i="6"/>
  <c r="F898" i="6"/>
  <c r="M899" i="6"/>
  <c r="N899" i="6"/>
  <c r="U900" i="6" l="1"/>
  <c r="T900" i="6"/>
  <c r="F899" i="6"/>
  <c r="G899" i="6"/>
  <c r="M900" i="6"/>
  <c r="N900" i="6"/>
  <c r="T901" i="6" l="1"/>
  <c r="U901" i="6"/>
  <c r="G900" i="6"/>
  <c r="F900" i="6"/>
  <c r="M901" i="6"/>
  <c r="N901" i="6"/>
  <c r="T902" i="6" l="1"/>
  <c r="U902" i="6"/>
  <c r="G901" i="6"/>
  <c r="F901" i="6"/>
  <c r="M902" i="6"/>
  <c r="N902" i="6"/>
  <c r="T903" i="6" l="1"/>
  <c r="U903" i="6"/>
  <c r="G902" i="6"/>
  <c r="F902" i="6"/>
  <c r="M903" i="6"/>
  <c r="N903" i="6"/>
  <c r="U904" i="6" l="1"/>
  <c r="T904" i="6"/>
  <c r="F903" i="6"/>
  <c r="G903" i="6"/>
  <c r="M904" i="6"/>
  <c r="N904" i="6"/>
  <c r="U905" i="6" l="1"/>
  <c r="T905" i="6"/>
  <c r="G904" i="6"/>
  <c r="F904" i="6"/>
  <c r="M905" i="6"/>
  <c r="N905" i="6"/>
  <c r="U906" i="6" l="1"/>
  <c r="T906" i="6"/>
  <c r="G905" i="6"/>
  <c r="F905" i="6"/>
  <c r="M906" i="6"/>
  <c r="N906" i="6"/>
  <c r="U907" i="6" l="1"/>
  <c r="T907" i="6"/>
  <c r="G906" i="6"/>
  <c r="F906" i="6"/>
  <c r="M907" i="6"/>
  <c r="N907" i="6"/>
  <c r="T908" i="6" l="1"/>
  <c r="U908" i="6"/>
  <c r="G907" i="6"/>
  <c r="F907" i="6"/>
  <c r="M908" i="6"/>
  <c r="N908" i="6"/>
  <c r="U909" i="6" l="1"/>
  <c r="T909" i="6"/>
  <c r="F908" i="6"/>
  <c r="G908" i="6"/>
  <c r="M909" i="6"/>
  <c r="N909" i="6"/>
  <c r="T910" i="6" l="1"/>
  <c r="U910" i="6"/>
  <c r="G909" i="6"/>
  <c r="F909" i="6"/>
  <c r="M910" i="6"/>
  <c r="N910" i="6"/>
  <c r="U911" i="6" l="1"/>
  <c r="T911" i="6"/>
  <c r="G910" i="6"/>
  <c r="F910" i="6"/>
  <c r="M911" i="6"/>
  <c r="N911" i="6"/>
  <c r="U912" i="6" l="1"/>
  <c r="T912" i="6"/>
  <c r="G911" i="6"/>
  <c r="F911" i="6"/>
  <c r="M912" i="6"/>
  <c r="N912" i="6"/>
  <c r="U913" i="6" l="1"/>
  <c r="T913" i="6"/>
  <c r="G912" i="6"/>
  <c r="F912" i="6"/>
  <c r="M913" i="6"/>
  <c r="N913" i="6"/>
  <c r="T914" i="6" l="1"/>
  <c r="U914" i="6"/>
  <c r="F913" i="6"/>
  <c r="G913" i="6"/>
  <c r="M914" i="6"/>
  <c r="N914" i="6"/>
  <c r="T915" i="6" l="1"/>
  <c r="U915" i="6"/>
  <c r="G914" i="6"/>
  <c r="F914" i="6"/>
  <c r="M915" i="6"/>
  <c r="N915" i="6"/>
  <c r="T916" i="6" l="1"/>
  <c r="U916" i="6"/>
  <c r="G915" i="6"/>
  <c r="F915" i="6"/>
  <c r="M916" i="6"/>
  <c r="N916" i="6"/>
  <c r="U917" i="6" l="1"/>
  <c r="T917" i="6"/>
  <c r="F916" i="6"/>
  <c r="G916" i="6"/>
  <c r="M917" i="6"/>
  <c r="N917" i="6"/>
  <c r="U918" i="6" l="1"/>
  <c r="T918" i="6"/>
  <c r="G917" i="6"/>
  <c r="F917" i="6"/>
  <c r="M918" i="6"/>
  <c r="N918" i="6"/>
  <c r="U919" i="6" l="1"/>
  <c r="T919" i="6"/>
  <c r="G918" i="6"/>
  <c r="F918" i="6"/>
  <c r="M919" i="6"/>
  <c r="N919" i="6"/>
  <c r="T920" i="6" l="1"/>
  <c r="U920" i="6"/>
  <c r="G919" i="6"/>
  <c r="F919" i="6"/>
  <c r="M920" i="6"/>
  <c r="N920" i="6"/>
  <c r="U921" i="6" l="1"/>
  <c r="T921" i="6"/>
  <c r="G920" i="6"/>
  <c r="F920" i="6"/>
  <c r="M921" i="6"/>
  <c r="N921" i="6"/>
  <c r="U922" i="6" l="1"/>
  <c r="T922" i="6"/>
  <c r="F921" i="6"/>
  <c r="G921" i="6"/>
  <c r="M922" i="6"/>
  <c r="N922" i="6"/>
  <c r="U923" i="6" l="1"/>
  <c r="T923" i="6"/>
  <c r="G922" i="6"/>
  <c r="F922" i="6"/>
  <c r="M923" i="6"/>
  <c r="N923" i="6"/>
  <c r="U924" i="6" l="1"/>
  <c r="T924" i="6"/>
  <c r="G923" i="6"/>
  <c r="F923" i="6"/>
  <c r="M924" i="6"/>
  <c r="N924" i="6"/>
  <c r="U925" i="6" l="1"/>
  <c r="T925" i="6"/>
  <c r="F924" i="6"/>
  <c r="G924" i="6"/>
  <c r="M925" i="6"/>
  <c r="N925" i="6"/>
  <c r="T926" i="6" l="1"/>
  <c r="U926" i="6"/>
  <c r="F925" i="6"/>
  <c r="G925" i="6"/>
  <c r="M926" i="6"/>
  <c r="N926" i="6"/>
  <c r="U927" i="6" l="1"/>
  <c r="T927" i="6"/>
  <c r="G926" i="6"/>
  <c r="F926" i="6"/>
  <c r="M927" i="6"/>
  <c r="N927" i="6"/>
  <c r="U928" i="6" l="1"/>
  <c r="T928" i="6"/>
  <c r="G927" i="6"/>
  <c r="F927" i="6"/>
  <c r="M928" i="6"/>
  <c r="N928" i="6"/>
  <c r="U929" i="6" l="1"/>
  <c r="T929" i="6"/>
  <c r="G928" i="6"/>
  <c r="F928" i="6"/>
  <c r="M929" i="6"/>
  <c r="N929" i="6"/>
  <c r="U930" i="6" l="1"/>
  <c r="T930" i="6"/>
  <c r="G929" i="6"/>
  <c r="F929" i="6"/>
  <c r="M930" i="6"/>
  <c r="N930" i="6"/>
  <c r="U931" i="6" l="1"/>
  <c r="T931" i="6"/>
  <c r="G930" i="6"/>
  <c r="F930" i="6"/>
  <c r="M931" i="6"/>
  <c r="N931" i="6"/>
  <c r="U932" i="6" l="1"/>
  <c r="T932" i="6"/>
  <c r="F931" i="6"/>
  <c r="G931" i="6"/>
  <c r="M932" i="6"/>
  <c r="N932" i="6"/>
  <c r="T933" i="6" l="1"/>
  <c r="U933" i="6"/>
  <c r="G932" i="6"/>
  <c r="F932" i="6"/>
  <c r="M933" i="6"/>
  <c r="N933" i="6"/>
  <c r="U934" i="6" l="1"/>
  <c r="T934" i="6"/>
  <c r="F933" i="6"/>
  <c r="G933" i="6"/>
  <c r="M934" i="6"/>
  <c r="N934" i="6"/>
  <c r="U935" i="6" l="1"/>
  <c r="T935" i="6"/>
  <c r="G934" i="6"/>
  <c r="F934" i="6"/>
  <c r="M935" i="6"/>
  <c r="N935" i="6"/>
  <c r="U936" i="6" l="1"/>
  <c r="T936" i="6"/>
  <c r="G935" i="6"/>
  <c r="F935" i="6"/>
  <c r="M936" i="6"/>
  <c r="N936" i="6"/>
  <c r="U937" i="6" l="1"/>
  <c r="T937" i="6"/>
  <c r="G936" i="6"/>
  <c r="F936" i="6"/>
  <c r="M937" i="6"/>
  <c r="N937" i="6"/>
  <c r="U938" i="6" l="1"/>
  <c r="T938" i="6"/>
  <c r="G937" i="6"/>
  <c r="F937" i="6"/>
  <c r="M938" i="6"/>
  <c r="N938" i="6"/>
  <c r="U939" i="6" l="1"/>
  <c r="T939" i="6"/>
  <c r="G938" i="6"/>
  <c r="F938" i="6"/>
  <c r="M939" i="6"/>
  <c r="N939" i="6"/>
  <c r="U940" i="6" l="1"/>
  <c r="T940" i="6"/>
  <c r="G939" i="6"/>
  <c r="F939" i="6"/>
  <c r="M940" i="6"/>
  <c r="N940" i="6"/>
  <c r="T941" i="6" l="1"/>
  <c r="U941" i="6"/>
  <c r="G940" i="6"/>
  <c r="F940" i="6"/>
  <c r="M941" i="6"/>
  <c r="N941" i="6"/>
  <c r="U942" i="6" l="1"/>
  <c r="T942" i="6"/>
  <c r="F941" i="6"/>
  <c r="G941" i="6"/>
  <c r="M942" i="6"/>
  <c r="N942" i="6"/>
  <c r="U943" i="6" l="1"/>
  <c r="T943" i="6"/>
  <c r="G942" i="6"/>
  <c r="F942" i="6"/>
  <c r="M943" i="6"/>
  <c r="N943" i="6"/>
  <c r="U944" i="6" l="1"/>
  <c r="T944" i="6"/>
  <c r="G943" i="6"/>
  <c r="F943" i="6"/>
  <c r="M944" i="6"/>
  <c r="N944" i="6"/>
  <c r="U945" i="6" l="1"/>
  <c r="T945" i="6"/>
  <c r="G944" i="6"/>
  <c r="F944" i="6"/>
  <c r="M945" i="6"/>
  <c r="N945" i="6"/>
  <c r="U946" i="6" l="1"/>
  <c r="T946" i="6"/>
  <c r="G945" i="6"/>
  <c r="F945" i="6"/>
  <c r="M946" i="6"/>
  <c r="N946" i="6"/>
  <c r="U947" i="6" l="1"/>
  <c r="T947" i="6"/>
  <c r="G946" i="6"/>
  <c r="F946" i="6"/>
  <c r="M947" i="6"/>
  <c r="N947" i="6"/>
  <c r="U948" i="6" l="1"/>
  <c r="T948" i="6"/>
  <c r="F947" i="6"/>
  <c r="G947" i="6"/>
  <c r="M948" i="6"/>
  <c r="N948" i="6"/>
  <c r="U949" i="6" l="1"/>
  <c r="T949" i="6"/>
  <c r="G948" i="6"/>
  <c r="F948" i="6"/>
  <c r="M949" i="6"/>
  <c r="N949" i="6"/>
  <c r="T950" i="6" l="1"/>
  <c r="U950" i="6"/>
  <c r="F949" i="6"/>
  <c r="G949" i="6"/>
  <c r="M950" i="6"/>
  <c r="N950" i="6"/>
  <c r="T951" i="6" l="1"/>
  <c r="U951" i="6"/>
  <c r="G950" i="6"/>
  <c r="F950" i="6"/>
  <c r="M951" i="6"/>
  <c r="N951" i="6"/>
  <c r="U952" i="6" l="1"/>
  <c r="T952" i="6"/>
  <c r="G951" i="6"/>
  <c r="F951" i="6"/>
  <c r="M952" i="6"/>
  <c r="N952" i="6"/>
  <c r="U953" i="6" l="1"/>
  <c r="T953" i="6"/>
  <c r="G952" i="6"/>
  <c r="F952" i="6"/>
  <c r="M953" i="6"/>
  <c r="N953" i="6"/>
  <c r="U954" i="6" l="1"/>
  <c r="T954" i="6"/>
  <c r="G953" i="6"/>
  <c r="F953" i="6"/>
  <c r="M954" i="6"/>
  <c r="N954" i="6"/>
  <c r="T955" i="6" l="1"/>
  <c r="U955" i="6"/>
  <c r="G954" i="6"/>
  <c r="F954" i="6"/>
  <c r="M955" i="6"/>
  <c r="N955" i="6"/>
  <c r="U956" i="6" l="1"/>
  <c r="T956" i="6"/>
  <c r="G955" i="6"/>
  <c r="F955" i="6"/>
  <c r="M956" i="6"/>
  <c r="N956" i="6"/>
  <c r="U957" i="6" l="1"/>
  <c r="T957" i="6"/>
  <c r="F956" i="6"/>
  <c r="G956" i="6"/>
  <c r="M957" i="6"/>
  <c r="N957" i="6"/>
  <c r="U958" i="6" l="1"/>
  <c r="T958" i="6"/>
  <c r="G957" i="6"/>
  <c r="F957" i="6"/>
  <c r="M958" i="6"/>
  <c r="N958" i="6"/>
  <c r="U959" i="6" l="1"/>
  <c r="T959" i="6"/>
  <c r="G958" i="6"/>
  <c r="F958" i="6"/>
  <c r="M959" i="6"/>
  <c r="N959" i="6"/>
  <c r="T960" i="6" l="1"/>
  <c r="U960" i="6"/>
  <c r="G959" i="6"/>
  <c r="F959" i="6"/>
  <c r="M960" i="6"/>
  <c r="N960" i="6"/>
  <c r="T961" i="6" l="1"/>
  <c r="U961" i="6"/>
  <c r="G960" i="6"/>
  <c r="F960" i="6"/>
  <c r="M961" i="6"/>
  <c r="N961" i="6"/>
  <c r="U962" i="6" l="1"/>
  <c r="T962" i="6"/>
  <c r="G961" i="6"/>
  <c r="F961" i="6"/>
  <c r="M962" i="6"/>
  <c r="N962" i="6"/>
  <c r="T963" i="6" l="1"/>
  <c r="U963" i="6"/>
  <c r="F962" i="6"/>
  <c r="G962" i="6"/>
  <c r="M963" i="6"/>
  <c r="N963" i="6"/>
  <c r="T964" i="6" l="1"/>
  <c r="U964" i="6"/>
  <c r="G963" i="6"/>
  <c r="F963" i="6"/>
  <c r="M964" i="6"/>
  <c r="N964" i="6"/>
  <c r="U965" i="6" l="1"/>
  <c r="T965" i="6"/>
  <c r="G964" i="6"/>
  <c r="F964" i="6"/>
  <c r="M965" i="6"/>
  <c r="N965" i="6"/>
  <c r="T966" i="6" l="1"/>
  <c r="U966" i="6"/>
  <c r="F965" i="6"/>
  <c r="G965" i="6"/>
  <c r="M966" i="6"/>
  <c r="N966" i="6"/>
  <c r="U967" i="6" l="1"/>
  <c r="T967" i="6"/>
  <c r="G966" i="6"/>
  <c r="F966" i="6"/>
  <c r="M967" i="6"/>
  <c r="N967" i="6"/>
  <c r="U968" i="6" l="1"/>
  <c r="T968" i="6"/>
  <c r="G967" i="6"/>
  <c r="F967" i="6"/>
  <c r="M968" i="6"/>
  <c r="N968" i="6"/>
  <c r="U969" i="6" l="1"/>
  <c r="T969" i="6"/>
  <c r="G968" i="6"/>
  <c r="F968" i="6"/>
  <c r="M969" i="6"/>
  <c r="N969" i="6"/>
  <c r="U970" i="6" l="1"/>
  <c r="T970" i="6"/>
  <c r="G969" i="6"/>
  <c r="F969" i="6"/>
  <c r="M970" i="6"/>
  <c r="N970" i="6"/>
  <c r="T971" i="6" l="1"/>
  <c r="U971" i="6"/>
  <c r="F970" i="6"/>
  <c r="G970" i="6"/>
  <c r="M971" i="6"/>
  <c r="N971" i="6"/>
  <c r="T972" i="6" l="1"/>
  <c r="U972" i="6"/>
  <c r="G971" i="6"/>
  <c r="F971" i="6"/>
  <c r="M972" i="6"/>
  <c r="N972" i="6"/>
  <c r="U973" i="6" l="1"/>
  <c r="T973" i="6"/>
  <c r="G972" i="6"/>
  <c r="F972" i="6"/>
  <c r="M973" i="6"/>
  <c r="N973" i="6"/>
  <c r="U974" i="6" l="1"/>
  <c r="T974" i="6"/>
  <c r="G973" i="6"/>
  <c r="F973" i="6"/>
  <c r="M974" i="6"/>
  <c r="N974" i="6"/>
  <c r="U975" i="6" l="1"/>
  <c r="T975" i="6"/>
  <c r="G974" i="6"/>
  <c r="F974" i="6"/>
  <c r="M975" i="6"/>
  <c r="N975" i="6"/>
  <c r="T976" i="6" l="1"/>
  <c r="U976" i="6"/>
  <c r="F975" i="6"/>
  <c r="G975" i="6"/>
  <c r="M976" i="6"/>
  <c r="N976" i="6"/>
  <c r="T977" i="6" l="1"/>
  <c r="U977" i="6"/>
  <c r="G976" i="6"/>
  <c r="F976" i="6"/>
  <c r="M977" i="6"/>
  <c r="N977" i="6"/>
  <c r="U978" i="6" l="1"/>
  <c r="T978" i="6"/>
  <c r="G977" i="6"/>
  <c r="F977" i="6"/>
  <c r="M978" i="6"/>
  <c r="N978" i="6"/>
  <c r="T979" i="6" l="1"/>
  <c r="U979" i="6"/>
  <c r="G978" i="6"/>
  <c r="F978" i="6"/>
  <c r="M979" i="6"/>
  <c r="N979" i="6"/>
  <c r="U980" i="6" l="1"/>
  <c r="T980" i="6"/>
  <c r="G979" i="6"/>
  <c r="F979" i="6"/>
  <c r="M980" i="6"/>
  <c r="N980" i="6"/>
  <c r="U981" i="6" l="1"/>
  <c r="T981" i="6"/>
  <c r="G980" i="6"/>
  <c r="F980" i="6"/>
  <c r="M981" i="6"/>
  <c r="N981" i="6"/>
  <c r="T982" i="6" l="1"/>
  <c r="U982" i="6"/>
  <c r="F981" i="6"/>
  <c r="G981" i="6"/>
  <c r="M982" i="6"/>
  <c r="N982" i="6"/>
  <c r="T983" i="6" l="1"/>
  <c r="U983" i="6"/>
  <c r="G982" i="6"/>
  <c r="F982" i="6"/>
  <c r="M983" i="6"/>
  <c r="N983" i="6"/>
  <c r="U984" i="6" l="1"/>
  <c r="T984" i="6"/>
  <c r="G983" i="6"/>
  <c r="F983" i="6"/>
  <c r="M984" i="6"/>
  <c r="N984" i="6"/>
  <c r="U985" i="6" l="1"/>
  <c r="T985" i="6"/>
  <c r="G984" i="6"/>
  <c r="F984" i="6"/>
  <c r="M985" i="6"/>
  <c r="N985" i="6"/>
  <c r="T986" i="6" l="1"/>
  <c r="U986" i="6"/>
  <c r="G985" i="6"/>
  <c r="F985" i="6"/>
  <c r="M986" i="6"/>
  <c r="N986" i="6"/>
  <c r="U987" i="6" l="1"/>
  <c r="T987" i="6"/>
  <c r="G986" i="6"/>
  <c r="F986" i="6"/>
  <c r="M987" i="6"/>
  <c r="N987" i="6"/>
  <c r="U988" i="6" l="1"/>
  <c r="T988" i="6"/>
  <c r="G987" i="6"/>
  <c r="F987" i="6"/>
  <c r="M988" i="6"/>
  <c r="N988" i="6"/>
  <c r="T989" i="6" l="1"/>
  <c r="U989" i="6"/>
  <c r="G988" i="6"/>
  <c r="F988" i="6"/>
  <c r="M989" i="6"/>
  <c r="N989" i="6"/>
  <c r="U990" i="6" l="1"/>
  <c r="T990" i="6"/>
  <c r="G989" i="6"/>
  <c r="F989" i="6"/>
  <c r="M990" i="6"/>
  <c r="N990" i="6"/>
  <c r="U991" i="6" l="1"/>
  <c r="T991" i="6"/>
  <c r="G990" i="6"/>
  <c r="F990" i="6"/>
  <c r="M991" i="6"/>
  <c r="N991" i="6"/>
  <c r="U992" i="6" l="1"/>
  <c r="T992" i="6"/>
  <c r="G991" i="6"/>
  <c r="F991" i="6"/>
  <c r="M992" i="6"/>
  <c r="N992" i="6"/>
  <c r="U993" i="6" l="1"/>
  <c r="T993" i="6"/>
  <c r="F992" i="6"/>
  <c r="G992" i="6"/>
  <c r="M993" i="6"/>
  <c r="N993" i="6"/>
  <c r="U994" i="6" l="1"/>
  <c r="T994" i="6"/>
  <c r="G993" i="6"/>
  <c r="F993" i="6"/>
  <c r="M994" i="6"/>
  <c r="N994" i="6"/>
  <c r="T995" i="6" l="1"/>
  <c r="U995" i="6"/>
  <c r="F994" i="6"/>
  <c r="G994" i="6"/>
  <c r="M995" i="6"/>
  <c r="N995" i="6"/>
  <c r="T996" i="6" l="1"/>
  <c r="U996" i="6"/>
  <c r="G995" i="6"/>
  <c r="F995" i="6"/>
  <c r="M996" i="6"/>
  <c r="N996" i="6"/>
  <c r="U997" i="6" l="1"/>
  <c r="T997" i="6"/>
  <c r="G996" i="6"/>
  <c r="F996" i="6"/>
  <c r="M997" i="6"/>
  <c r="N997" i="6"/>
  <c r="U998" i="6" l="1"/>
  <c r="T998" i="6"/>
  <c r="G997" i="6"/>
  <c r="F997" i="6"/>
  <c r="M998" i="6"/>
  <c r="N998" i="6"/>
  <c r="U999" i="6" l="1"/>
  <c r="T999" i="6"/>
  <c r="G998" i="6"/>
  <c r="F998" i="6"/>
  <c r="M999" i="6"/>
  <c r="N999" i="6"/>
  <c r="U1000" i="6" l="1"/>
  <c r="T1000" i="6"/>
  <c r="G999" i="6"/>
  <c r="F999" i="6"/>
  <c r="M1000" i="6"/>
  <c r="N1000" i="6"/>
  <c r="U1001" i="6" l="1"/>
  <c r="T1001" i="6"/>
  <c r="G1000" i="6"/>
  <c r="F1000" i="6"/>
  <c r="M1001" i="6"/>
  <c r="N1001" i="6"/>
  <c r="U1002" i="6" l="1"/>
  <c r="T1002" i="6"/>
  <c r="F1001" i="6"/>
  <c r="G1001" i="6"/>
  <c r="M1002" i="6"/>
  <c r="N1002" i="6"/>
  <c r="U1003" i="6" l="1"/>
  <c r="T1003" i="6"/>
  <c r="G1002" i="6"/>
  <c r="F1002" i="6"/>
  <c r="M1003" i="6"/>
  <c r="N1003" i="6"/>
  <c r="U1004" i="6" l="1"/>
  <c r="T1004" i="6"/>
  <c r="F1003" i="6"/>
  <c r="G1003" i="6"/>
  <c r="M1004" i="6"/>
  <c r="N1004" i="6"/>
  <c r="U1005" i="6" l="1"/>
  <c r="T1005" i="6"/>
  <c r="G1004" i="6"/>
  <c r="F1004" i="6"/>
  <c r="M1005" i="6"/>
  <c r="N1005" i="6"/>
  <c r="U1006" i="6" l="1"/>
  <c r="T1006" i="6"/>
  <c r="G1005" i="6"/>
  <c r="F1005" i="6"/>
  <c r="M1006" i="6"/>
  <c r="N1006" i="6"/>
  <c r="T1007" i="6" l="1"/>
  <c r="U1007" i="6"/>
  <c r="F1006" i="6"/>
  <c r="G1006" i="6"/>
  <c r="M1007" i="6"/>
  <c r="N1007" i="6"/>
  <c r="T1008" i="6" l="1"/>
  <c r="U1008" i="6"/>
  <c r="G1007" i="6"/>
  <c r="F1007" i="6"/>
  <c r="M1008" i="6"/>
  <c r="N1008" i="6"/>
  <c r="T1009" i="6" l="1"/>
  <c r="U1009" i="6"/>
  <c r="G1008" i="6"/>
  <c r="F1008" i="6"/>
  <c r="M1009" i="6"/>
  <c r="N1009" i="6"/>
  <c r="U1010" i="6" l="1"/>
  <c r="T1010" i="6"/>
  <c r="G1009" i="6"/>
  <c r="F1009" i="6"/>
  <c r="M1010" i="6"/>
  <c r="N1010" i="6"/>
  <c r="U1011" i="6" l="1"/>
  <c r="T1011" i="6"/>
  <c r="G1010" i="6"/>
  <c r="F1010" i="6"/>
  <c r="M1011" i="6"/>
  <c r="N1011" i="6"/>
  <c r="U1012" i="6" l="1"/>
  <c r="T1012" i="6"/>
  <c r="G1011" i="6"/>
  <c r="F1011" i="6"/>
  <c r="M1012" i="6"/>
  <c r="N1012" i="6"/>
  <c r="U1013" i="6" l="1"/>
  <c r="T1013" i="6"/>
  <c r="G1012" i="6"/>
  <c r="F1012" i="6"/>
  <c r="M1013" i="6"/>
  <c r="N1013" i="6"/>
  <c r="U1014" i="6" l="1"/>
  <c r="T1014" i="6"/>
  <c r="G1013" i="6"/>
  <c r="F1013" i="6"/>
  <c r="M1014" i="6"/>
  <c r="N1014" i="6"/>
  <c r="U1015" i="6" l="1"/>
  <c r="T1015" i="6"/>
  <c r="G1014" i="6"/>
  <c r="F1014" i="6"/>
  <c r="M1015" i="6"/>
  <c r="N1015" i="6"/>
  <c r="U1016" i="6" l="1"/>
  <c r="T1016" i="6"/>
  <c r="G1015" i="6"/>
  <c r="F1015" i="6"/>
  <c r="M1016" i="6"/>
  <c r="N1016" i="6"/>
  <c r="U1017" i="6" l="1"/>
  <c r="T1017" i="6"/>
  <c r="G1016" i="6"/>
  <c r="F1016" i="6"/>
  <c r="M1017" i="6"/>
  <c r="N1017" i="6"/>
  <c r="U1018" i="6" l="1"/>
  <c r="T1018" i="6"/>
  <c r="F1017" i="6"/>
  <c r="G1017" i="6"/>
  <c r="M1018" i="6"/>
  <c r="N1018" i="6"/>
  <c r="U1019" i="6" l="1"/>
  <c r="T1019" i="6"/>
  <c r="G1018" i="6"/>
  <c r="F1018" i="6"/>
  <c r="M1019" i="6"/>
  <c r="N1019" i="6"/>
  <c r="U1020" i="6" l="1"/>
  <c r="T1020" i="6"/>
  <c r="G1019" i="6"/>
  <c r="F1019" i="6"/>
  <c r="M1020" i="6"/>
  <c r="N1020" i="6"/>
  <c r="U1021" i="6" l="1"/>
  <c r="T1021" i="6"/>
  <c r="F1020" i="6"/>
  <c r="G1020" i="6"/>
  <c r="M1021" i="6"/>
  <c r="N1021" i="6"/>
  <c r="U1022" i="6" l="1"/>
  <c r="T1022" i="6"/>
  <c r="G1021" i="6"/>
  <c r="F1021" i="6"/>
  <c r="M1022" i="6"/>
  <c r="N1022" i="6"/>
  <c r="U1023" i="6" l="1"/>
  <c r="T1023" i="6"/>
  <c r="G1022" i="6"/>
  <c r="F1022" i="6"/>
  <c r="M1023" i="6"/>
  <c r="N1023" i="6"/>
  <c r="U1024" i="6" l="1"/>
  <c r="T1024" i="6"/>
  <c r="G1023" i="6"/>
  <c r="F1023" i="6"/>
  <c r="M1024" i="6"/>
  <c r="N1024" i="6"/>
  <c r="U1025" i="6" l="1"/>
  <c r="T1025" i="6"/>
  <c r="G1024" i="6"/>
  <c r="F1024" i="6"/>
  <c r="M1025" i="6"/>
  <c r="N1025" i="6"/>
  <c r="U1026" i="6" l="1"/>
  <c r="T1026" i="6"/>
  <c r="G1025" i="6"/>
  <c r="F1025" i="6"/>
  <c r="M1026" i="6"/>
  <c r="N1026" i="6"/>
  <c r="U1027" i="6" l="1"/>
  <c r="T1027" i="6"/>
  <c r="G1026" i="6"/>
  <c r="F1026" i="6"/>
  <c r="M1027" i="6"/>
  <c r="N1027" i="6"/>
  <c r="U1028" i="6" l="1"/>
  <c r="T1028" i="6"/>
  <c r="G1027" i="6"/>
  <c r="F1027" i="6"/>
  <c r="M1028" i="6"/>
  <c r="N1028" i="6"/>
  <c r="U1029" i="6" l="1"/>
  <c r="T1029" i="6"/>
  <c r="G1028" i="6"/>
  <c r="F1028" i="6"/>
  <c r="M1029" i="6"/>
  <c r="N1029" i="6"/>
  <c r="U1030" i="6" l="1"/>
  <c r="T1030" i="6"/>
  <c r="G1029" i="6"/>
  <c r="F1029" i="6"/>
  <c r="M1030" i="6"/>
  <c r="N1030" i="6"/>
  <c r="U1031" i="6" l="1"/>
  <c r="T1031" i="6"/>
  <c r="F1030" i="6"/>
  <c r="G1030" i="6"/>
  <c r="M1031" i="6"/>
  <c r="N1031" i="6"/>
  <c r="U1032" i="6" l="1"/>
  <c r="T1032" i="6"/>
  <c r="G1031" i="6"/>
  <c r="F1031" i="6"/>
  <c r="M1032" i="6"/>
  <c r="N1032" i="6"/>
  <c r="U1033" i="6" l="1"/>
  <c r="T1033" i="6"/>
  <c r="G1032" i="6"/>
  <c r="F1032" i="6"/>
  <c r="M1033" i="6"/>
  <c r="N1033" i="6"/>
  <c r="U1034" i="6" l="1"/>
  <c r="T1034" i="6"/>
  <c r="G1033" i="6"/>
  <c r="F1033" i="6"/>
  <c r="M1034" i="6"/>
  <c r="N1034" i="6"/>
  <c r="U1035" i="6" l="1"/>
  <c r="T1035" i="6"/>
  <c r="G1034" i="6"/>
  <c r="F1034" i="6"/>
  <c r="M1035" i="6"/>
  <c r="N1035" i="6"/>
  <c r="T1036" i="6" l="1"/>
  <c r="U1036" i="6"/>
  <c r="G1035" i="6"/>
  <c r="F1035" i="6"/>
  <c r="M1036" i="6"/>
  <c r="N1036" i="6"/>
  <c r="U1037" i="6" l="1"/>
  <c r="T1037" i="6"/>
  <c r="G1036" i="6"/>
  <c r="F1036" i="6"/>
  <c r="M1037" i="6"/>
  <c r="N1037" i="6"/>
  <c r="U1038" i="6" l="1"/>
  <c r="T1038" i="6"/>
  <c r="G1037" i="6"/>
  <c r="F1037" i="6"/>
  <c r="M1038" i="6"/>
  <c r="N1038" i="6"/>
  <c r="U1039" i="6" l="1"/>
  <c r="T1039" i="6"/>
  <c r="G1038" i="6"/>
  <c r="F1038" i="6"/>
  <c r="M1039" i="6"/>
  <c r="N1039" i="6"/>
  <c r="U1040" i="6" l="1"/>
  <c r="T1040" i="6"/>
  <c r="G1039" i="6"/>
  <c r="F1039" i="6"/>
  <c r="M1040" i="6"/>
  <c r="N1040" i="6"/>
  <c r="U1041" i="6" l="1"/>
  <c r="T1041" i="6"/>
  <c r="G1040" i="6"/>
  <c r="F1040" i="6"/>
  <c r="M1041" i="6"/>
  <c r="N1041" i="6"/>
  <c r="U1042" i="6" l="1"/>
  <c r="T1042" i="6"/>
  <c r="G1041" i="6"/>
  <c r="F1041" i="6"/>
  <c r="M1042" i="6"/>
  <c r="N1042" i="6"/>
  <c r="U1043" i="6" l="1"/>
  <c r="T1043" i="6"/>
  <c r="G1042" i="6"/>
  <c r="F1042" i="6"/>
  <c r="M1043" i="6"/>
  <c r="N1043" i="6"/>
  <c r="U1044" i="6" l="1"/>
  <c r="T1044" i="6"/>
  <c r="G1043" i="6"/>
  <c r="F1043" i="6"/>
  <c r="M1044" i="6"/>
  <c r="N1044" i="6"/>
  <c r="T1045" i="6" l="1"/>
  <c r="U1045" i="6"/>
  <c r="G1044" i="6"/>
  <c r="F1044" i="6"/>
  <c r="M1045" i="6"/>
  <c r="N1045" i="6"/>
  <c r="U1046" i="6" l="1"/>
  <c r="T1046" i="6"/>
  <c r="F1045" i="6"/>
  <c r="G1045" i="6"/>
  <c r="M1046" i="6"/>
  <c r="N1046" i="6"/>
  <c r="U1047" i="6" l="1"/>
  <c r="T1047" i="6"/>
  <c r="G1046" i="6"/>
  <c r="F1046" i="6"/>
  <c r="M1047" i="6"/>
  <c r="N1047" i="6"/>
  <c r="U1048" i="6" l="1"/>
  <c r="T1048" i="6"/>
  <c r="G1047" i="6"/>
  <c r="F1047" i="6"/>
  <c r="M1048" i="6"/>
  <c r="N1048" i="6"/>
  <c r="U1049" i="6" l="1"/>
  <c r="T1049" i="6"/>
  <c r="G1048" i="6"/>
  <c r="F1048" i="6"/>
  <c r="M1049" i="6"/>
  <c r="N1049" i="6"/>
  <c r="T1050" i="6" l="1"/>
  <c r="U1050" i="6"/>
  <c r="G1049" i="6"/>
  <c r="F1049" i="6"/>
  <c r="M1050" i="6"/>
  <c r="N1050" i="6"/>
  <c r="U1051" i="6" l="1"/>
  <c r="T1051" i="6"/>
  <c r="G1050" i="6"/>
  <c r="F1050" i="6"/>
  <c r="M1051" i="6"/>
  <c r="N1051" i="6"/>
  <c r="U1052" i="6" l="1"/>
  <c r="T1052" i="6"/>
  <c r="G1051" i="6"/>
  <c r="F1051" i="6"/>
  <c r="M1052" i="6"/>
  <c r="N1052" i="6"/>
  <c r="U1053" i="6" l="1"/>
  <c r="T1053" i="6"/>
  <c r="G1052" i="6"/>
  <c r="F1052" i="6"/>
  <c r="M1053" i="6"/>
  <c r="N1053" i="6"/>
  <c r="U1054" i="6" l="1"/>
  <c r="T1054" i="6"/>
  <c r="G1053" i="6"/>
  <c r="F1053" i="6"/>
  <c r="M1054" i="6"/>
  <c r="N1054" i="6"/>
  <c r="U1055" i="6" l="1"/>
  <c r="T1055" i="6"/>
  <c r="F1054" i="6"/>
  <c r="G1054" i="6"/>
  <c r="M1055" i="6"/>
  <c r="N1055" i="6"/>
  <c r="T1056" i="6" l="1"/>
  <c r="U1056" i="6"/>
  <c r="G1055" i="6"/>
  <c r="F1055" i="6"/>
  <c r="M1056" i="6"/>
  <c r="N1056" i="6"/>
  <c r="T1057" i="6" l="1"/>
  <c r="U1057" i="6"/>
  <c r="G1056" i="6"/>
  <c r="F1056" i="6"/>
  <c r="M1057" i="6"/>
  <c r="N1057" i="6"/>
  <c r="U1058" i="6" l="1"/>
  <c r="T1058" i="6"/>
  <c r="G1057" i="6"/>
  <c r="F1057" i="6"/>
  <c r="M1058" i="6"/>
  <c r="N1058" i="6"/>
  <c r="T1059" i="6" l="1"/>
  <c r="U1059" i="6"/>
  <c r="G1058" i="6"/>
  <c r="F1058" i="6"/>
  <c r="M1059" i="6"/>
  <c r="N1059" i="6"/>
  <c r="U1060" i="6" l="1"/>
  <c r="T1060" i="6"/>
  <c r="G1059" i="6"/>
  <c r="F1059" i="6"/>
  <c r="M1060" i="6"/>
  <c r="N1060" i="6"/>
  <c r="U1061" i="6" l="1"/>
  <c r="T1061" i="6"/>
  <c r="F1060" i="6"/>
  <c r="G1060" i="6"/>
  <c r="M1061" i="6"/>
  <c r="N1061" i="6"/>
  <c r="T1062" i="6" l="1"/>
  <c r="U1062" i="6"/>
  <c r="G1061" i="6"/>
  <c r="F1061" i="6"/>
  <c r="M1062" i="6"/>
  <c r="N1062" i="6"/>
  <c r="U1063" i="6" l="1"/>
  <c r="T1063" i="6"/>
  <c r="G1062" i="6"/>
  <c r="F1062" i="6"/>
  <c r="M1063" i="6"/>
  <c r="N1063" i="6"/>
  <c r="U1064" i="6" l="1"/>
  <c r="T1064" i="6"/>
  <c r="G1063" i="6"/>
  <c r="F1063" i="6"/>
  <c r="M1064" i="6"/>
  <c r="N1064" i="6"/>
  <c r="U1065" i="6" l="1"/>
  <c r="T1065" i="6"/>
  <c r="F1064" i="6"/>
  <c r="G1064" i="6"/>
  <c r="M1065" i="6"/>
  <c r="N1065" i="6"/>
  <c r="U1066" i="6" l="1"/>
  <c r="T1066" i="6"/>
  <c r="F1065" i="6"/>
  <c r="G1065" i="6"/>
  <c r="M1066" i="6"/>
  <c r="N1066" i="6"/>
  <c r="U1067" i="6" l="1"/>
  <c r="T1067" i="6"/>
  <c r="G1066" i="6"/>
  <c r="F1066" i="6"/>
  <c r="M1067" i="6"/>
  <c r="N1067" i="6"/>
  <c r="U1068" i="6" l="1"/>
  <c r="T1068" i="6"/>
  <c r="G1067" i="6"/>
  <c r="F1067" i="6"/>
  <c r="M1068" i="6"/>
  <c r="N1068" i="6"/>
  <c r="U1069" i="6" l="1"/>
  <c r="T1069" i="6"/>
  <c r="G1068" i="6"/>
  <c r="F1068" i="6"/>
  <c r="M1069" i="6"/>
  <c r="N1069" i="6"/>
  <c r="U1070" i="6" l="1"/>
  <c r="T1070" i="6"/>
  <c r="G1069" i="6"/>
  <c r="F1069" i="6"/>
  <c r="M1070" i="6"/>
  <c r="N1070" i="6"/>
  <c r="U1071" i="6" l="1"/>
  <c r="T1071" i="6"/>
  <c r="G1070" i="6"/>
  <c r="F1070" i="6"/>
  <c r="M1071" i="6"/>
  <c r="N1071" i="6"/>
  <c r="U1072" i="6" l="1"/>
  <c r="T1072" i="6"/>
  <c r="F1071" i="6"/>
  <c r="G1071" i="6"/>
  <c r="M1072" i="6"/>
  <c r="N1072" i="6"/>
  <c r="U1073" i="6" l="1"/>
  <c r="T1073" i="6"/>
  <c r="G1072" i="6"/>
  <c r="F1072" i="6"/>
  <c r="M1073" i="6"/>
  <c r="N1073" i="6"/>
  <c r="T1074" i="6" l="1"/>
  <c r="U1074" i="6"/>
  <c r="G1073" i="6"/>
  <c r="F1073" i="6"/>
  <c r="M1074" i="6"/>
  <c r="N1074" i="6"/>
  <c r="U1075" i="6" l="1"/>
  <c r="T1075" i="6"/>
  <c r="G1074" i="6"/>
  <c r="F1074" i="6"/>
  <c r="M1075" i="6"/>
  <c r="N1075" i="6"/>
  <c r="U1076" i="6" l="1"/>
  <c r="T1076" i="6"/>
  <c r="G1075" i="6"/>
  <c r="F1075" i="6"/>
  <c r="M1076" i="6"/>
  <c r="N1076" i="6"/>
  <c r="U1077" i="6" l="1"/>
  <c r="T1077" i="6"/>
  <c r="G1076" i="6"/>
  <c r="F1076" i="6"/>
  <c r="M1077" i="6"/>
  <c r="N1077" i="6"/>
  <c r="U1078" i="6" l="1"/>
  <c r="T1078" i="6"/>
  <c r="G1077" i="6"/>
  <c r="F1077" i="6"/>
  <c r="M1078" i="6"/>
  <c r="N1078" i="6"/>
  <c r="U1079" i="6" l="1"/>
  <c r="T1079" i="6"/>
  <c r="F1078" i="6"/>
  <c r="G1078" i="6"/>
  <c r="M1079" i="6"/>
  <c r="N1079" i="6"/>
  <c r="U1080" i="6" l="1"/>
  <c r="T1080" i="6"/>
  <c r="G1079" i="6"/>
  <c r="F1079" i="6"/>
  <c r="M1080" i="6"/>
  <c r="N1080" i="6"/>
  <c r="U1081" i="6" l="1"/>
  <c r="T1081" i="6"/>
  <c r="G1080" i="6"/>
  <c r="F1080" i="6"/>
  <c r="M1081" i="6"/>
  <c r="N1081" i="6"/>
  <c r="U1082" i="6" l="1"/>
  <c r="T1082" i="6"/>
  <c r="G1081" i="6"/>
  <c r="F1081" i="6"/>
  <c r="M1082" i="6"/>
  <c r="N1082" i="6"/>
  <c r="U1083" i="6" l="1"/>
  <c r="T1083" i="6"/>
  <c r="G1082" i="6"/>
  <c r="F1082" i="6"/>
  <c r="M1083" i="6"/>
  <c r="N1083" i="6"/>
  <c r="T1084" i="6" l="1"/>
  <c r="U1084" i="6"/>
  <c r="G1083" i="6"/>
  <c r="F1083" i="6"/>
  <c r="M1084" i="6"/>
  <c r="N1084" i="6"/>
  <c r="U1085" i="6" l="1"/>
  <c r="T1085" i="6"/>
  <c r="G1084" i="6"/>
  <c r="F1084" i="6"/>
  <c r="M1085" i="6"/>
  <c r="N1085" i="6"/>
  <c r="U1086" i="6" l="1"/>
  <c r="T1086" i="6"/>
  <c r="G1085" i="6"/>
  <c r="F1085" i="6"/>
  <c r="M1086" i="6"/>
  <c r="N1086" i="6"/>
  <c r="U1087" i="6" l="1"/>
  <c r="T1087" i="6"/>
  <c r="G1086" i="6"/>
  <c r="F1086" i="6"/>
  <c r="M1087" i="6"/>
  <c r="N1087" i="6"/>
  <c r="U1088" i="6" l="1"/>
  <c r="T1088" i="6"/>
  <c r="G1087" i="6"/>
  <c r="F1087" i="6"/>
  <c r="M1088" i="6"/>
  <c r="N1088" i="6"/>
  <c r="U1089" i="6" l="1"/>
  <c r="T1089" i="6"/>
  <c r="G1088" i="6"/>
  <c r="F1088" i="6"/>
  <c r="M1089" i="6"/>
  <c r="N1089" i="6"/>
  <c r="T1090" i="6" l="1"/>
  <c r="U1090" i="6"/>
  <c r="G1089" i="6"/>
  <c r="F1089" i="6"/>
  <c r="M1090" i="6"/>
  <c r="N1090" i="6"/>
  <c r="U1091" i="6" l="1"/>
  <c r="T1091" i="6"/>
  <c r="F1090" i="6"/>
  <c r="G1090" i="6"/>
  <c r="M1091" i="6"/>
  <c r="N1091" i="6"/>
  <c r="U1092" i="6" l="1"/>
  <c r="T1092" i="6"/>
  <c r="G1091" i="6"/>
  <c r="F1091" i="6"/>
  <c r="M1092" i="6"/>
  <c r="N1092" i="6"/>
  <c r="U1093" i="6" l="1"/>
  <c r="T1093" i="6"/>
  <c r="G1092" i="6"/>
  <c r="F1092" i="6"/>
  <c r="M1093" i="6"/>
  <c r="N1093" i="6"/>
  <c r="U1094" i="6" l="1"/>
  <c r="T1094" i="6"/>
  <c r="F1093" i="6"/>
  <c r="G1093" i="6"/>
  <c r="M1094" i="6"/>
  <c r="N1094" i="6"/>
  <c r="U1095" i="6" l="1"/>
  <c r="T1095" i="6"/>
  <c r="G1094" i="6"/>
  <c r="F1094" i="6"/>
  <c r="M1095" i="6"/>
  <c r="N1095" i="6"/>
  <c r="T1096" i="6" l="1"/>
  <c r="U1096" i="6"/>
  <c r="G1095" i="6"/>
  <c r="F1095" i="6"/>
  <c r="M1096" i="6"/>
  <c r="N1096" i="6"/>
  <c r="U1097" i="6" l="1"/>
  <c r="T1097" i="6"/>
  <c r="F1096" i="6"/>
  <c r="G1096" i="6"/>
  <c r="M1097" i="6"/>
  <c r="N1097" i="6"/>
  <c r="U1098" i="6" l="1"/>
  <c r="T1098" i="6"/>
  <c r="G1097" i="6"/>
  <c r="F1097" i="6"/>
  <c r="M1098" i="6"/>
  <c r="N1098" i="6"/>
  <c r="T1099" i="6" l="1"/>
  <c r="U1099" i="6"/>
  <c r="G1098" i="6"/>
  <c r="F1098" i="6"/>
  <c r="M1099" i="6"/>
  <c r="N1099" i="6"/>
  <c r="U1100" i="6" l="1"/>
  <c r="T1100" i="6"/>
  <c r="G1099" i="6"/>
  <c r="F1099" i="6"/>
  <c r="M1100" i="6"/>
  <c r="N1100" i="6"/>
  <c r="U1101" i="6" l="1"/>
  <c r="T1101" i="6"/>
  <c r="G1100" i="6"/>
  <c r="F1100" i="6"/>
  <c r="M1101" i="6"/>
  <c r="N1101" i="6"/>
  <c r="U1102" i="6" l="1"/>
  <c r="T1102" i="6"/>
  <c r="G1101" i="6"/>
  <c r="F1101" i="6"/>
  <c r="M1102" i="6"/>
  <c r="N1102" i="6"/>
  <c r="U1103" i="6" l="1"/>
  <c r="T1103" i="6"/>
  <c r="F1102" i="6"/>
  <c r="G1102" i="6"/>
  <c r="M1103" i="6"/>
  <c r="N1103" i="6"/>
  <c r="T1104" i="6" l="1"/>
  <c r="U1104" i="6"/>
  <c r="G1103" i="6"/>
  <c r="F1103" i="6"/>
  <c r="M1104" i="6"/>
  <c r="N1104" i="6"/>
  <c r="U1105" i="6" l="1"/>
  <c r="T1105" i="6"/>
  <c r="F1104" i="6"/>
  <c r="G1104" i="6"/>
  <c r="M1105" i="6"/>
  <c r="N1105" i="6"/>
  <c r="T1106" i="6" l="1"/>
  <c r="U1106" i="6"/>
  <c r="G1105" i="6"/>
  <c r="F1105" i="6"/>
  <c r="M1106" i="6"/>
  <c r="N1106" i="6"/>
  <c r="U1107" i="6" l="1"/>
  <c r="T1107" i="6"/>
  <c r="G1106" i="6"/>
  <c r="F1106" i="6"/>
  <c r="M1107" i="6"/>
  <c r="N1107" i="6"/>
  <c r="U1108" i="6" l="1"/>
  <c r="T1108" i="6"/>
  <c r="G1107" i="6"/>
  <c r="F1107" i="6"/>
  <c r="M1108" i="6"/>
  <c r="N1108" i="6"/>
  <c r="U1109" i="6" l="1"/>
  <c r="T1109" i="6"/>
  <c r="G1108" i="6"/>
  <c r="F1108" i="6"/>
  <c r="M1109" i="6"/>
  <c r="N1109" i="6"/>
  <c r="U1110" i="6" l="1"/>
  <c r="T1110" i="6"/>
  <c r="G1109" i="6"/>
  <c r="F1109" i="6"/>
  <c r="M1110" i="6"/>
  <c r="N1110" i="6"/>
  <c r="U1111" i="6" l="1"/>
  <c r="T1111" i="6"/>
  <c r="G1110" i="6"/>
  <c r="F1110" i="6"/>
  <c r="M1111" i="6"/>
  <c r="N1111" i="6"/>
  <c r="U1112" i="6" l="1"/>
  <c r="T1112" i="6"/>
  <c r="F1111" i="6"/>
  <c r="G1111" i="6"/>
  <c r="M1112" i="6"/>
  <c r="N1112" i="6"/>
  <c r="U1113" i="6" l="1"/>
  <c r="T1113" i="6"/>
  <c r="G1112" i="6"/>
  <c r="F1112" i="6"/>
  <c r="M1113" i="6"/>
  <c r="N1113" i="6"/>
  <c r="U1114" i="6" l="1"/>
  <c r="T1114" i="6"/>
  <c r="G1113" i="6"/>
  <c r="F1113" i="6"/>
  <c r="M1114" i="6"/>
  <c r="N1114" i="6"/>
  <c r="T1115" i="6" l="1"/>
  <c r="U1115" i="6"/>
  <c r="G1114" i="6"/>
  <c r="F1114" i="6"/>
  <c r="M1115" i="6"/>
  <c r="N1115" i="6"/>
  <c r="U1116" i="6" l="1"/>
  <c r="T1116" i="6"/>
  <c r="G1115" i="6"/>
  <c r="F1115" i="6"/>
  <c r="M1116" i="6"/>
  <c r="N1116" i="6"/>
  <c r="U1117" i="6" l="1"/>
  <c r="T1117" i="6"/>
  <c r="G1116" i="6"/>
  <c r="F1116" i="6"/>
  <c r="M1117" i="6"/>
  <c r="N1117" i="6"/>
  <c r="T1118" i="6" l="1"/>
  <c r="U1118" i="6"/>
  <c r="G1117" i="6"/>
  <c r="F1117" i="6"/>
  <c r="M1118" i="6"/>
  <c r="N1118" i="6"/>
  <c r="U1119" i="6" l="1"/>
  <c r="T1119" i="6"/>
  <c r="F1118" i="6"/>
  <c r="G1118" i="6"/>
  <c r="M1119" i="6"/>
  <c r="N1119" i="6"/>
  <c r="T1120" i="6" l="1"/>
  <c r="U1120" i="6"/>
  <c r="F1119" i="6"/>
  <c r="G1119" i="6"/>
  <c r="M1120" i="6"/>
  <c r="N1120" i="6"/>
  <c r="T1121" i="6" l="1"/>
  <c r="U1121" i="6"/>
  <c r="G1120" i="6"/>
  <c r="F1120" i="6"/>
  <c r="M1121" i="6"/>
  <c r="N1121" i="6"/>
  <c r="U1122" i="6" l="1"/>
  <c r="T1122" i="6"/>
  <c r="G1121" i="6"/>
  <c r="F1121" i="6"/>
  <c r="M1122" i="6"/>
  <c r="N1122" i="6"/>
  <c r="T1123" i="6" l="1"/>
  <c r="U1123" i="6"/>
  <c r="G1122" i="6"/>
  <c r="F1122" i="6"/>
  <c r="M1123" i="6"/>
  <c r="N1123" i="6"/>
  <c r="T1124" i="6" l="1"/>
  <c r="U1124" i="6"/>
  <c r="G1123" i="6"/>
  <c r="F1123" i="6"/>
  <c r="M1124" i="6"/>
  <c r="N1124" i="6"/>
  <c r="T1125" i="6" l="1"/>
  <c r="U1125" i="6"/>
  <c r="G1124" i="6"/>
  <c r="F1124" i="6"/>
  <c r="M1125" i="6"/>
  <c r="N1125" i="6"/>
  <c r="U1126" i="6" l="1"/>
  <c r="T1126" i="6"/>
  <c r="G1125" i="6"/>
  <c r="F1125" i="6"/>
  <c r="M1126" i="6"/>
  <c r="N1126" i="6"/>
  <c r="U1127" i="6" l="1"/>
  <c r="T1127" i="6"/>
  <c r="F1126" i="6"/>
  <c r="G1126" i="6"/>
  <c r="M1127" i="6"/>
  <c r="N1127" i="6"/>
  <c r="U1128" i="6" l="1"/>
  <c r="T1128" i="6"/>
  <c r="G1127" i="6"/>
  <c r="F1127" i="6"/>
  <c r="M1128" i="6"/>
  <c r="N1128" i="6"/>
  <c r="T1129" i="6" l="1"/>
  <c r="U1129" i="6"/>
  <c r="G1128" i="6"/>
  <c r="F1128" i="6"/>
  <c r="M1129" i="6"/>
  <c r="N1129" i="6"/>
  <c r="T1130" i="6" l="1"/>
  <c r="U1130" i="6"/>
  <c r="G1129" i="6"/>
  <c r="F1129" i="6"/>
  <c r="M1130" i="6"/>
  <c r="N1130" i="6"/>
  <c r="T1131" i="6" l="1"/>
  <c r="U1131" i="6"/>
  <c r="G1130" i="6"/>
  <c r="F1130" i="6"/>
  <c r="M1131" i="6"/>
  <c r="N1131" i="6"/>
  <c r="U1132" i="6" l="1"/>
  <c r="T1132" i="6"/>
  <c r="G1131" i="6"/>
  <c r="F1131" i="6"/>
  <c r="M1132" i="6"/>
  <c r="N1132" i="6"/>
  <c r="U1133" i="6" l="1"/>
  <c r="T1133" i="6"/>
  <c r="G1132" i="6"/>
  <c r="F1132" i="6"/>
  <c r="M1133" i="6"/>
  <c r="N1133" i="6"/>
  <c r="T1134" i="6" l="1"/>
  <c r="U1134" i="6"/>
  <c r="F1133" i="6"/>
  <c r="G1133" i="6"/>
  <c r="M1134" i="6"/>
  <c r="N1134" i="6"/>
  <c r="T1135" i="6" l="1"/>
  <c r="U1135" i="6"/>
  <c r="G1134" i="6"/>
  <c r="F1134" i="6"/>
  <c r="M1135" i="6"/>
  <c r="N1135" i="6"/>
  <c r="U1136" i="6" l="1"/>
  <c r="T1136" i="6"/>
  <c r="G1135" i="6"/>
  <c r="F1135" i="6"/>
  <c r="M1136" i="6"/>
  <c r="N1136" i="6"/>
  <c r="U1137" i="6" l="1"/>
  <c r="T1137" i="6"/>
  <c r="G1136" i="6"/>
  <c r="F1136" i="6"/>
  <c r="M1137" i="6"/>
  <c r="N1137" i="6"/>
  <c r="U1138" i="6" l="1"/>
  <c r="T1138" i="6"/>
  <c r="G1137" i="6"/>
  <c r="F1137" i="6"/>
  <c r="M1138" i="6"/>
  <c r="N1138" i="6"/>
  <c r="U1139" i="6" l="1"/>
  <c r="T1139" i="6"/>
  <c r="G1138" i="6"/>
  <c r="F1138" i="6"/>
  <c r="M1139" i="6"/>
  <c r="N1139" i="6"/>
  <c r="U1140" i="6" l="1"/>
  <c r="T1140" i="6"/>
  <c r="G1139" i="6"/>
  <c r="F1139" i="6"/>
  <c r="M1140" i="6"/>
  <c r="N1140" i="6"/>
  <c r="U1141" i="6" l="1"/>
  <c r="T1141" i="6"/>
  <c r="G1140" i="6"/>
  <c r="F1140" i="6"/>
  <c r="M1141" i="6"/>
  <c r="N1141" i="6"/>
  <c r="T1142" i="6" l="1"/>
  <c r="U1142" i="6"/>
  <c r="G1141" i="6"/>
  <c r="F1141" i="6"/>
  <c r="M1142" i="6"/>
  <c r="N1142" i="6"/>
  <c r="U1143" i="6" l="1"/>
  <c r="T1143" i="6"/>
  <c r="F1142" i="6"/>
  <c r="G1142" i="6"/>
  <c r="M1143" i="6"/>
  <c r="N1143" i="6"/>
  <c r="U1144" i="6" l="1"/>
  <c r="T1144" i="6"/>
  <c r="G1143" i="6"/>
  <c r="F1143" i="6"/>
  <c r="M1144" i="6"/>
  <c r="N1144" i="6"/>
  <c r="U1145" i="6" l="1"/>
  <c r="T1145" i="6"/>
  <c r="G1144" i="6"/>
  <c r="F1144" i="6"/>
  <c r="M1145" i="6"/>
  <c r="N1145" i="6"/>
  <c r="U1146" i="6" l="1"/>
  <c r="T1146" i="6"/>
  <c r="G1145" i="6"/>
  <c r="F1145" i="6"/>
  <c r="M1146" i="6"/>
  <c r="N1146" i="6"/>
  <c r="U1147" i="6" l="1"/>
  <c r="T1147" i="6"/>
  <c r="G1146" i="6"/>
  <c r="F1146" i="6"/>
  <c r="M1147" i="6"/>
  <c r="N1147" i="6"/>
  <c r="T1148" i="6" l="1"/>
  <c r="U1148" i="6"/>
  <c r="G1147" i="6"/>
  <c r="F1147" i="6"/>
  <c r="M1148" i="6"/>
  <c r="N1148" i="6"/>
  <c r="U1149" i="6" l="1"/>
  <c r="T1149" i="6"/>
  <c r="F1148" i="6"/>
  <c r="G1148" i="6"/>
  <c r="M1149" i="6"/>
  <c r="N1149" i="6"/>
  <c r="U1150" i="6" l="1"/>
  <c r="T1150" i="6"/>
  <c r="G1149" i="6"/>
  <c r="F1149" i="6"/>
  <c r="M1150" i="6"/>
  <c r="N1150" i="6"/>
  <c r="U1151" i="6" l="1"/>
  <c r="T1151" i="6"/>
  <c r="F1150" i="6"/>
  <c r="G1150" i="6"/>
  <c r="M1151" i="6"/>
  <c r="N1151" i="6"/>
  <c r="U1152" i="6" l="1"/>
  <c r="T1152" i="6"/>
  <c r="G1151" i="6"/>
  <c r="F1151" i="6"/>
  <c r="M1152" i="6"/>
  <c r="N1152" i="6"/>
  <c r="T1153" i="6" l="1"/>
  <c r="U1153" i="6"/>
  <c r="G1152" i="6"/>
  <c r="F1152" i="6"/>
  <c r="M1153" i="6"/>
  <c r="N1153" i="6"/>
  <c r="U1154" i="6" l="1"/>
  <c r="T1154" i="6"/>
  <c r="G1153" i="6"/>
  <c r="F1153" i="6"/>
  <c r="M1154" i="6"/>
  <c r="N1154" i="6"/>
  <c r="U1155" i="6" l="1"/>
  <c r="T1155" i="6"/>
  <c r="G1154" i="6"/>
  <c r="F1154" i="6"/>
  <c r="M1155" i="6"/>
  <c r="N1155" i="6"/>
  <c r="T1156" i="6" l="1"/>
  <c r="U1156" i="6"/>
  <c r="G1155" i="6"/>
  <c r="F1155" i="6"/>
  <c r="M1156" i="6"/>
  <c r="N1156" i="6"/>
  <c r="U1157" i="6" l="1"/>
  <c r="T1157" i="6"/>
  <c r="G1156" i="6"/>
  <c r="F1156" i="6"/>
  <c r="M1157" i="6"/>
  <c r="N1157" i="6"/>
  <c r="T1158" i="6" l="1"/>
  <c r="U1158" i="6"/>
  <c r="G1157" i="6"/>
  <c r="F1157" i="6"/>
  <c r="M1158" i="6"/>
  <c r="N1158" i="6"/>
  <c r="U1159" i="6" l="1"/>
  <c r="T1159" i="6"/>
  <c r="G1158" i="6"/>
  <c r="F1158" i="6"/>
  <c r="M1159" i="6"/>
  <c r="N1159" i="6"/>
  <c r="U1160" i="6" l="1"/>
  <c r="T1160" i="6"/>
  <c r="G1159" i="6"/>
  <c r="F1159" i="6"/>
  <c r="M1160" i="6"/>
  <c r="N1160" i="6"/>
  <c r="U1161" i="6" l="1"/>
  <c r="T1161" i="6"/>
  <c r="F1160" i="6"/>
  <c r="G1160" i="6"/>
  <c r="M1161" i="6"/>
  <c r="N1161" i="6"/>
  <c r="U1162" i="6" l="1"/>
  <c r="T1162" i="6"/>
  <c r="G1161" i="6"/>
  <c r="F1161" i="6"/>
  <c r="M1162" i="6"/>
  <c r="N1162" i="6"/>
  <c r="U1163" i="6" l="1"/>
  <c r="T1163" i="6"/>
  <c r="G1162" i="6"/>
  <c r="F1162" i="6"/>
  <c r="M1163" i="6"/>
  <c r="N1163" i="6"/>
  <c r="U1164" i="6" l="1"/>
  <c r="T1164" i="6"/>
  <c r="G1163" i="6"/>
  <c r="F1163" i="6"/>
  <c r="M1164" i="6"/>
  <c r="N1164" i="6"/>
  <c r="U1165" i="6" l="1"/>
  <c r="T1165" i="6"/>
  <c r="G1164" i="6"/>
  <c r="F1164" i="6"/>
  <c r="M1165" i="6"/>
  <c r="N1165" i="6"/>
  <c r="T1166" i="6" l="1"/>
  <c r="U1166" i="6"/>
  <c r="G1165" i="6"/>
  <c r="F1165" i="6"/>
  <c r="M1166" i="6"/>
  <c r="N1166" i="6"/>
  <c r="U1167" i="6" l="1"/>
  <c r="T1167" i="6"/>
  <c r="G1166" i="6"/>
  <c r="F1166" i="6"/>
  <c r="M1167" i="6"/>
  <c r="N1167" i="6"/>
  <c r="U1168" i="6" l="1"/>
  <c r="T1168" i="6"/>
  <c r="G1167" i="6"/>
  <c r="F1167" i="6"/>
  <c r="M1168" i="6"/>
  <c r="N1168" i="6"/>
  <c r="T1169" i="6" l="1"/>
  <c r="U1169" i="6"/>
  <c r="G1168" i="6"/>
  <c r="F1168" i="6"/>
  <c r="M1169" i="6"/>
  <c r="N1169" i="6"/>
  <c r="T1170" i="6" l="1"/>
  <c r="U1170" i="6"/>
  <c r="G1169" i="6"/>
  <c r="F1169" i="6"/>
  <c r="M1170" i="6"/>
  <c r="N1170" i="6"/>
  <c r="T1171" i="6" l="1"/>
  <c r="U1171" i="6"/>
  <c r="G1170" i="6"/>
  <c r="F1170" i="6"/>
  <c r="M1171" i="6"/>
  <c r="N1171" i="6"/>
  <c r="U1172" i="6" l="1"/>
  <c r="T1172" i="6"/>
  <c r="G1171" i="6"/>
  <c r="F1171" i="6"/>
  <c r="M1172" i="6"/>
  <c r="N1172" i="6"/>
  <c r="T1173" i="6" l="1"/>
  <c r="U1173" i="6"/>
  <c r="G1172" i="6"/>
  <c r="F1172" i="6"/>
  <c r="M1173" i="6"/>
  <c r="N1173" i="6"/>
  <c r="U1174" i="6" l="1"/>
  <c r="T1174" i="6"/>
  <c r="G1173" i="6"/>
  <c r="F1173" i="6"/>
  <c r="M1174" i="6"/>
  <c r="N1174" i="6"/>
  <c r="U1175" i="6" l="1"/>
  <c r="T1175" i="6"/>
  <c r="G1174" i="6"/>
  <c r="F1174" i="6"/>
  <c r="M1175" i="6"/>
  <c r="N1175" i="6"/>
  <c r="U1176" i="6" l="1"/>
  <c r="T1176" i="6"/>
  <c r="G1175" i="6"/>
  <c r="F1175" i="6"/>
  <c r="M1176" i="6"/>
  <c r="N1176" i="6"/>
  <c r="U1177" i="6" l="1"/>
  <c r="T1177" i="6"/>
  <c r="F1176" i="6"/>
  <c r="G1176" i="6"/>
  <c r="M1177" i="6"/>
  <c r="N1177" i="6"/>
  <c r="T1178" i="6" l="1"/>
  <c r="U1178" i="6"/>
  <c r="G1177" i="6"/>
  <c r="F1177" i="6"/>
  <c r="M1178" i="6"/>
  <c r="N1178" i="6"/>
  <c r="U1179" i="6" l="1"/>
  <c r="T1179" i="6"/>
  <c r="G1178" i="6"/>
  <c r="F1178" i="6"/>
  <c r="M1179" i="6"/>
  <c r="N1179" i="6"/>
  <c r="U1180" i="6" l="1"/>
  <c r="T1180" i="6"/>
  <c r="G1179" i="6"/>
  <c r="F1179" i="6"/>
  <c r="M1180" i="6"/>
  <c r="N1180" i="6"/>
  <c r="U1181" i="6" l="1"/>
  <c r="T1181" i="6"/>
  <c r="G1180" i="6"/>
  <c r="F1180" i="6"/>
  <c r="M1181" i="6"/>
  <c r="N1181" i="6"/>
  <c r="U1182" i="6" l="1"/>
  <c r="T1182" i="6"/>
  <c r="F1181" i="6"/>
  <c r="G1181" i="6"/>
  <c r="M1182" i="6"/>
  <c r="N1182" i="6"/>
  <c r="U1183" i="6" l="1"/>
  <c r="T1183" i="6"/>
  <c r="G1182" i="6"/>
  <c r="F1182" i="6"/>
  <c r="M1183" i="6"/>
  <c r="N1183" i="6"/>
  <c r="U1184" i="6" l="1"/>
  <c r="T1184" i="6"/>
  <c r="G1183" i="6"/>
  <c r="F1183" i="6"/>
  <c r="M1184" i="6"/>
  <c r="N1184" i="6"/>
  <c r="U1185" i="6" l="1"/>
  <c r="T1185" i="6"/>
  <c r="F1184" i="6"/>
  <c r="G1184" i="6"/>
  <c r="M1185" i="6"/>
  <c r="N1185" i="6"/>
  <c r="U1186" i="6" l="1"/>
  <c r="T1186" i="6"/>
  <c r="G1185" i="6"/>
  <c r="F1185" i="6"/>
  <c r="M1186" i="6"/>
  <c r="N1186" i="6"/>
  <c r="U1187" i="6" l="1"/>
  <c r="T1187" i="6"/>
  <c r="G1186" i="6"/>
  <c r="F1186" i="6"/>
  <c r="M1187" i="6"/>
  <c r="N1187" i="6"/>
  <c r="U1188" i="6" l="1"/>
  <c r="T1188" i="6"/>
  <c r="G1187" i="6"/>
  <c r="F1187" i="6"/>
  <c r="M1188" i="6"/>
  <c r="N1188" i="6"/>
  <c r="U1189" i="6" l="1"/>
  <c r="T1189" i="6"/>
  <c r="G1188" i="6"/>
  <c r="F1188" i="6"/>
  <c r="M1189" i="6"/>
  <c r="N1189" i="6"/>
  <c r="U1190" i="6" l="1"/>
  <c r="T1190" i="6"/>
  <c r="G1189" i="6"/>
  <c r="F1189" i="6"/>
  <c r="M1190" i="6"/>
  <c r="N1190" i="6"/>
  <c r="U1191" i="6" l="1"/>
  <c r="T1191" i="6"/>
  <c r="G1190" i="6"/>
  <c r="F1190" i="6"/>
  <c r="M1191" i="6"/>
  <c r="N1191" i="6"/>
  <c r="U1192" i="6" l="1"/>
  <c r="T1192" i="6"/>
  <c r="G1191" i="6"/>
  <c r="F1191" i="6"/>
  <c r="M1192" i="6"/>
  <c r="N1192" i="6"/>
  <c r="U1193" i="6" l="1"/>
  <c r="T1193" i="6"/>
  <c r="G1192" i="6"/>
  <c r="F1192" i="6"/>
  <c r="M1193" i="6"/>
  <c r="N1193" i="6"/>
  <c r="U1194" i="6" l="1"/>
  <c r="T1194" i="6"/>
  <c r="G1193" i="6"/>
  <c r="F1193" i="6"/>
  <c r="M1194" i="6"/>
  <c r="N1194" i="6"/>
  <c r="U1195" i="6" l="1"/>
  <c r="T1195" i="6"/>
  <c r="G1194" i="6"/>
  <c r="F1194" i="6"/>
  <c r="M1195" i="6"/>
  <c r="N1195" i="6"/>
  <c r="U1196" i="6" l="1"/>
  <c r="T1196" i="6"/>
  <c r="G1195" i="6"/>
  <c r="F1195" i="6"/>
  <c r="M1196" i="6"/>
  <c r="N1196" i="6"/>
  <c r="T1197" i="6" l="1"/>
  <c r="U1197" i="6"/>
  <c r="G1196" i="6"/>
  <c r="F1196" i="6"/>
  <c r="M1197" i="6"/>
  <c r="N1197" i="6"/>
  <c r="U1198" i="6" l="1"/>
  <c r="T1198" i="6"/>
  <c r="F1197" i="6"/>
  <c r="G1197" i="6"/>
  <c r="M1198" i="6"/>
  <c r="N1198" i="6"/>
  <c r="U1199" i="6" l="1"/>
  <c r="T1199" i="6"/>
  <c r="G1198" i="6"/>
  <c r="F1198" i="6"/>
  <c r="M1199" i="6"/>
  <c r="N1199" i="6"/>
  <c r="U1200" i="6" l="1"/>
  <c r="T1200" i="6"/>
  <c r="G1199" i="6"/>
  <c r="F1199" i="6"/>
  <c r="M1200" i="6"/>
  <c r="N1200" i="6"/>
  <c r="T1201" i="6" l="1"/>
  <c r="U1201" i="6"/>
  <c r="G1200" i="6"/>
  <c r="F1200" i="6"/>
  <c r="M1201" i="6"/>
  <c r="N1201" i="6"/>
  <c r="U1202" i="6" l="1"/>
  <c r="T1202" i="6"/>
  <c r="G1201" i="6"/>
  <c r="F1201" i="6"/>
  <c r="M1202" i="6"/>
  <c r="N1202" i="6"/>
  <c r="T1203" i="6" l="1"/>
  <c r="U1203" i="6"/>
  <c r="G1202" i="6"/>
  <c r="F1202" i="6"/>
  <c r="M1203" i="6"/>
  <c r="N1203" i="6"/>
  <c r="U1204" i="6" l="1"/>
  <c r="T1204" i="6"/>
  <c r="G1203" i="6"/>
  <c r="F1203" i="6"/>
  <c r="M1204" i="6"/>
  <c r="N1204" i="6"/>
  <c r="U1205" i="6" l="1"/>
  <c r="T1205" i="6"/>
  <c r="G1204" i="6"/>
  <c r="F1204" i="6"/>
  <c r="M1205" i="6"/>
  <c r="N1205" i="6"/>
  <c r="U1206" i="6" l="1"/>
  <c r="T1206" i="6"/>
  <c r="G1205" i="6"/>
  <c r="F1205" i="6"/>
  <c r="M1206" i="6"/>
  <c r="N1206" i="6"/>
  <c r="U1207" i="6" l="1"/>
  <c r="T1207" i="6"/>
  <c r="G1206" i="6"/>
  <c r="F1206" i="6"/>
  <c r="M1207" i="6"/>
  <c r="N1207" i="6"/>
  <c r="T1208" i="6" l="1"/>
  <c r="U1208" i="6"/>
  <c r="G1207" i="6"/>
  <c r="F1207" i="6"/>
  <c r="M1208" i="6"/>
  <c r="N1208" i="6"/>
  <c r="U1209" i="6" l="1"/>
  <c r="T1209" i="6"/>
  <c r="G1208" i="6"/>
  <c r="F1208" i="6"/>
  <c r="M1209" i="6"/>
  <c r="N1209" i="6"/>
  <c r="T1210" i="6" l="1"/>
  <c r="U1210" i="6"/>
  <c r="G1209" i="6"/>
  <c r="F1209" i="6"/>
  <c r="M1210" i="6"/>
  <c r="N1210" i="6"/>
  <c r="U1211" i="6" l="1"/>
  <c r="T1211" i="6"/>
  <c r="F1210" i="6"/>
  <c r="G1210" i="6"/>
  <c r="M1211" i="6"/>
  <c r="N1211" i="6"/>
  <c r="T1212" i="6" l="1"/>
  <c r="U1212" i="6"/>
  <c r="G1211" i="6"/>
  <c r="F1211" i="6"/>
  <c r="M1212" i="6"/>
  <c r="N1212" i="6"/>
  <c r="U1213" i="6" l="1"/>
  <c r="T1213" i="6"/>
  <c r="F1212" i="6"/>
  <c r="G1212" i="6"/>
  <c r="M1213" i="6"/>
  <c r="N1213" i="6"/>
  <c r="U1214" i="6" l="1"/>
  <c r="T1214" i="6"/>
  <c r="G1213" i="6"/>
  <c r="F1213" i="6"/>
  <c r="M1214" i="6"/>
  <c r="N1214" i="6"/>
  <c r="U1215" i="6" l="1"/>
  <c r="T1215" i="6"/>
  <c r="G1214" i="6"/>
  <c r="F1214" i="6"/>
  <c r="M1215" i="6"/>
  <c r="N1215" i="6"/>
  <c r="U1216" i="6" l="1"/>
  <c r="T1216" i="6"/>
  <c r="G1215" i="6"/>
  <c r="F1215" i="6"/>
  <c r="M1216" i="6"/>
  <c r="N1216" i="6"/>
  <c r="T1217" i="6" l="1"/>
  <c r="U1217" i="6"/>
  <c r="G1216" i="6"/>
  <c r="F1216" i="6"/>
  <c r="M1217" i="6"/>
  <c r="N1217" i="6"/>
  <c r="U1218" i="6" l="1"/>
  <c r="T1218" i="6"/>
  <c r="F1217" i="6"/>
  <c r="G1217" i="6"/>
  <c r="M1218" i="6"/>
  <c r="N1218" i="6"/>
  <c r="T1219" i="6" l="1"/>
  <c r="U1219" i="6"/>
  <c r="G1218" i="6"/>
  <c r="F1218" i="6"/>
  <c r="M1219" i="6"/>
  <c r="N1219" i="6"/>
  <c r="U1220" i="6" l="1"/>
  <c r="T1220" i="6"/>
  <c r="G1219" i="6"/>
  <c r="F1219" i="6"/>
  <c r="M1220" i="6"/>
  <c r="N1220" i="6"/>
  <c r="U1221" i="6" l="1"/>
  <c r="T1221" i="6"/>
  <c r="G1220" i="6"/>
  <c r="F1220" i="6"/>
  <c r="M1221" i="6"/>
  <c r="N1221" i="6"/>
  <c r="U1222" i="6" l="1"/>
  <c r="T1222" i="6"/>
  <c r="G1221" i="6"/>
  <c r="F1221" i="6"/>
  <c r="M1222" i="6"/>
  <c r="N1222" i="6"/>
  <c r="U1223" i="6" l="1"/>
  <c r="T1223" i="6"/>
  <c r="F1222" i="6"/>
  <c r="G1222" i="6"/>
  <c r="M1223" i="6"/>
  <c r="N1223" i="6"/>
  <c r="U1224" i="6" l="1"/>
  <c r="T1224" i="6"/>
  <c r="G1223" i="6"/>
  <c r="F1223" i="6"/>
  <c r="M1224" i="6"/>
  <c r="N1224" i="6"/>
  <c r="U1225" i="6" l="1"/>
  <c r="T1225" i="6"/>
  <c r="G1224" i="6"/>
  <c r="F1224" i="6"/>
  <c r="M1225" i="6"/>
  <c r="N1225" i="6"/>
  <c r="U1226" i="6" l="1"/>
  <c r="T1226" i="6"/>
  <c r="G1225" i="6"/>
  <c r="F1225" i="6"/>
  <c r="M1226" i="6"/>
  <c r="N1226" i="6"/>
  <c r="U1227" i="6" l="1"/>
  <c r="T1227" i="6"/>
  <c r="G1226" i="6"/>
  <c r="F1226" i="6"/>
  <c r="M1227" i="6"/>
  <c r="N1227" i="6"/>
  <c r="U1228" i="6" l="1"/>
  <c r="T1228" i="6"/>
  <c r="G1227" i="6"/>
  <c r="F1227" i="6"/>
  <c r="M1228" i="6"/>
  <c r="N1228" i="6"/>
  <c r="U1229" i="6" l="1"/>
  <c r="T1229" i="6"/>
  <c r="G1228" i="6"/>
  <c r="F1228" i="6"/>
  <c r="M1229" i="6"/>
  <c r="N1229" i="6"/>
  <c r="U1230" i="6" l="1"/>
  <c r="T1230" i="6"/>
  <c r="F1229" i="6"/>
  <c r="G1229" i="6"/>
  <c r="M1230" i="6"/>
  <c r="N1230" i="6"/>
  <c r="U1231" i="6" l="1"/>
  <c r="T1231" i="6"/>
  <c r="G1230" i="6"/>
  <c r="F1230" i="6"/>
  <c r="M1231" i="6"/>
  <c r="N1231" i="6"/>
  <c r="U1232" i="6" l="1"/>
  <c r="T1232" i="6"/>
  <c r="G1231" i="6"/>
  <c r="F1231" i="6"/>
  <c r="M1232" i="6"/>
  <c r="N1232" i="6"/>
  <c r="U1233" i="6" l="1"/>
  <c r="T1233" i="6"/>
  <c r="G1232" i="6"/>
  <c r="F1232" i="6"/>
  <c r="M1233" i="6"/>
  <c r="N1233" i="6"/>
  <c r="U1234" i="6" l="1"/>
  <c r="T1234" i="6"/>
  <c r="G1233" i="6"/>
  <c r="F1233" i="6"/>
  <c r="M1234" i="6"/>
  <c r="N1234" i="6"/>
  <c r="U1235" i="6" l="1"/>
  <c r="T1235" i="6"/>
  <c r="G1234" i="6"/>
  <c r="F1234" i="6"/>
  <c r="M1235" i="6"/>
  <c r="N1235" i="6"/>
  <c r="U1236" i="6" l="1"/>
  <c r="T1236" i="6"/>
  <c r="G1235" i="6"/>
  <c r="F1235" i="6"/>
  <c r="M1236" i="6"/>
  <c r="N1236" i="6"/>
  <c r="T1237" i="6" l="1"/>
  <c r="U1237" i="6"/>
  <c r="G1236" i="6"/>
  <c r="F1236" i="6"/>
  <c r="M1237" i="6"/>
  <c r="N1237" i="6"/>
  <c r="U1238" i="6" l="1"/>
  <c r="T1238" i="6"/>
  <c r="G1237" i="6"/>
  <c r="F1237" i="6"/>
  <c r="M1238" i="6"/>
  <c r="N1238" i="6"/>
  <c r="T1239" i="6" l="1"/>
  <c r="U1239" i="6"/>
  <c r="G1238" i="6"/>
  <c r="F1238" i="6"/>
  <c r="M1239" i="6"/>
  <c r="N1239" i="6"/>
  <c r="U1240" i="6" l="1"/>
  <c r="T1240" i="6"/>
  <c r="G1239" i="6"/>
  <c r="F1239" i="6"/>
  <c r="M1240" i="6"/>
  <c r="N1240" i="6"/>
  <c r="U1241" i="6" l="1"/>
  <c r="T1241" i="6"/>
  <c r="G1240" i="6"/>
  <c r="F1240" i="6"/>
  <c r="M1241" i="6"/>
  <c r="N1241" i="6"/>
  <c r="U1242" i="6" l="1"/>
  <c r="T1242" i="6"/>
  <c r="F1241" i="6"/>
  <c r="G1241" i="6"/>
  <c r="M1242" i="6"/>
  <c r="N1242" i="6"/>
  <c r="U1243" i="6" l="1"/>
  <c r="T1243" i="6"/>
  <c r="G1242" i="6"/>
  <c r="F1242" i="6"/>
  <c r="M1243" i="6"/>
  <c r="N1243" i="6"/>
  <c r="U1244" i="6" l="1"/>
  <c r="T1244" i="6"/>
  <c r="G1243" i="6"/>
  <c r="F1243" i="6"/>
  <c r="M1244" i="6"/>
  <c r="N1244" i="6"/>
  <c r="U1245" i="6" l="1"/>
  <c r="T1245" i="6"/>
  <c r="G1244" i="6"/>
  <c r="F1244" i="6"/>
  <c r="M1245" i="6"/>
  <c r="N1245" i="6"/>
  <c r="U1246" i="6" l="1"/>
  <c r="T1246" i="6"/>
  <c r="G1245" i="6"/>
  <c r="F1245" i="6"/>
  <c r="M1246" i="6"/>
  <c r="N1246" i="6"/>
  <c r="U1247" i="6" l="1"/>
  <c r="T1247" i="6"/>
  <c r="G1246" i="6"/>
  <c r="F1246" i="6"/>
  <c r="M1247" i="6"/>
  <c r="N1247" i="6"/>
  <c r="U1248" i="6" l="1"/>
  <c r="T1248" i="6"/>
  <c r="G1247" i="6"/>
  <c r="F1247" i="6"/>
  <c r="M1248" i="6"/>
  <c r="N1248" i="6"/>
  <c r="U1249" i="6" l="1"/>
  <c r="T1249" i="6"/>
  <c r="G1248" i="6"/>
  <c r="F1248" i="6"/>
  <c r="M1249" i="6"/>
  <c r="N1249" i="6"/>
  <c r="U1250" i="6" l="1"/>
  <c r="T1250" i="6"/>
  <c r="G1249" i="6"/>
  <c r="F1249" i="6"/>
  <c r="M1250" i="6"/>
  <c r="N1250" i="6"/>
  <c r="U1251" i="6" l="1"/>
  <c r="T1251" i="6"/>
  <c r="G1250" i="6"/>
  <c r="F1250" i="6"/>
  <c r="M1251" i="6"/>
  <c r="N1251" i="6"/>
  <c r="U1252" i="6" l="1"/>
  <c r="T1252" i="6"/>
  <c r="G1251" i="6"/>
  <c r="F1251" i="6"/>
  <c r="M1252" i="6"/>
  <c r="N1252" i="6"/>
  <c r="U1253" i="6" l="1"/>
  <c r="T1253" i="6"/>
  <c r="F1252" i="6"/>
  <c r="G1252" i="6"/>
  <c r="M1253" i="6"/>
  <c r="N1253" i="6"/>
  <c r="U1254" i="6" l="1"/>
  <c r="T1254" i="6"/>
  <c r="G1253" i="6"/>
  <c r="F1253" i="6"/>
  <c r="M1254" i="6"/>
  <c r="N1254" i="6"/>
  <c r="U1255" i="6" l="1"/>
  <c r="T1255" i="6"/>
  <c r="G1254" i="6"/>
  <c r="F1254" i="6"/>
  <c r="M1255" i="6"/>
  <c r="N1255" i="6"/>
  <c r="U1256" i="6" l="1"/>
  <c r="T1256" i="6"/>
  <c r="G1255" i="6"/>
  <c r="F1255" i="6"/>
  <c r="M1256" i="6"/>
  <c r="N1256" i="6"/>
  <c r="U1257" i="6" l="1"/>
  <c r="T1257" i="6"/>
  <c r="G1256" i="6"/>
  <c r="F1256" i="6"/>
  <c r="M1257" i="6"/>
  <c r="N1257" i="6"/>
  <c r="U1258" i="6" l="1"/>
  <c r="T1258" i="6"/>
  <c r="G1257" i="6"/>
  <c r="F1257" i="6"/>
  <c r="M1258" i="6"/>
  <c r="N1258" i="6"/>
  <c r="U1259" i="6" l="1"/>
  <c r="T1259" i="6"/>
  <c r="G1258" i="6"/>
  <c r="F1258" i="6"/>
  <c r="M1259" i="6"/>
  <c r="N1259" i="6"/>
  <c r="U1260" i="6" l="1"/>
  <c r="T1260" i="6"/>
  <c r="G1259" i="6"/>
  <c r="F1259" i="6"/>
  <c r="M1260" i="6"/>
  <c r="N1260" i="6"/>
  <c r="T1261" i="6" l="1"/>
  <c r="U1261" i="6"/>
  <c r="G1260" i="6"/>
  <c r="F1260" i="6"/>
  <c r="M1261" i="6"/>
  <c r="N1261" i="6"/>
  <c r="U1262" i="6" l="1"/>
  <c r="T1262" i="6"/>
  <c r="G1261" i="6"/>
  <c r="F1261" i="6"/>
  <c r="M1262" i="6"/>
  <c r="N1262" i="6"/>
  <c r="U1263" i="6" l="1"/>
  <c r="T1263" i="6"/>
  <c r="G1262" i="6"/>
  <c r="F1262" i="6"/>
  <c r="M1263" i="6"/>
  <c r="N1263" i="6"/>
  <c r="U1264" i="6" l="1"/>
  <c r="T1264" i="6"/>
  <c r="G1263" i="6"/>
  <c r="F1263" i="6"/>
  <c r="M1264" i="6"/>
  <c r="N1264" i="6"/>
  <c r="U1265" i="6" l="1"/>
  <c r="T1265" i="6"/>
  <c r="F1264" i="6"/>
  <c r="G1264" i="6"/>
  <c r="M1265" i="6"/>
  <c r="N1265" i="6"/>
  <c r="U1266" i="6" l="1"/>
  <c r="T1266" i="6"/>
  <c r="G1265" i="6"/>
  <c r="F1265" i="6"/>
  <c r="M1266" i="6"/>
  <c r="N1266" i="6"/>
  <c r="U1267" i="6" l="1"/>
  <c r="T1267" i="6"/>
  <c r="G1266" i="6"/>
  <c r="F1266" i="6"/>
  <c r="M1267" i="6"/>
  <c r="N1267" i="6"/>
  <c r="U1268" i="6" l="1"/>
  <c r="T1268" i="6"/>
  <c r="G1267" i="6"/>
  <c r="F1267" i="6"/>
  <c r="M1268" i="6"/>
  <c r="N1268" i="6"/>
  <c r="T1269" i="6" l="1"/>
  <c r="U1269" i="6"/>
  <c r="G1268" i="6"/>
  <c r="F1268" i="6"/>
  <c r="M1269" i="6"/>
  <c r="N1269" i="6"/>
  <c r="U1270" i="6" l="1"/>
  <c r="T1270" i="6"/>
  <c r="F1269" i="6"/>
  <c r="G1269" i="6"/>
  <c r="M1270" i="6"/>
  <c r="N1270" i="6"/>
  <c r="U1271" i="6" l="1"/>
  <c r="T1271" i="6"/>
  <c r="G1270" i="6"/>
  <c r="F1270" i="6"/>
  <c r="M1271" i="6"/>
  <c r="N1271" i="6"/>
  <c r="U1272" i="6" l="1"/>
  <c r="T1272" i="6"/>
  <c r="G1271" i="6"/>
  <c r="F1271" i="6"/>
  <c r="M1272" i="6"/>
  <c r="N1272" i="6"/>
  <c r="U1273" i="6" l="1"/>
  <c r="T1273" i="6"/>
  <c r="G1272" i="6"/>
  <c r="F1272" i="6"/>
  <c r="M1273" i="6"/>
  <c r="N1273" i="6"/>
  <c r="U1274" i="6" l="1"/>
  <c r="T1274" i="6"/>
  <c r="G1273" i="6"/>
  <c r="F1273" i="6"/>
  <c r="M1274" i="6"/>
  <c r="N1274" i="6"/>
  <c r="U1275" i="6" l="1"/>
  <c r="T1275" i="6"/>
  <c r="G1274" i="6"/>
  <c r="F1274" i="6"/>
  <c r="M1275" i="6"/>
  <c r="N1275" i="6"/>
  <c r="U1276" i="6" l="1"/>
  <c r="T1276" i="6"/>
  <c r="G1275" i="6"/>
  <c r="F1275" i="6"/>
  <c r="M1276" i="6"/>
  <c r="N1276" i="6"/>
  <c r="U1277" i="6" l="1"/>
  <c r="T1277" i="6"/>
  <c r="G1276" i="6"/>
  <c r="F1276" i="6"/>
  <c r="M1277" i="6"/>
  <c r="N1277" i="6"/>
  <c r="U1278" i="6" l="1"/>
  <c r="T1278" i="6"/>
  <c r="G1277" i="6"/>
  <c r="F1277" i="6"/>
  <c r="M1278" i="6"/>
  <c r="N1278" i="6"/>
  <c r="U1279" i="6" l="1"/>
  <c r="T1279" i="6"/>
  <c r="G1278" i="6"/>
  <c r="F1278" i="6"/>
  <c r="M1279" i="6"/>
  <c r="N1279" i="6"/>
  <c r="U1280" i="6" l="1"/>
  <c r="T1280" i="6"/>
  <c r="G1279" i="6"/>
  <c r="F1279" i="6"/>
  <c r="M1280" i="6"/>
  <c r="N1280" i="6"/>
  <c r="U1281" i="6" l="1"/>
  <c r="T1281" i="6"/>
  <c r="G1280" i="6"/>
  <c r="F1280" i="6"/>
  <c r="M1281" i="6"/>
  <c r="N1281" i="6"/>
  <c r="U1282" i="6" l="1"/>
  <c r="T1282" i="6"/>
  <c r="G1281" i="6"/>
  <c r="F1281" i="6"/>
  <c r="M1282" i="6"/>
  <c r="N1282" i="6"/>
  <c r="U1283" i="6" l="1"/>
  <c r="T1283" i="6"/>
  <c r="G1282" i="6"/>
  <c r="F1282" i="6"/>
  <c r="M1283" i="6"/>
  <c r="N1283" i="6"/>
  <c r="U1284" i="6" l="1"/>
  <c r="T1284" i="6"/>
  <c r="F1283" i="6"/>
  <c r="G1283" i="6"/>
  <c r="M1284" i="6"/>
  <c r="N1284" i="6"/>
  <c r="U1285" i="6" l="1"/>
  <c r="T1285" i="6"/>
  <c r="G1284" i="6"/>
  <c r="F1284" i="6"/>
  <c r="M1285" i="6"/>
  <c r="N1285" i="6"/>
  <c r="U1286" i="6" l="1"/>
  <c r="T1286" i="6"/>
  <c r="F1285" i="6"/>
  <c r="G1285" i="6"/>
  <c r="M1286" i="6"/>
  <c r="N1286" i="6"/>
  <c r="U1287" i="6" l="1"/>
  <c r="T1287" i="6"/>
  <c r="G1286" i="6"/>
  <c r="F1286" i="6"/>
  <c r="M1287" i="6"/>
  <c r="N1287" i="6"/>
  <c r="U1288" i="6" l="1"/>
  <c r="T1288" i="6"/>
  <c r="G1287" i="6"/>
  <c r="F1287" i="6"/>
  <c r="M1288" i="6"/>
  <c r="N1288" i="6"/>
  <c r="T1289" i="6" l="1"/>
  <c r="U1289" i="6"/>
  <c r="G1288" i="6"/>
  <c r="F1288" i="6"/>
  <c r="M1289" i="6"/>
  <c r="N1289" i="6"/>
  <c r="T1290" i="6" l="1"/>
  <c r="U1290" i="6"/>
  <c r="G1289" i="6"/>
  <c r="F1289" i="6"/>
  <c r="M1290" i="6"/>
  <c r="N1290" i="6"/>
  <c r="U1291" i="6" l="1"/>
  <c r="T1291" i="6"/>
  <c r="G1290" i="6"/>
  <c r="F1290" i="6"/>
  <c r="M1291" i="6"/>
  <c r="N1291" i="6"/>
  <c r="U1292" i="6" l="1"/>
  <c r="T1292" i="6"/>
  <c r="G1291" i="6"/>
  <c r="F1291" i="6"/>
  <c r="M1292" i="6"/>
  <c r="N1292" i="6"/>
  <c r="U1293" i="6" l="1"/>
  <c r="T1293" i="6"/>
  <c r="G1292" i="6"/>
  <c r="F1292" i="6"/>
  <c r="M1293" i="6"/>
  <c r="N1293" i="6"/>
  <c r="T1294" i="6" l="1"/>
  <c r="U1294" i="6"/>
  <c r="F1293" i="6"/>
  <c r="G1293" i="6"/>
  <c r="M1294" i="6"/>
  <c r="N1294" i="6"/>
  <c r="U1295" i="6" l="1"/>
  <c r="T1295" i="6"/>
  <c r="G1294" i="6"/>
  <c r="F1294" i="6"/>
  <c r="M1295" i="6"/>
  <c r="N1295" i="6"/>
  <c r="U1296" i="6" l="1"/>
  <c r="T1296" i="6"/>
  <c r="F1295" i="6"/>
  <c r="G1295" i="6"/>
  <c r="M1296" i="6"/>
  <c r="N1296" i="6"/>
  <c r="T1297" i="6" l="1"/>
  <c r="U1297" i="6"/>
  <c r="G1296" i="6"/>
  <c r="F1296" i="6"/>
  <c r="M1297" i="6"/>
  <c r="N1297" i="6"/>
  <c r="T1298" i="6" l="1"/>
  <c r="U1298" i="6"/>
  <c r="G1297" i="6"/>
  <c r="F1297" i="6"/>
  <c r="M1298" i="6"/>
  <c r="N1298" i="6"/>
  <c r="U1299" i="6" l="1"/>
  <c r="T1299" i="6"/>
  <c r="G1298" i="6"/>
  <c r="F1298" i="6"/>
  <c r="M1299" i="6"/>
  <c r="N1299" i="6"/>
  <c r="U1300" i="6" l="1"/>
  <c r="T1300" i="6"/>
  <c r="G1299" i="6"/>
  <c r="F1299" i="6"/>
  <c r="M1300" i="6"/>
  <c r="N1300" i="6"/>
  <c r="U1301" i="6" l="1"/>
  <c r="T1301" i="6"/>
  <c r="G1300" i="6"/>
  <c r="F1300" i="6"/>
  <c r="M1301" i="6"/>
  <c r="N1301" i="6"/>
  <c r="U1302" i="6" l="1"/>
  <c r="T1302" i="6"/>
  <c r="G1301" i="6"/>
  <c r="F1301" i="6"/>
  <c r="M1302" i="6"/>
  <c r="N1302" i="6"/>
  <c r="T1303" i="6" l="1"/>
  <c r="U1303" i="6"/>
  <c r="F1302" i="6"/>
  <c r="G1302" i="6"/>
  <c r="M1303" i="6"/>
  <c r="N1303" i="6"/>
  <c r="T1304" i="6" l="1"/>
  <c r="U1304" i="6"/>
  <c r="G1303" i="6"/>
  <c r="F1303" i="6"/>
  <c r="M1304" i="6"/>
  <c r="N1304" i="6"/>
  <c r="U1305" i="6" l="1"/>
  <c r="T1305" i="6"/>
  <c r="G1304" i="6"/>
  <c r="F1304" i="6"/>
  <c r="M1305" i="6"/>
  <c r="N1305" i="6"/>
  <c r="U1306" i="6" l="1"/>
  <c r="T1306" i="6"/>
  <c r="G1305" i="6"/>
  <c r="F1305" i="6"/>
  <c r="M1306" i="6"/>
  <c r="N1306" i="6"/>
  <c r="U1307" i="6" l="1"/>
  <c r="T1307" i="6"/>
  <c r="G1306" i="6"/>
  <c r="F1306" i="6"/>
  <c r="M1307" i="6"/>
  <c r="N1307" i="6"/>
  <c r="U1308" i="6" l="1"/>
  <c r="T1308" i="6"/>
  <c r="G1307" i="6"/>
  <c r="F1307" i="6"/>
  <c r="M1308" i="6"/>
  <c r="N1308" i="6"/>
  <c r="T1309" i="6" l="1"/>
  <c r="U1309" i="6"/>
  <c r="G1308" i="6"/>
  <c r="F1308" i="6"/>
  <c r="M1309" i="6"/>
  <c r="N1309" i="6"/>
  <c r="U1310" i="6" l="1"/>
  <c r="T1310" i="6"/>
  <c r="G1309" i="6"/>
  <c r="F1309" i="6"/>
  <c r="M1310" i="6"/>
  <c r="N1310" i="6"/>
  <c r="U1311" i="6" l="1"/>
  <c r="T1311" i="6"/>
  <c r="F1310" i="6"/>
  <c r="G1310" i="6"/>
  <c r="M1311" i="6"/>
  <c r="N1311" i="6"/>
  <c r="U1312" i="6" l="1"/>
  <c r="T1312" i="6"/>
  <c r="G1311" i="6"/>
  <c r="F1311" i="6"/>
  <c r="M1312" i="6"/>
  <c r="N1312" i="6"/>
  <c r="U1313" i="6" l="1"/>
  <c r="T1313" i="6"/>
  <c r="F1312" i="6"/>
  <c r="G1312" i="6"/>
  <c r="M1313" i="6"/>
  <c r="N1313" i="6"/>
  <c r="U1314" i="6" l="1"/>
  <c r="T1314" i="6"/>
  <c r="G1313" i="6"/>
  <c r="F1313" i="6"/>
  <c r="M1314" i="6"/>
  <c r="N1314" i="6"/>
  <c r="T1315" i="6" l="1"/>
  <c r="U1315" i="6"/>
  <c r="G1314" i="6"/>
  <c r="F1314" i="6"/>
  <c r="M1315" i="6"/>
  <c r="N1315" i="6"/>
  <c r="U1316" i="6" l="1"/>
  <c r="T1316" i="6"/>
  <c r="G1315" i="6"/>
  <c r="F1315" i="6"/>
  <c r="M1316" i="6"/>
  <c r="N1316" i="6"/>
  <c r="U1317" i="6" l="1"/>
  <c r="T1317" i="6"/>
  <c r="G1316" i="6"/>
  <c r="F1316" i="6"/>
  <c r="M1317" i="6"/>
  <c r="N1317" i="6"/>
  <c r="U1318" i="6" l="1"/>
  <c r="T1318" i="6"/>
  <c r="G1317" i="6"/>
  <c r="F1317" i="6"/>
  <c r="M1318" i="6"/>
  <c r="N1318" i="6"/>
  <c r="U1319" i="6" l="1"/>
  <c r="T1319" i="6"/>
  <c r="G1318" i="6"/>
  <c r="F1318" i="6"/>
  <c r="M1319" i="6"/>
  <c r="N1319" i="6"/>
  <c r="U1320" i="6" l="1"/>
  <c r="T1320" i="6"/>
  <c r="G1319" i="6"/>
  <c r="F1319" i="6"/>
  <c r="M1320" i="6"/>
  <c r="N1320" i="6"/>
  <c r="T1321" i="6" l="1"/>
  <c r="U1321" i="6"/>
  <c r="G1320" i="6"/>
  <c r="F1320" i="6"/>
  <c r="M1321" i="6"/>
  <c r="N1321" i="6"/>
  <c r="T1322" i="6" l="1"/>
  <c r="U1322" i="6"/>
  <c r="G1321" i="6"/>
  <c r="F1321" i="6"/>
  <c r="M1322" i="6"/>
  <c r="N1322" i="6"/>
  <c r="U1323" i="6" l="1"/>
  <c r="T1323" i="6"/>
  <c r="G1322" i="6"/>
  <c r="F1322" i="6"/>
  <c r="M1323" i="6"/>
  <c r="N1323" i="6"/>
  <c r="U1324" i="6" l="1"/>
  <c r="T1324" i="6"/>
  <c r="F1323" i="6"/>
  <c r="G1323" i="6"/>
  <c r="M1324" i="6"/>
  <c r="N1324" i="6"/>
  <c r="U1325" i="6" l="1"/>
  <c r="T1325" i="6"/>
  <c r="G1324" i="6"/>
  <c r="F1324" i="6"/>
  <c r="M1325" i="6"/>
  <c r="N1325" i="6"/>
  <c r="U1326" i="6" l="1"/>
  <c r="T1326" i="6"/>
  <c r="F1325" i="6"/>
  <c r="G1325" i="6"/>
  <c r="M1326" i="6"/>
  <c r="N1326" i="6"/>
  <c r="U1327" i="6" l="1"/>
  <c r="T1327" i="6"/>
  <c r="G1326" i="6"/>
  <c r="F1326" i="6"/>
  <c r="M1327" i="6"/>
  <c r="N1327" i="6"/>
  <c r="U1328" i="6" l="1"/>
  <c r="T1328" i="6"/>
  <c r="G1327" i="6"/>
  <c r="F1327" i="6"/>
  <c r="M1328" i="6"/>
  <c r="N1328" i="6"/>
  <c r="U1329" i="6" l="1"/>
  <c r="T1329" i="6"/>
  <c r="G1328" i="6"/>
  <c r="F1328" i="6"/>
  <c r="M1329" i="6"/>
  <c r="N1329" i="6"/>
  <c r="U1330" i="6" l="1"/>
  <c r="T1330" i="6"/>
  <c r="G1329" i="6"/>
  <c r="F1329" i="6"/>
  <c r="M1330" i="6"/>
  <c r="N1330" i="6"/>
  <c r="U1331" i="6" l="1"/>
  <c r="T1331" i="6"/>
  <c r="G1330" i="6"/>
  <c r="F1330" i="6"/>
  <c r="M1331" i="6"/>
  <c r="N1331" i="6"/>
  <c r="U1332" i="6" l="1"/>
  <c r="T1332" i="6"/>
  <c r="G1331" i="6"/>
  <c r="F1331" i="6"/>
  <c r="M1332" i="6"/>
  <c r="N1332" i="6"/>
  <c r="U1333" i="6" l="1"/>
  <c r="T1333" i="6"/>
  <c r="G1332" i="6"/>
  <c r="F1332" i="6"/>
  <c r="M1333" i="6"/>
  <c r="N1333" i="6"/>
  <c r="U1334" i="6" l="1"/>
  <c r="T1334" i="6"/>
  <c r="F1333" i="6"/>
  <c r="G1333" i="6"/>
  <c r="M1334" i="6"/>
  <c r="N1334" i="6"/>
  <c r="U1335" i="6" l="1"/>
  <c r="T1335" i="6"/>
  <c r="G1334" i="6"/>
  <c r="F1334" i="6"/>
  <c r="M1335" i="6"/>
  <c r="N1335" i="6"/>
  <c r="U1336" i="6" l="1"/>
  <c r="T1336" i="6"/>
  <c r="F1335" i="6"/>
  <c r="G1335" i="6"/>
  <c r="M1336" i="6"/>
  <c r="N1336" i="6"/>
  <c r="U1337" i="6" l="1"/>
  <c r="T1337" i="6"/>
  <c r="G1336" i="6"/>
  <c r="F1336" i="6"/>
  <c r="M1337" i="6"/>
  <c r="N1337" i="6"/>
  <c r="U1338" i="6" l="1"/>
  <c r="T1338" i="6"/>
  <c r="G1337" i="6"/>
  <c r="F1337" i="6"/>
  <c r="M1338" i="6"/>
  <c r="N1338" i="6"/>
  <c r="U1339" i="6" l="1"/>
  <c r="T1339" i="6"/>
  <c r="G1338" i="6"/>
  <c r="F1338" i="6"/>
  <c r="M1339" i="6"/>
  <c r="N1339" i="6"/>
  <c r="U1340" i="6" l="1"/>
  <c r="T1340" i="6"/>
  <c r="G1339" i="6"/>
  <c r="F1339" i="6"/>
  <c r="M1340" i="6"/>
  <c r="N1340" i="6"/>
  <c r="U1341" i="6" l="1"/>
  <c r="T1341" i="6"/>
  <c r="G1340" i="6"/>
  <c r="F1340" i="6"/>
  <c r="M1341" i="6"/>
  <c r="N1341" i="6"/>
  <c r="U1342" i="6" l="1"/>
  <c r="T1342" i="6"/>
  <c r="G1341" i="6"/>
  <c r="F1341" i="6"/>
  <c r="M1342" i="6"/>
  <c r="N1342" i="6"/>
  <c r="U1343" i="6" l="1"/>
  <c r="T1343" i="6"/>
  <c r="F1342" i="6"/>
  <c r="G1342" i="6"/>
  <c r="M1343" i="6"/>
  <c r="N1343" i="6"/>
  <c r="U1344" i="6" l="1"/>
  <c r="T1344" i="6"/>
  <c r="G1343" i="6"/>
  <c r="F1343" i="6"/>
  <c r="M1344" i="6"/>
  <c r="N1344" i="6"/>
  <c r="U1345" i="6" l="1"/>
  <c r="T1345" i="6"/>
  <c r="G1344" i="6"/>
  <c r="F1344" i="6"/>
  <c r="M1345" i="6"/>
  <c r="N1345" i="6"/>
  <c r="T1346" i="6" l="1"/>
  <c r="U1346" i="6"/>
  <c r="G1345" i="6"/>
  <c r="F1345" i="6"/>
  <c r="M1346" i="6"/>
  <c r="N1346" i="6"/>
  <c r="U1347" i="6" l="1"/>
  <c r="T1347" i="6"/>
  <c r="G1346" i="6"/>
  <c r="F1346" i="6"/>
  <c r="M1347" i="6"/>
  <c r="N1347" i="6"/>
  <c r="T1348" i="6" l="1"/>
  <c r="U1348" i="6"/>
  <c r="G1347" i="6"/>
  <c r="F1347" i="6"/>
  <c r="M1348" i="6"/>
  <c r="N1348" i="6"/>
  <c r="U1349" i="6" l="1"/>
  <c r="T1349" i="6"/>
  <c r="G1348" i="6"/>
  <c r="F1348" i="6"/>
  <c r="M1349" i="6"/>
  <c r="N1349" i="6"/>
  <c r="T1350" i="6" l="1"/>
  <c r="U1350" i="6"/>
  <c r="G1349" i="6"/>
  <c r="F1349" i="6"/>
  <c r="M1350" i="6"/>
  <c r="N1350" i="6"/>
  <c r="U1351" i="6" l="1"/>
  <c r="T1351" i="6"/>
  <c r="G1350" i="6"/>
  <c r="F1350" i="6"/>
  <c r="M1351" i="6"/>
  <c r="N1351" i="6"/>
  <c r="T1352" i="6" l="1"/>
  <c r="U1352" i="6"/>
  <c r="G1351" i="6"/>
  <c r="F1351" i="6"/>
  <c r="M1352" i="6"/>
  <c r="N1352" i="6"/>
  <c r="U1353" i="6" l="1"/>
  <c r="T1353" i="6"/>
  <c r="G1352" i="6"/>
  <c r="F1352" i="6"/>
  <c r="M1353" i="6"/>
  <c r="N1353" i="6"/>
  <c r="U1354" i="6" l="1"/>
  <c r="T1354" i="6"/>
  <c r="G1353" i="6"/>
  <c r="F1353" i="6"/>
  <c r="M1354" i="6"/>
  <c r="N1354" i="6"/>
  <c r="U1355" i="6" l="1"/>
  <c r="T1355" i="6"/>
  <c r="G1354" i="6"/>
  <c r="F1354" i="6"/>
  <c r="M1355" i="6"/>
  <c r="N1355" i="6"/>
  <c r="T1356" i="6" l="1"/>
  <c r="U1356" i="6"/>
  <c r="F1355" i="6"/>
  <c r="G1355" i="6"/>
  <c r="M1356" i="6"/>
  <c r="N1356" i="6"/>
  <c r="U1357" i="6" l="1"/>
  <c r="T1357" i="6"/>
  <c r="G1356" i="6"/>
  <c r="F1356" i="6"/>
  <c r="M1357" i="6"/>
  <c r="N1357" i="6"/>
  <c r="T1358" i="6" l="1"/>
  <c r="U1358" i="6"/>
  <c r="G1357" i="6"/>
  <c r="F1357" i="6"/>
  <c r="M1358" i="6"/>
  <c r="N1358" i="6"/>
  <c r="U1359" i="6" l="1"/>
  <c r="T1359" i="6"/>
  <c r="G1358" i="6"/>
  <c r="F1358" i="6"/>
  <c r="M1359" i="6"/>
  <c r="N1359" i="6"/>
  <c r="T1360" i="6" l="1"/>
  <c r="U1360" i="6"/>
  <c r="G1359" i="6"/>
  <c r="F1359" i="6"/>
  <c r="M1360" i="6"/>
  <c r="N1360" i="6"/>
  <c r="U1361" i="6" l="1"/>
  <c r="T1361" i="6"/>
  <c r="G1360" i="6"/>
  <c r="F1360" i="6"/>
  <c r="M1361" i="6"/>
  <c r="N1361" i="6"/>
  <c r="U1362" i="6" l="1"/>
  <c r="T1362" i="6"/>
  <c r="G1361" i="6"/>
  <c r="F1361" i="6"/>
  <c r="M1362" i="6"/>
  <c r="N1362" i="6"/>
  <c r="U1363" i="6" l="1"/>
  <c r="T1363" i="6"/>
  <c r="G1362" i="6"/>
  <c r="F1362" i="6"/>
  <c r="M1363" i="6"/>
  <c r="N1363" i="6"/>
  <c r="U1364" i="6" l="1"/>
  <c r="T1364" i="6"/>
  <c r="G1363" i="6"/>
  <c r="F1363" i="6"/>
  <c r="M1364" i="6"/>
  <c r="N1364" i="6"/>
  <c r="U1365" i="6" l="1"/>
  <c r="T1365" i="6"/>
  <c r="G1364" i="6"/>
  <c r="F1364" i="6"/>
  <c r="M1365" i="6"/>
  <c r="N1365" i="6"/>
  <c r="U1366" i="6" l="1"/>
  <c r="T1366" i="6"/>
  <c r="G1365" i="6"/>
  <c r="F1365" i="6"/>
  <c r="M1366" i="6"/>
  <c r="N1366" i="6"/>
  <c r="U1367" i="6" l="1"/>
  <c r="T1367" i="6"/>
  <c r="G1366" i="6"/>
  <c r="F1366" i="6"/>
  <c r="M1367" i="6"/>
  <c r="N1367" i="6"/>
  <c r="T1368" i="6" l="1"/>
  <c r="U1368" i="6"/>
  <c r="F1367" i="6"/>
  <c r="G1367" i="6"/>
  <c r="M1368" i="6"/>
  <c r="N1368" i="6"/>
  <c r="U1369" i="6" l="1"/>
  <c r="T1369" i="6"/>
  <c r="G1368" i="6"/>
  <c r="F1368" i="6"/>
  <c r="M1369" i="6"/>
  <c r="N1369" i="6"/>
  <c r="U1370" i="6" l="1"/>
  <c r="T1370" i="6"/>
  <c r="G1369" i="6"/>
  <c r="F1369" i="6"/>
  <c r="M1370" i="6"/>
  <c r="N1370" i="6"/>
  <c r="U1371" i="6" l="1"/>
  <c r="T1371" i="6"/>
  <c r="G1370" i="6"/>
  <c r="F1370" i="6"/>
  <c r="M1371" i="6"/>
  <c r="N1371" i="6"/>
  <c r="T1372" i="6" l="1"/>
  <c r="U1372" i="6"/>
  <c r="G1371" i="6"/>
  <c r="F1371" i="6"/>
  <c r="M1372" i="6"/>
  <c r="N1372" i="6"/>
  <c r="U1373" i="6" l="1"/>
  <c r="T1373" i="6"/>
  <c r="G1372" i="6"/>
  <c r="F1372" i="6"/>
  <c r="M1373" i="6"/>
  <c r="N1373" i="6"/>
  <c r="T1374" i="6" l="1"/>
  <c r="U1374" i="6"/>
  <c r="F1373" i="6"/>
  <c r="G1373" i="6"/>
  <c r="M1374" i="6"/>
  <c r="N1374" i="6"/>
  <c r="U1375" i="6" l="1"/>
  <c r="T1375" i="6"/>
  <c r="G1374" i="6"/>
  <c r="F1374" i="6"/>
  <c r="M1375" i="6"/>
  <c r="N1375" i="6"/>
  <c r="U1376" i="6" l="1"/>
  <c r="T1376" i="6"/>
  <c r="F1375" i="6"/>
  <c r="G1375" i="6"/>
  <c r="M1376" i="6"/>
  <c r="N1376" i="6"/>
  <c r="T1377" i="6" l="1"/>
  <c r="U1377" i="6"/>
  <c r="G1376" i="6"/>
  <c r="F1376" i="6"/>
  <c r="M1377" i="6"/>
  <c r="N1377" i="6"/>
  <c r="G1377" i="6" l="1"/>
  <c r="F1377" i="6"/>
</calcChain>
</file>

<file path=xl/sharedStrings.xml><?xml version="1.0" encoding="utf-8"?>
<sst xmlns="http://schemas.openxmlformats.org/spreadsheetml/2006/main" count="70" uniqueCount="57">
  <si>
    <t>C1</t>
  </si>
  <si>
    <t>D1</t>
  </si>
  <si>
    <t>E1</t>
  </si>
  <si>
    <t>F1</t>
  </si>
  <si>
    <t>G1</t>
  </si>
  <si>
    <t>A1</t>
  </si>
  <si>
    <t>B1</t>
  </si>
  <si>
    <t>C2</t>
  </si>
  <si>
    <t>D2</t>
  </si>
  <si>
    <t>E2</t>
  </si>
  <si>
    <t>F2</t>
  </si>
  <si>
    <t>G2</t>
  </si>
  <si>
    <t>A2</t>
  </si>
  <si>
    <t>B2</t>
  </si>
  <si>
    <t>C3</t>
  </si>
  <si>
    <t>D3</t>
  </si>
  <si>
    <t>E3</t>
  </si>
  <si>
    <t>F3</t>
  </si>
  <si>
    <t>G3</t>
  </si>
  <si>
    <t>A3</t>
  </si>
  <si>
    <t>B3</t>
  </si>
  <si>
    <t>Note</t>
  </si>
  <si>
    <t>Notes</t>
  </si>
  <si>
    <t>Volume</t>
  </si>
  <si>
    <t>Duration</t>
  </si>
  <si>
    <t>Noise</t>
  </si>
  <si>
    <t>C#1</t>
  </si>
  <si>
    <t>D#1</t>
  </si>
  <si>
    <t>F#1</t>
  </si>
  <si>
    <t>G#1</t>
  </si>
  <si>
    <t>A#1</t>
  </si>
  <si>
    <t>C#2</t>
  </si>
  <si>
    <t>D#2</t>
  </si>
  <si>
    <t>F#2</t>
  </si>
  <si>
    <t>G#2</t>
  </si>
  <si>
    <t>A#2</t>
  </si>
  <si>
    <t>C#3</t>
  </si>
  <si>
    <t>D#3</t>
  </si>
  <si>
    <t>F#3</t>
  </si>
  <si>
    <t>G#3</t>
  </si>
  <si>
    <t>A#3</t>
  </si>
  <si>
    <t>ID</t>
  </si>
  <si>
    <t>Time left</t>
  </si>
  <si>
    <t>Errors</t>
  </si>
  <si>
    <t>chan 1</t>
  </si>
  <si>
    <t>chan 2</t>
  </si>
  <si>
    <t>chan 3</t>
  </si>
  <si>
    <t>Size (Bytes)</t>
  </si>
  <si>
    <t>Duration (frames)</t>
  </si>
  <si>
    <t>Duration (seconds)</t>
  </si>
  <si>
    <t>Music name</t>
  </si>
  <si>
    <t>tetris</t>
  </si>
  <si>
    <t>Channel name</t>
  </si>
  <si>
    <t>bass</t>
  </si>
  <si>
    <t>channel number</t>
  </si>
  <si>
    <t>main2</t>
  </si>
  <si>
    <t>main1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</si>
</sst>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ourier New"/>
      <family val="3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Border="1" applyAlignment="1">
      <alignment horizontal="right"/>
    </xf>
    <xf numFmtId="164" fontId="0" fillId="0" borderId="0" xfId="0" applyNumberFormat="1" applyAlignment="1">
      <alignment horizontal="left"/>
    </xf>
    <xf numFmtId="0" fontId="3" fillId="2" borderId="4" xfId="0" applyFont="1" applyFill="1" applyBorder="1"/>
    <xf numFmtId="0" fontId="3" fillId="2" borderId="5" xfId="0" applyFont="1" applyFill="1" applyBorder="1"/>
    <xf numFmtId="0" fontId="3" fillId="2" borderId="2" xfId="0" applyFont="1" applyFill="1" applyBorder="1"/>
    <xf numFmtId="0" fontId="3" fillId="2" borderId="6" xfId="0" applyFont="1" applyFill="1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4" fillId="2" borderId="4" xfId="0" applyFont="1" applyFill="1" applyBorder="1"/>
    <xf numFmtId="0" fontId="3" fillId="2" borderId="3" xfId="0" applyFont="1" applyFill="1" applyBorder="1"/>
    <xf numFmtId="164" fontId="5" fillId="0" borderId="15" xfId="0" applyNumberFormat="1" applyFont="1" applyBorder="1" applyAlignment="1">
      <alignment horizontal="left"/>
    </xf>
    <xf numFmtId="0" fontId="5" fillId="0" borderId="15" xfId="0" applyFont="1" applyBorder="1"/>
    <xf numFmtId="0" fontId="0" fillId="0" borderId="0" xfId="0" applyAlignment="1"/>
    <xf numFmtId="0" fontId="6" fillId="0" borderId="0" xfId="0" applyFont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  <border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378"/>
  <sheetViews>
    <sheetView tabSelected="1" zoomScale="55" zoomScaleNormal="55" workbookViewId="0">
      <pane ySplit="1" topLeftCell="A2" activePane="bottomLeft" state="frozen"/>
      <selection pane="bottomLeft" activeCell="Y9" sqref="Y9"/>
    </sheetView>
  </sheetViews>
  <sheetFormatPr defaultRowHeight="15.75" x14ac:dyDescent="0.25"/>
  <cols>
    <col min="1" max="1" width="4.7109375" style="1" customWidth="1"/>
    <col min="2" max="2" width="5.7109375" style="9" customWidth="1"/>
    <col min="3" max="3" width="4" style="10" customWidth="1"/>
    <col min="4" max="4" width="2.7109375" style="10" customWidth="1"/>
    <col min="5" max="5" width="2.7109375" style="11" customWidth="1"/>
    <col min="6" max="6" width="4.7109375" style="18" customWidth="1"/>
    <col min="7" max="7" width="8.7109375" style="1" customWidth="1"/>
    <col min="8" max="8" width="2.7109375" customWidth="1"/>
    <col min="9" max="9" width="5.7109375" style="9" customWidth="1"/>
    <col min="10" max="10" width="4" style="10" customWidth="1"/>
    <col min="11" max="11" width="2.7109375" style="10" customWidth="1"/>
    <col min="12" max="12" width="2.7109375" style="11" customWidth="1"/>
    <col min="13" max="13" width="4.7109375" style="18" customWidth="1"/>
    <col min="14" max="14" width="8.7109375" style="1" customWidth="1"/>
    <col min="15" max="15" width="2.7109375" customWidth="1"/>
    <col min="16" max="16" width="5.7109375" style="9" customWidth="1"/>
    <col min="17" max="17" width="4" style="10" customWidth="1"/>
    <col min="18" max="18" width="2.7109375" style="10" customWidth="1"/>
    <col min="19" max="19" width="2.7109375" style="11" customWidth="1"/>
    <col min="20" max="20" width="4.7109375" style="18" customWidth="1"/>
    <col min="21" max="21" width="8.7109375" style="1" customWidth="1"/>
    <col min="22" max="22" width="2.7109375" customWidth="1"/>
    <col min="23" max="25" width="12.85546875" style="22" customWidth="1"/>
    <col min="26" max="26" width="11" bestFit="1" customWidth="1"/>
  </cols>
  <sheetData>
    <row r="1" spans="1:27" s="5" customFormat="1" ht="16.5" thickBot="1" x14ac:dyDescent="0.3">
      <c r="B1" s="6" t="s">
        <v>21</v>
      </c>
      <c r="C1" s="7" t="s">
        <v>24</v>
      </c>
      <c r="D1" s="7" t="s">
        <v>23</v>
      </c>
      <c r="E1" s="8" t="s">
        <v>25</v>
      </c>
      <c r="F1" s="19" t="s">
        <v>42</v>
      </c>
      <c r="G1" s="5" t="s">
        <v>43</v>
      </c>
      <c r="I1" s="6" t="s">
        <v>21</v>
      </c>
      <c r="J1" s="7" t="s">
        <v>24</v>
      </c>
      <c r="K1" s="7" t="s">
        <v>23</v>
      </c>
      <c r="L1" s="8" t="s">
        <v>25</v>
      </c>
      <c r="M1" s="19" t="s">
        <v>42</v>
      </c>
      <c r="N1" s="5" t="s">
        <v>43</v>
      </c>
      <c r="P1" s="6" t="s">
        <v>21</v>
      </c>
      <c r="Q1" s="7" t="s">
        <v>24</v>
      </c>
      <c r="R1" s="7" t="s">
        <v>23</v>
      </c>
      <c r="S1" s="8" t="s">
        <v>25</v>
      </c>
      <c r="T1" s="19" t="s">
        <v>42</v>
      </c>
      <c r="U1" s="5" t="s">
        <v>43</v>
      </c>
      <c r="W1" s="20" t="s">
        <v>44</v>
      </c>
      <c r="X1" s="20" t="s">
        <v>45</v>
      </c>
      <c r="Y1" s="20" t="s">
        <v>46</v>
      </c>
    </row>
    <row r="2" spans="1:27" x14ac:dyDescent="0.25">
      <c r="A2" s="1">
        <v>1</v>
      </c>
      <c r="F2" s="18">
        <f>C2</f>
        <v>0</v>
      </c>
      <c r="M2" s="18">
        <f>J2</f>
        <v>0</v>
      </c>
      <c r="T2" s="18">
        <f>Q2</f>
        <v>0</v>
      </c>
      <c r="W2" s="21" t="str">
        <f>IF(C2&gt;0,CONCATENATE("0x",(DEC2HEX(IF(B2&lt;&gt;"",VLOOKUP(B2,Notes!$A$2:$B$37,2,FALSE)*1024,0) + C2*16 + IF(D2="",7,D2)*2 + IF(E2&gt;0, 1, 0))),","),"")</f>
        <v/>
      </c>
      <c r="X2" s="21" t="str">
        <f>IF(J2&gt;0,CONCATENATE("0x",(DEC2HEX(IF(I2&lt;&gt;"",VLOOKUP(I2,Notes!$A$2:$B$37,2,FALSE)*1024,0) + J2*16 + IF(K2="",7,K2)*2 + IF(L2&gt;0, 1, 0))),","),"")</f>
        <v/>
      </c>
      <c r="Y2" s="21" t="str">
        <f>IF(Q2&gt;0,CONCATENATE("0x",(DEC2HEX(IF(P2&lt;&gt;"",VLOOKUP(P2,Notes!$A$2:$B$37,2,FALSE)*1024,0) + Q2*16 + IF(R2="",7,R2)*2 + IF(S2&gt;0, 1, 0))),","),"")</f>
        <v/>
      </c>
      <c r="AA2" s="4"/>
    </row>
    <row r="3" spans="1:27" x14ac:dyDescent="0.25">
      <c r="F3" s="18">
        <f t="shared" ref="F3:F66" si="0">IF(C3&gt;0, C3, MAX(F2-1,0))</f>
        <v>0</v>
      </c>
      <c r="G3" s="1" t="str">
        <f>IF(AND(F2&gt;1,C3&gt;0), "OVERLAPPING","")</f>
        <v/>
      </c>
      <c r="M3" s="18">
        <f t="shared" ref="M3:M66" si="1">IF(J3&gt;0, J3, MAX(M2-1,0))</f>
        <v>0</v>
      </c>
      <c r="N3" s="1" t="str">
        <f>IF(AND(M2&gt;1,J3&gt;0), "OVERLAPPING","")</f>
        <v/>
      </c>
      <c r="T3" s="18">
        <f t="shared" ref="T3:T66" si="2">IF(Q3&gt;0, Q3, MAX(T2-1,0))</f>
        <v>0</v>
      </c>
      <c r="U3" s="1" t="str">
        <f>IF(AND(T2&gt;1,Q3&gt;0), "OVERLAPPING","")</f>
        <v/>
      </c>
      <c r="W3" s="21" t="str">
        <f>IF(C3&gt;0,CONCATENATE("0x",(DEC2HEX(IF(B3&lt;&gt;"",VLOOKUP(B3,Notes!$A$2:$B$37,2,FALSE)*1024,0) + C3*16 + IF(D3="",7,D3)*2 + IF(E3&gt;0, 1, 0))),","),"")</f>
        <v/>
      </c>
      <c r="X3" s="21" t="str">
        <f>IF(J3&gt;0,CONCATENATE("0x",(DEC2HEX(IF(I3&lt;&gt;"",VLOOKUP(I3,Notes!$A$2:$B$37,2,FALSE)*1024,0) + J3*16 + IF(K3="",7,K3)*2 + IF(L3&gt;0, 1, 0))),","),"")</f>
        <v/>
      </c>
      <c r="Y3" s="21" t="str">
        <f>IF(Q3&gt;0,CONCATENATE("0x",(DEC2HEX(IF(P3&lt;&gt;"",VLOOKUP(P3,Notes!$A$2:$B$37,2,FALSE)*1024,0) + Q3*16 + IF(R3="",7,R3)*2 + IF(S3&gt;0, 1, 0))),","),"")</f>
        <v/>
      </c>
    </row>
    <row r="4" spans="1:27" x14ac:dyDescent="0.25">
      <c r="F4" s="18">
        <f t="shared" si="0"/>
        <v>0</v>
      </c>
      <c r="G4" s="1" t="str">
        <f t="shared" ref="G4:G67" si="3">IF(AND(F3&gt;1,C4&gt;0), "OVERLAPPING","")</f>
        <v/>
      </c>
      <c r="M4" s="18">
        <f t="shared" si="1"/>
        <v>0</v>
      </c>
      <c r="N4" s="1" t="str">
        <f t="shared" ref="N4:N67" si="4">IF(AND(M3&gt;1,J4&gt;0), "OVERLAPPING","")</f>
        <v/>
      </c>
      <c r="T4" s="18">
        <f t="shared" si="2"/>
        <v>0</v>
      </c>
      <c r="U4" s="1" t="str">
        <f t="shared" ref="U4:U67" si="5">IF(AND(T3&gt;1,Q4&gt;0), "OVERLAPPING","")</f>
        <v/>
      </c>
      <c r="W4" s="21" t="str">
        <f>IF(C4&gt;0,CONCATENATE("0x",(DEC2HEX(IF(B4&lt;&gt;"",VLOOKUP(B4,Notes!$A$2:$B$37,2,FALSE)*1024,0) + C4*16 + IF(D4="",7,D4)*2 + IF(E4&gt;0, 1, 0))),","),"")</f>
        <v/>
      </c>
      <c r="X4" s="21" t="str">
        <f>IF(J4&gt;0,CONCATENATE("0x",(DEC2HEX(IF(I4&lt;&gt;"",VLOOKUP(I4,Notes!$A$2:$B$37,2,FALSE)*1024,0) + J4*16 + IF(K4="",7,K4)*2 + IF(L4&gt;0, 1, 0))),","),"")</f>
        <v/>
      </c>
      <c r="Y4" s="21" t="str">
        <f>IF(Q4&gt;0,CONCATENATE("0x",(DEC2HEX(IF(P4&lt;&gt;"",VLOOKUP(P4,Notes!$A$2:$B$37,2,FALSE)*1024,0) + Q4*16 + IF(R4="",7,R4)*2 + IF(S4&gt;0, 1, 0))),","),"")</f>
        <v/>
      </c>
    </row>
    <row r="5" spans="1:27" x14ac:dyDescent="0.25">
      <c r="F5" s="18">
        <f t="shared" si="0"/>
        <v>0</v>
      </c>
      <c r="G5" s="1" t="str">
        <f t="shared" si="3"/>
        <v/>
      </c>
      <c r="M5" s="18">
        <f t="shared" si="1"/>
        <v>0</v>
      </c>
      <c r="N5" s="1" t="str">
        <f t="shared" si="4"/>
        <v/>
      </c>
      <c r="T5" s="18">
        <f t="shared" si="2"/>
        <v>0</v>
      </c>
      <c r="U5" s="1" t="str">
        <f t="shared" si="5"/>
        <v/>
      </c>
      <c r="W5" s="21" t="str">
        <f>IF(C5&gt;0,CONCATENATE("0x",(DEC2HEX(IF(B5&lt;&gt;"",VLOOKUP(B5,Notes!$A$2:$B$37,2,FALSE)*1024,0) + C5*16 + IF(D5="",7,D5)*2 + IF(E5&gt;0, 1, 0))),","),"")</f>
        <v/>
      </c>
      <c r="X5" s="21" t="str">
        <f>IF(J5&gt;0,CONCATENATE("0x",(DEC2HEX(IF(I5&lt;&gt;"",VLOOKUP(I5,Notes!$A$2:$B$37,2,FALSE)*1024,0) + J5*16 + IF(K5="",7,K5)*2 + IF(L5&gt;0, 1, 0))),","),"")</f>
        <v/>
      </c>
      <c r="Y5" s="21" t="str">
        <f>IF(Q5&gt;0,CONCATENATE("0x",(DEC2HEX(IF(P5&lt;&gt;"",VLOOKUP(P5,Notes!$A$2:$B$37,2,FALSE)*1024,0) + Q5*16 + IF(R5="",7,R5)*2 + IF(S5&gt;0, 1, 0))),","),"")</f>
        <v/>
      </c>
    </row>
    <row r="6" spans="1:27" x14ac:dyDescent="0.25">
      <c r="F6" s="18">
        <f t="shared" si="0"/>
        <v>0</v>
      </c>
      <c r="G6" s="1" t="str">
        <f t="shared" si="3"/>
        <v/>
      </c>
      <c r="M6" s="18">
        <f t="shared" si="1"/>
        <v>0</v>
      </c>
      <c r="N6" s="1" t="str">
        <f t="shared" si="4"/>
        <v/>
      </c>
      <c r="T6" s="18">
        <f t="shared" si="2"/>
        <v>0</v>
      </c>
      <c r="U6" s="1" t="str">
        <f t="shared" si="5"/>
        <v/>
      </c>
      <c r="W6" s="21" t="str">
        <f>IF(C6&gt;0,CONCATENATE("0x",(DEC2HEX(IF(B6&lt;&gt;"",VLOOKUP(B6,Notes!$A$2:$B$37,2,FALSE)*1024,0) + C6*16 + IF(D6="",7,D6)*2 + IF(E6&gt;0, 1, 0))),","),"")</f>
        <v/>
      </c>
      <c r="X6" s="21" t="str">
        <f>IF(J6&gt;0,CONCATENATE("0x",(DEC2HEX(IF(I6&lt;&gt;"",VLOOKUP(I6,Notes!$A$2:$B$37,2,FALSE)*1024,0) + J6*16 + IF(K6="",7,K6)*2 + IF(L6&gt;0, 1, 0))),","),"")</f>
        <v/>
      </c>
      <c r="Y6" s="21" t="str">
        <f>IF(Q6&gt;0,CONCATENATE("0x",(DEC2HEX(IF(P6&lt;&gt;"",VLOOKUP(P6,Notes!$A$2:$B$37,2,FALSE)*1024,0) + Q6*16 + IF(R6="",7,R6)*2 + IF(S6&gt;0, 1, 0))),","),"")</f>
        <v/>
      </c>
    </row>
    <row r="7" spans="1:27" x14ac:dyDescent="0.25">
      <c r="F7" s="18">
        <f t="shared" si="0"/>
        <v>0</v>
      </c>
      <c r="M7" s="18">
        <f t="shared" si="1"/>
        <v>0</v>
      </c>
      <c r="N7" s="1" t="str">
        <f t="shared" si="4"/>
        <v/>
      </c>
      <c r="T7" s="18">
        <f t="shared" si="2"/>
        <v>0</v>
      </c>
      <c r="U7" s="1" t="str">
        <f t="shared" si="5"/>
        <v/>
      </c>
      <c r="W7" s="21" t="str">
        <f>IF(C7&gt;0,CONCATENATE("0x",(DEC2HEX(IF(B7&lt;&gt;"",VLOOKUP(B7,Notes!$A$2:$B$37,2,FALSE)*1024,0) + C7*16 + IF(D7="",7,D7)*2 + IF(E7&gt;0, 1, 0))),","),"")</f>
        <v/>
      </c>
      <c r="X7" s="21" t="str">
        <f>IF(J7&gt;0,CONCATENATE("0x",(DEC2HEX(IF(I7&lt;&gt;"",VLOOKUP(I7,Notes!$A$2:$B$37,2,FALSE)*1024,0) + J7*16 + IF(K7="",7,K7)*2 + IF(L7&gt;0, 1, 0))),","),"")</f>
        <v/>
      </c>
      <c r="Y7" s="21" t="str">
        <f>IF(Q7&gt;0,CONCATENATE("0x",(DEC2HEX(IF(P7&lt;&gt;"",VLOOKUP(P7,Notes!$A$2:$B$37,2,FALSE)*1024,0) + Q7*16 + IF(R7="",7,R7)*2 + IF(S7&gt;0, 1, 0))),","),"")</f>
        <v/>
      </c>
    </row>
    <row r="8" spans="1:27" x14ac:dyDescent="0.25">
      <c r="F8" s="18">
        <f t="shared" si="0"/>
        <v>0</v>
      </c>
      <c r="M8" s="18">
        <f t="shared" si="1"/>
        <v>0</v>
      </c>
      <c r="N8" s="1" t="str">
        <f t="shared" si="4"/>
        <v/>
      </c>
      <c r="T8" s="18">
        <f t="shared" si="2"/>
        <v>0</v>
      </c>
      <c r="U8" s="1" t="str">
        <f t="shared" si="5"/>
        <v/>
      </c>
      <c r="W8" s="21" t="str">
        <f>IF(C8&gt;0,CONCATENATE("0x",(DEC2HEX(IF(B8&lt;&gt;"",VLOOKUP(B8,Notes!$A$2:$B$37,2,FALSE)*1024,0) + C8*16 + IF(D8="",7,D8)*2 + IF(E8&gt;0, 1, 0))),","),"")</f>
        <v/>
      </c>
      <c r="X8" s="21" t="str">
        <f>IF(J8&gt;0,CONCATENATE("0x",(DEC2HEX(IF(I8&lt;&gt;"",VLOOKUP(I8,Notes!$A$2:$B$37,2,FALSE)*1024,0) + J8*16 + IF(K8="",7,K8)*2 + IF(L8&gt;0, 1, 0))),","),"")</f>
        <v/>
      </c>
      <c r="Y8" s="21" t="str">
        <f>IF(Q8&gt;0,CONCATENATE("0x",(DEC2HEX(IF(P8&lt;&gt;"",VLOOKUP(P8,Notes!$A$2:$B$37,2,FALSE)*1024,0) + Q8*16 + IF(R8="",7,R8)*2 + IF(S8&gt;0, 1, 0))),","),"")</f>
        <v/>
      </c>
    </row>
    <row r="9" spans="1:27" x14ac:dyDescent="0.25">
      <c r="B9" s="12"/>
      <c r="C9" s="13"/>
      <c r="D9" s="13"/>
      <c r="E9" s="14"/>
      <c r="F9" s="18">
        <f t="shared" si="0"/>
        <v>0</v>
      </c>
      <c r="I9" s="12"/>
      <c r="J9" s="13"/>
      <c r="K9" s="13"/>
      <c r="L9" s="14"/>
      <c r="M9" s="18">
        <f t="shared" si="1"/>
        <v>0</v>
      </c>
      <c r="N9" s="1" t="str">
        <f t="shared" si="4"/>
        <v/>
      </c>
      <c r="P9" s="12"/>
      <c r="Q9" s="13"/>
      <c r="R9" s="13"/>
      <c r="S9" s="14"/>
      <c r="T9" s="18">
        <f t="shared" si="2"/>
        <v>0</v>
      </c>
      <c r="U9" s="1" t="str">
        <f t="shared" si="5"/>
        <v/>
      </c>
      <c r="W9" s="21" t="str">
        <f>IF(C9&gt;0,CONCATENATE("0x",(DEC2HEX(IF(B9&lt;&gt;"",VLOOKUP(B9,Notes!$A$2:$B$37,2,FALSE)*1024,0) + C9*16 + IF(D9="",7,D9)*2 + IF(E9&gt;0, 1, 0))),","),"")</f>
        <v/>
      </c>
      <c r="X9" s="21" t="str">
        <f>IF(J9&gt;0,CONCATENATE("0x",(DEC2HEX(IF(I9&lt;&gt;"",VLOOKUP(I9,Notes!$A$2:$B$37,2,FALSE)*1024,0) + J9*16 + IF(K9="",7,K9)*2 + IF(L9&gt;0, 1, 0))),","),"")</f>
        <v/>
      </c>
      <c r="Y9" s="21" t="str">
        <f>IF(Q9&gt;0,CONCATENATE("0x",(DEC2HEX(IF(P9&lt;&gt;"",VLOOKUP(P9,Notes!$A$2:$B$37,2,FALSE)*1024,0) + Q9*16 + IF(R9="",7,R9)*2 + IF(S9&gt;0, 1, 0))),","),"")</f>
        <v/>
      </c>
    </row>
    <row r="10" spans="1:27" x14ac:dyDescent="0.25">
      <c r="F10" s="18">
        <f t="shared" si="0"/>
        <v>0</v>
      </c>
      <c r="M10" s="18">
        <f t="shared" si="1"/>
        <v>0</v>
      </c>
      <c r="N10" s="1" t="str">
        <f t="shared" si="4"/>
        <v/>
      </c>
      <c r="T10" s="18">
        <f t="shared" si="2"/>
        <v>0</v>
      </c>
      <c r="U10" s="1" t="str">
        <f t="shared" si="5"/>
        <v/>
      </c>
      <c r="W10" s="21" t="str">
        <f>IF(C10&gt;0,CONCATENATE("0x",(DEC2HEX(IF(B10&lt;&gt;"",VLOOKUP(B10,Notes!$A$2:$B$37,2,FALSE)*1024,0) + C10*16 + IF(D10="",7,D10)*2 + IF(E10&gt;0, 1, 0))),","),"")</f>
        <v/>
      </c>
      <c r="X10" s="21" t="str">
        <f>IF(J10&gt;0,CONCATENATE("0x",(DEC2HEX(IF(I10&lt;&gt;"",VLOOKUP(I10,Notes!$A$2:$B$37,2,FALSE)*1024,0) + J10*16 + IF(K10="",7,K10)*2 + IF(L10&gt;0, 1, 0))),","),"")</f>
        <v/>
      </c>
      <c r="Y10" s="21" t="str">
        <f>IF(Q10&gt;0,CONCATENATE("0x",(DEC2HEX(IF(P10&lt;&gt;"",VLOOKUP(P10,Notes!$A$2:$B$37,2,FALSE)*1024,0) + Q10*16 + IF(R10="",7,R10)*2 + IF(S10&gt;0, 1, 0))),","),"")</f>
        <v/>
      </c>
    </row>
    <row r="11" spans="1:27" x14ac:dyDescent="0.25">
      <c r="F11" s="18">
        <f t="shared" si="0"/>
        <v>0</v>
      </c>
      <c r="M11" s="18">
        <f t="shared" si="1"/>
        <v>0</v>
      </c>
      <c r="N11" s="1" t="str">
        <f t="shared" si="4"/>
        <v/>
      </c>
      <c r="T11" s="18">
        <f t="shared" si="2"/>
        <v>0</v>
      </c>
      <c r="U11" s="1" t="str">
        <f t="shared" si="5"/>
        <v/>
      </c>
      <c r="W11" s="21" t="str">
        <f>IF(C11&gt;0,CONCATENATE("0x",(DEC2HEX(IF(B11&lt;&gt;"",VLOOKUP(B11,Notes!$A$2:$B$37,2,FALSE)*1024,0) + C11*16 + IF(D11="",7,D11)*2 + IF(E11&gt;0, 1, 0))),","),"")</f>
        <v/>
      </c>
      <c r="X11" s="21" t="str">
        <f>IF(J11&gt;0,CONCATENATE("0x",(DEC2HEX(IF(I11&lt;&gt;"",VLOOKUP(I11,Notes!$A$2:$B$37,2,FALSE)*1024,0) + J11*16 + IF(K11="",7,K11)*2 + IF(L11&gt;0, 1, 0))),","),"")</f>
        <v/>
      </c>
      <c r="Y11" s="21" t="str">
        <f>IF(Q11&gt;0,CONCATENATE("0x",(DEC2HEX(IF(P11&lt;&gt;"",VLOOKUP(P11,Notes!$A$2:$B$37,2,FALSE)*1024,0) + Q11*16 + IF(R11="",7,R11)*2 + IF(S11&gt;0, 1, 0))),","),"")</f>
        <v/>
      </c>
    </row>
    <row r="12" spans="1:27" x14ac:dyDescent="0.25">
      <c r="F12" s="18">
        <f t="shared" si="0"/>
        <v>0</v>
      </c>
      <c r="M12" s="18">
        <f t="shared" si="1"/>
        <v>0</v>
      </c>
      <c r="N12" s="1" t="str">
        <f t="shared" si="4"/>
        <v/>
      </c>
      <c r="T12" s="18">
        <f t="shared" si="2"/>
        <v>0</v>
      </c>
      <c r="U12" s="1" t="str">
        <f t="shared" si="5"/>
        <v/>
      </c>
      <c r="W12" s="21" t="str">
        <f>IF(C12&gt;0,CONCATENATE("0x",(DEC2HEX(IF(B12&lt;&gt;"",VLOOKUP(B12,Notes!$A$2:$B$37,2,FALSE)*1024,0) + C12*16 + IF(D12="",7,D12)*2 + IF(E12&gt;0, 1, 0))),","),"")</f>
        <v/>
      </c>
      <c r="X12" s="21" t="str">
        <f>IF(J12&gt;0,CONCATENATE("0x",(DEC2HEX(IF(I12&lt;&gt;"",VLOOKUP(I12,Notes!$A$2:$B$37,2,FALSE)*1024,0) + J12*16 + IF(K12="",7,K12)*2 + IF(L12&gt;0, 1, 0))),","),"")</f>
        <v/>
      </c>
      <c r="Y12" s="21" t="str">
        <f>IF(Q12&gt;0,CONCATENATE("0x",(DEC2HEX(IF(P12&lt;&gt;"",VLOOKUP(P12,Notes!$A$2:$B$37,2,FALSE)*1024,0) + Q12*16 + IF(R12="",7,R12)*2 + IF(S12&gt;0, 1, 0))),","),"")</f>
        <v/>
      </c>
    </row>
    <row r="13" spans="1:27" x14ac:dyDescent="0.25">
      <c r="F13" s="18">
        <f t="shared" si="0"/>
        <v>0</v>
      </c>
      <c r="M13" s="18">
        <f t="shared" si="1"/>
        <v>0</v>
      </c>
      <c r="N13" s="1" t="str">
        <f t="shared" si="4"/>
        <v/>
      </c>
      <c r="T13" s="18">
        <f t="shared" si="2"/>
        <v>0</v>
      </c>
      <c r="U13" s="1" t="str">
        <f t="shared" si="5"/>
        <v/>
      </c>
      <c r="W13" s="21" t="str">
        <f>IF(C13&gt;0,CONCATENATE("0x",(DEC2HEX(IF(B13&lt;&gt;"",VLOOKUP(B13,Notes!$A$2:$B$37,2,FALSE)*1024,0) + C13*16 + IF(D13="",7,D13)*2 + IF(E13&gt;0, 1, 0))),","),"")</f>
        <v/>
      </c>
      <c r="X13" s="21" t="str">
        <f>IF(J13&gt;0,CONCATENATE("0x",(DEC2HEX(IF(I13&lt;&gt;"",VLOOKUP(I13,Notes!$A$2:$B$37,2,FALSE)*1024,0) + J13*16 + IF(K13="",7,K13)*2 + IF(L13&gt;0, 1, 0))),","),"")</f>
        <v/>
      </c>
      <c r="Y13" s="21" t="str">
        <f>IF(Q13&gt;0,CONCATENATE("0x",(DEC2HEX(IF(P13&lt;&gt;"",VLOOKUP(P13,Notes!$A$2:$B$37,2,FALSE)*1024,0) + Q13*16 + IF(R13="",7,R13)*2 + IF(S13&gt;0, 1, 0))),","),"")</f>
        <v/>
      </c>
    </row>
    <row r="14" spans="1:27" x14ac:dyDescent="0.25">
      <c r="F14" s="18">
        <f t="shared" si="0"/>
        <v>0</v>
      </c>
      <c r="M14" s="18">
        <f t="shared" si="1"/>
        <v>0</v>
      </c>
      <c r="N14" s="1" t="str">
        <f t="shared" si="4"/>
        <v/>
      </c>
      <c r="T14" s="18">
        <f t="shared" si="2"/>
        <v>0</v>
      </c>
      <c r="U14" s="1" t="str">
        <f t="shared" si="5"/>
        <v/>
      </c>
      <c r="W14" s="21" t="str">
        <f>IF(C14&gt;0,CONCATENATE("0x",(DEC2HEX(IF(B14&lt;&gt;"",VLOOKUP(B14,Notes!$A$2:$B$37,2,FALSE)*1024,0) + C14*16 + IF(D14="",7,D14)*2 + IF(E14&gt;0, 1, 0))),","),"")</f>
        <v/>
      </c>
      <c r="X14" s="21" t="str">
        <f>IF(J14&gt;0,CONCATENATE("0x",(DEC2HEX(IF(I14&lt;&gt;"",VLOOKUP(I14,Notes!$A$2:$B$37,2,FALSE)*1024,0) + J14*16 + IF(K14="",7,K14)*2 + IF(L14&gt;0, 1, 0))),","),"")</f>
        <v/>
      </c>
      <c r="Y14" s="21" t="str">
        <f>IF(Q14&gt;0,CONCATENATE("0x",(DEC2HEX(IF(P14&lt;&gt;"",VLOOKUP(P14,Notes!$A$2:$B$37,2,FALSE)*1024,0) + Q14*16 + IF(R14="",7,R14)*2 + IF(S14&gt;0, 1, 0))),","),"")</f>
        <v/>
      </c>
    </row>
    <row r="15" spans="1:27" x14ac:dyDescent="0.25">
      <c r="F15" s="18">
        <f t="shared" si="0"/>
        <v>0</v>
      </c>
      <c r="M15" s="18">
        <f t="shared" si="1"/>
        <v>0</v>
      </c>
      <c r="N15" s="1" t="str">
        <f t="shared" si="4"/>
        <v/>
      </c>
      <c r="T15" s="18">
        <f t="shared" si="2"/>
        <v>0</v>
      </c>
      <c r="U15" s="1" t="str">
        <f t="shared" si="5"/>
        <v/>
      </c>
      <c r="W15" s="21" t="str">
        <f>IF(C15&gt;0,CONCATENATE("0x",(DEC2HEX(IF(B15&lt;&gt;"",VLOOKUP(B15,Notes!$A$2:$B$37,2,FALSE)*1024,0) + C15*16 + IF(D15="",7,D15)*2 + IF(E15&gt;0, 1, 0))),","),"")</f>
        <v/>
      </c>
      <c r="X15" s="21" t="str">
        <f>IF(J15&gt;0,CONCATENATE("0x",(DEC2HEX(IF(I15&lt;&gt;"",VLOOKUP(I15,Notes!$A$2:$B$37,2,FALSE)*1024,0) + J15*16 + IF(K15="",7,K15)*2 + IF(L15&gt;0, 1, 0))),","),"")</f>
        <v/>
      </c>
      <c r="Y15" s="21" t="str">
        <f>IF(Q15&gt;0,CONCATENATE("0x",(DEC2HEX(IF(P15&lt;&gt;"",VLOOKUP(P15,Notes!$A$2:$B$37,2,FALSE)*1024,0) + Q15*16 + IF(R15="",7,R15)*2 + IF(S15&gt;0, 1, 0))),","),"")</f>
        <v/>
      </c>
    </row>
    <row r="16" spans="1:27" x14ac:dyDescent="0.25">
      <c r="F16" s="18">
        <f t="shared" si="0"/>
        <v>0</v>
      </c>
      <c r="M16" s="18">
        <f t="shared" si="1"/>
        <v>0</v>
      </c>
      <c r="N16" s="1" t="str">
        <f t="shared" si="4"/>
        <v/>
      </c>
      <c r="T16" s="18">
        <f t="shared" si="2"/>
        <v>0</v>
      </c>
      <c r="U16" s="1" t="str">
        <f t="shared" si="5"/>
        <v/>
      </c>
      <c r="W16" s="21" t="str">
        <f>IF(C16&gt;0,CONCATENATE("0x",(DEC2HEX(IF(B16&lt;&gt;"",VLOOKUP(B16,Notes!$A$2:$B$37,2,FALSE)*1024,0) + C16*16 + IF(D16="",7,D16)*2 + IF(E16&gt;0, 1, 0))),","),"")</f>
        <v/>
      </c>
      <c r="X16" s="21" t="str">
        <f>IF(J16&gt;0,CONCATENATE("0x",(DEC2HEX(IF(I16&lt;&gt;"",VLOOKUP(I16,Notes!$A$2:$B$37,2,FALSE)*1024,0) + J16*16 + IF(K16="",7,K16)*2 + IF(L16&gt;0, 1, 0))),","),"")</f>
        <v/>
      </c>
      <c r="Y16" s="21" t="str">
        <f>IF(Q16&gt;0,CONCATENATE("0x",(DEC2HEX(IF(P16&lt;&gt;"",VLOOKUP(P16,Notes!$A$2:$B$37,2,FALSE)*1024,0) + Q16*16 + IF(R16="",7,R16)*2 + IF(S16&gt;0, 1, 0))),","),"")</f>
        <v/>
      </c>
    </row>
    <row r="17" spans="2:25" x14ac:dyDescent="0.25">
      <c r="B17" s="12"/>
      <c r="C17" s="13"/>
      <c r="D17" s="13"/>
      <c r="E17" s="14"/>
      <c r="F17" s="18">
        <f t="shared" si="0"/>
        <v>0</v>
      </c>
      <c r="I17" s="12"/>
      <c r="J17" s="13"/>
      <c r="K17" s="13"/>
      <c r="L17" s="14"/>
      <c r="M17" s="18">
        <f t="shared" si="1"/>
        <v>0</v>
      </c>
      <c r="N17" s="1" t="str">
        <f t="shared" si="4"/>
        <v/>
      </c>
      <c r="P17" s="12"/>
      <c r="Q17" s="13"/>
      <c r="R17" s="13"/>
      <c r="S17" s="14"/>
      <c r="T17" s="18">
        <f t="shared" si="2"/>
        <v>0</v>
      </c>
      <c r="U17" s="1" t="str">
        <f t="shared" si="5"/>
        <v/>
      </c>
      <c r="W17" s="21" t="str">
        <f>IF(C17&gt;0,CONCATENATE("0x",(DEC2HEX(IF(B17&lt;&gt;"",VLOOKUP(B17,Notes!$A$2:$B$37,2,FALSE)*1024,0) + C17*16 + IF(D17="",7,D17)*2 + IF(E17&gt;0, 1, 0))),","),"")</f>
        <v/>
      </c>
      <c r="X17" s="21" t="str">
        <f>IF(J17&gt;0,CONCATENATE("0x",(DEC2HEX(IF(I17&lt;&gt;"",VLOOKUP(I17,Notes!$A$2:$B$37,2,FALSE)*1024,0) + J17*16 + IF(K17="",7,K17)*2 + IF(L17&gt;0, 1, 0))),","),"")</f>
        <v/>
      </c>
      <c r="Y17" s="21" t="str">
        <f>IF(Q17&gt;0,CONCATENATE("0x",(DEC2HEX(IF(P17&lt;&gt;"",VLOOKUP(P17,Notes!$A$2:$B$37,2,FALSE)*1024,0) + Q17*16 + IF(R17="",7,R17)*2 + IF(S17&gt;0, 1, 0))),","),"")</f>
        <v/>
      </c>
    </row>
    <row r="18" spans="2:25" x14ac:dyDescent="0.25">
      <c r="F18" s="18">
        <f t="shared" si="0"/>
        <v>0</v>
      </c>
      <c r="M18" s="18">
        <f t="shared" si="1"/>
        <v>0</v>
      </c>
      <c r="N18" s="1" t="str">
        <f t="shared" si="4"/>
        <v/>
      </c>
      <c r="T18" s="18">
        <f t="shared" si="2"/>
        <v>0</v>
      </c>
      <c r="U18" s="1" t="str">
        <f t="shared" si="5"/>
        <v/>
      </c>
      <c r="W18" s="21" t="str">
        <f>IF(C18&gt;0,CONCATENATE("0x",(DEC2HEX(IF(B18&lt;&gt;"",VLOOKUP(B18,Notes!$A$2:$B$37,2,FALSE)*1024,0) + C18*16 + IF(D18="",7,D18)*2 + IF(E18&gt;0, 1, 0))),","),"")</f>
        <v/>
      </c>
      <c r="X18" s="21" t="str">
        <f>IF(J18&gt;0,CONCATENATE("0x",(DEC2HEX(IF(I18&lt;&gt;"",VLOOKUP(I18,Notes!$A$2:$B$37,2,FALSE)*1024,0) + J18*16 + IF(K18="",7,K18)*2 + IF(L18&gt;0, 1, 0))),","),"")</f>
        <v/>
      </c>
      <c r="Y18" s="21" t="str">
        <f>IF(Q18&gt;0,CONCATENATE("0x",(DEC2HEX(IF(P18&lt;&gt;"",VLOOKUP(P18,Notes!$A$2:$B$37,2,FALSE)*1024,0) + Q18*16 + IF(R18="",7,R18)*2 + IF(S18&gt;0, 1, 0))),","),"")</f>
        <v/>
      </c>
    </row>
    <row r="19" spans="2:25" x14ac:dyDescent="0.25">
      <c r="F19" s="18">
        <f t="shared" si="0"/>
        <v>0</v>
      </c>
      <c r="M19" s="18">
        <f t="shared" si="1"/>
        <v>0</v>
      </c>
      <c r="N19" s="1" t="str">
        <f t="shared" si="4"/>
        <v/>
      </c>
      <c r="T19" s="18">
        <f t="shared" si="2"/>
        <v>0</v>
      </c>
      <c r="U19" s="1" t="str">
        <f t="shared" si="5"/>
        <v/>
      </c>
      <c r="W19" s="21" t="str">
        <f>IF(C19&gt;0,CONCATENATE("0x",(DEC2HEX(IF(B19&lt;&gt;"",VLOOKUP(B19,Notes!$A$2:$B$37,2,FALSE)*1024,0) + C19*16 + IF(D19="",7,D19)*2 + IF(E19&gt;0, 1, 0))),","),"")</f>
        <v/>
      </c>
      <c r="X19" s="21" t="str">
        <f>IF(J19&gt;0,CONCATENATE("0x",(DEC2HEX(IF(I19&lt;&gt;"",VLOOKUP(I19,Notes!$A$2:$B$37,2,FALSE)*1024,0) + J19*16 + IF(K19="",7,K19)*2 + IF(L19&gt;0, 1, 0))),","),"")</f>
        <v/>
      </c>
      <c r="Y19" s="21" t="str">
        <f>IF(Q19&gt;0,CONCATENATE("0x",(DEC2HEX(IF(P19&lt;&gt;"",VLOOKUP(P19,Notes!$A$2:$B$37,2,FALSE)*1024,0) + Q19*16 + IF(R19="",7,R19)*2 + IF(S19&gt;0, 1, 0))),","),"")</f>
        <v/>
      </c>
    </row>
    <row r="20" spans="2:25" x14ac:dyDescent="0.25">
      <c r="F20" s="18">
        <f t="shared" si="0"/>
        <v>0</v>
      </c>
      <c r="M20" s="18">
        <f t="shared" si="1"/>
        <v>0</v>
      </c>
      <c r="N20" s="1" t="str">
        <f t="shared" si="4"/>
        <v/>
      </c>
      <c r="T20" s="18">
        <f t="shared" si="2"/>
        <v>0</v>
      </c>
      <c r="U20" s="1" t="str">
        <f t="shared" si="5"/>
        <v/>
      </c>
      <c r="W20" s="21" t="str">
        <f>IF(C20&gt;0,CONCATENATE("0x",(DEC2HEX(IF(B20&lt;&gt;"",VLOOKUP(B20,Notes!$A$2:$B$37,2,FALSE)*1024,0) + C20*16 + IF(D20="",7,D20)*2 + IF(E20&gt;0, 1, 0))),","),"")</f>
        <v/>
      </c>
      <c r="X20" s="21" t="str">
        <f>IF(J20&gt;0,CONCATENATE("0x",(DEC2HEX(IF(I20&lt;&gt;"",VLOOKUP(I20,Notes!$A$2:$B$37,2,FALSE)*1024,0) + J20*16 + IF(K20="",7,K20)*2 + IF(L20&gt;0, 1, 0))),","),"")</f>
        <v/>
      </c>
      <c r="Y20" s="21" t="str">
        <f>IF(Q20&gt;0,CONCATENATE("0x",(DEC2HEX(IF(P20&lt;&gt;"",VLOOKUP(P20,Notes!$A$2:$B$37,2,FALSE)*1024,0) + Q20*16 + IF(R20="",7,R20)*2 + IF(S20&gt;0, 1, 0))),","),"")</f>
        <v/>
      </c>
    </row>
    <row r="21" spans="2:25" x14ac:dyDescent="0.25">
      <c r="F21" s="18">
        <f t="shared" si="0"/>
        <v>0</v>
      </c>
      <c r="M21" s="18">
        <f t="shared" si="1"/>
        <v>0</v>
      </c>
      <c r="N21" s="1" t="str">
        <f t="shared" si="4"/>
        <v/>
      </c>
      <c r="T21" s="18">
        <f t="shared" si="2"/>
        <v>0</v>
      </c>
      <c r="U21" s="1" t="str">
        <f t="shared" si="5"/>
        <v/>
      </c>
      <c r="W21" s="21" t="str">
        <f>IF(C21&gt;0,CONCATENATE("0x",(DEC2HEX(IF(B21&lt;&gt;"",VLOOKUP(B21,Notes!$A$2:$B$37,2,FALSE)*1024,0) + C21*16 + IF(D21="",7,D21)*2 + IF(E21&gt;0, 1, 0))),","),"")</f>
        <v/>
      </c>
      <c r="X21" s="21" t="str">
        <f>IF(J21&gt;0,CONCATENATE("0x",(DEC2HEX(IF(I21&lt;&gt;"",VLOOKUP(I21,Notes!$A$2:$B$37,2,FALSE)*1024,0) + J21*16 + IF(K21="",7,K21)*2 + IF(L21&gt;0, 1, 0))),","),"")</f>
        <v/>
      </c>
      <c r="Y21" s="21" t="str">
        <f>IF(Q21&gt;0,CONCATENATE("0x",(DEC2HEX(IF(P21&lt;&gt;"",VLOOKUP(P21,Notes!$A$2:$B$37,2,FALSE)*1024,0) + Q21*16 + IF(R21="",7,R21)*2 + IF(S21&gt;0, 1, 0))),","),"")</f>
        <v/>
      </c>
    </row>
    <row r="22" spans="2:25" x14ac:dyDescent="0.25">
      <c r="F22" s="18">
        <f t="shared" si="0"/>
        <v>0</v>
      </c>
      <c r="M22" s="18">
        <f t="shared" si="1"/>
        <v>0</v>
      </c>
      <c r="N22" s="1" t="str">
        <f t="shared" si="4"/>
        <v/>
      </c>
      <c r="T22" s="18">
        <f t="shared" si="2"/>
        <v>0</v>
      </c>
      <c r="U22" s="1" t="str">
        <f t="shared" si="5"/>
        <v/>
      </c>
      <c r="W22" s="21" t="str">
        <f>IF(C22&gt;0,CONCATENATE("0x",(DEC2HEX(IF(B22&lt;&gt;"",VLOOKUP(B22,Notes!$A$2:$B$37,2,FALSE)*1024,0) + C22*16 + IF(D22="",7,D22)*2 + IF(E22&gt;0, 1, 0))),","),"")</f>
        <v/>
      </c>
      <c r="X22" s="21" t="str">
        <f>IF(J22&gt;0,CONCATENATE("0x",(DEC2HEX(IF(I22&lt;&gt;"",VLOOKUP(I22,Notes!$A$2:$B$37,2,FALSE)*1024,0) + J22*16 + IF(K22="",7,K22)*2 + IF(L22&gt;0, 1, 0))),","),"")</f>
        <v/>
      </c>
      <c r="Y22" s="21" t="str">
        <f>IF(Q22&gt;0,CONCATENATE("0x",(DEC2HEX(IF(P22&lt;&gt;"",VLOOKUP(P22,Notes!$A$2:$B$37,2,FALSE)*1024,0) + Q22*16 + IF(R22="",7,R22)*2 + IF(S22&gt;0, 1, 0))),","),"")</f>
        <v/>
      </c>
    </row>
    <row r="23" spans="2:25" x14ac:dyDescent="0.25">
      <c r="F23" s="18">
        <f t="shared" si="0"/>
        <v>0</v>
      </c>
      <c r="G23" s="1" t="str">
        <f t="shared" si="3"/>
        <v/>
      </c>
      <c r="M23" s="18">
        <f t="shared" si="1"/>
        <v>0</v>
      </c>
      <c r="N23" s="1" t="str">
        <f t="shared" si="4"/>
        <v/>
      </c>
      <c r="T23" s="18">
        <f t="shared" si="2"/>
        <v>0</v>
      </c>
      <c r="U23" s="1" t="str">
        <f t="shared" si="5"/>
        <v/>
      </c>
      <c r="W23" s="21" t="str">
        <f>IF(C23&gt;0,CONCATENATE("0x",(DEC2HEX(IF(B23&lt;&gt;"",VLOOKUP(B23,Notes!$A$2:$B$37,2,FALSE)*1024,0) + C23*16 + IF(D23="",7,D23)*2 + IF(E23&gt;0, 1, 0))),","),"")</f>
        <v/>
      </c>
      <c r="X23" s="21" t="str">
        <f>IF(J23&gt;0,CONCATENATE("0x",(DEC2HEX(IF(I23&lt;&gt;"",VLOOKUP(I23,Notes!$A$2:$B$37,2,FALSE)*1024,0) + J23*16 + IF(K23="",7,K23)*2 + IF(L23&gt;0, 1, 0))),","),"")</f>
        <v/>
      </c>
      <c r="Y23" s="21" t="str">
        <f>IF(Q23&gt;0,CONCATENATE("0x",(DEC2HEX(IF(P23&lt;&gt;"",VLOOKUP(P23,Notes!$A$2:$B$37,2,FALSE)*1024,0) + Q23*16 + IF(R23="",7,R23)*2 + IF(S23&gt;0, 1, 0))),","),"")</f>
        <v/>
      </c>
    </row>
    <row r="24" spans="2:25" x14ac:dyDescent="0.25">
      <c r="F24" s="18">
        <f t="shared" si="0"/>
        <v>0</v>
      </c>
      <c r="G24" s="1" t="str">
        <f t="shared" si="3"/>
        <v/>
      </c>
      <c r="M24" s="18">
        <f t="shared" si="1"/>
        <v>0</v>
      </c>
      <c r="N24" s="1" t="str">
        <f t="shared" si="4"/>
        <v/>
      </c>
      <c r="T24" s="18">
        <f t="shared" si="2"/>
        <v>0</v>
      </c>
      <c r="U24" s="1" t="str">
        <f t="shared" si="5"/>
        <v/>
      </c>
      <c r="W24" s="21" t="str">
        <f>IF(C24&gt;0,CONCATENATE("0x",(DEC2HEX(IF(B24&lt;&gt;"",VLOOKUP(B24,Notes!$A$2:$B$37,2,FALSE)*1024,0) + C24*16 + IF(D24="",7,D24)*2 + IF(E24&gt;0, 1, 0))),","),"")</f>
        <v/>
      </c>
      <c r="X24" s="21" t="str">
        <f>IF(J24&gt;0,CONCATENATE("0x",(DEC2HEX(IF(I24&lt;&gt;"",VLOOKUP(I24,Notes!$A$2:$B$37,2,FALSE)*1024,0) + J24*16 + IF(K24="",7,K24)*2 + IF(L24&gt;0, 1, 0))),","),"")</f>
        <v/>
      </c>
      <c r="Y24" s="21" t="str">
        <f>IF(Q24&gt;0,CONCATENATE("0x",(DEC2HEX(IF(P24&lt;&gt;"",VLOOKUP(P24,Notes!$A$2:$B$37,2,FALSE)*1024,0) + Q24*16 + IF(R24="",7,R24)*2 + IF(S24&gt;0, 1, 0))),","),"")</f>
        <v/>
      </c>
    </row>
    <row r="25" spans="2:25" x14ac:dyDescent="0.25">
      <c r="B25" s="12"/>
      <c r="C25" s="13"/>
      <c r="D25" s="13"/>
      <c r="E25" s="14"/>
      <c r="F25" s="18">
        <f t="shared" si="0"/>
        <v>0</v>
      </c>
      <c r="G25" s="1" t="str">
        <f t="shared" si="3"/>
        <v/>
      </c>
      <c r="I25" s="12"/>
      <c r="J25" s="13"/>
      <c r="K25" s="13"/>
      <c r="L25" s="14"/>
      <c r="M25" s="18">
        <f t="shared" si="1"/>
        <v>0</v>
      </c>
      <c r="N25" s="1" t="str">
        <f t="shared" si="4"/>
        <v/>
      </c>
      <c r="P25" s="12"/>
      <c r="Q25" s="13"/>
      <c r="R25" s="13"/>
      <c r="S25" s="14"/>
      <c r="T25" s="18">
        <f t="shared" si="2"/>
        <v>0</v>
      </c>
      <c r="U25" s="1" t="str">
        <f t="shared" si="5"/>
        <v/>
      </c>
      <c r="W25" s="21" t="str">
        <f>IF(C25&gt;0,CONCATENATE("0x",(DEC2HEX(IF(B25&lt;&gt;"",VLOOKUP(B25,Notes!$A$2:$B$37,2,FALSE)*1024,0) + C25*16 + IF(D25="",7,D25)*2 + IF(E25&gt;0, 1, 0))),","),"")</f>
        <v/>
      </c>
      <c r="X25" s="21" t="str">
        <f>IF(J25&gt;0,CONCATENATE("0x",(DEC2HEX(IF(I25&lt;&gt;"",VLOOKUP(I25,Notes!$A$2:$B$37,2,FALSE)*1024,0) + J25*16 + IF(K25="",7,K25)*2 + IF(L25&gt;0, 1, 0))),","),"")</f>
        <v/>
      </c>
      <c r="Y25" s="21" t="str">
        <f>IF(Q25&gt;0,CONCATENATE("0x",(DEC2HEX(IF(P25&lt;&gt;"",VLOOKUP(P25,Notes!$A$2:$B$37,2,FALSE)*1024,0) + Q25*16 + IF(R25="",7,R25)*2 + IF(S25&gt;0, 1, 0))),","),"")</f>
        <v/>
      </c>
    </row>
    <row r="26" spans="2:25" x14ac:dyDescent="0.25">
      <c r="F26" s="18">
        <f t="shared" si="0"/>
        <v>0</v>
      </c>
      <c r="G26" s="1" t="str">
        <f t="shared" si="3"/>
        <v/>
      </c>
      <c r="M26" s="18">
        <f t="shared" si="1"/>
        <v>0</v>
      </c>
      <c r="N26" s="1" t="str">
        <f t="shared" si="4"/>
        <v/>
      </c>
      <c r="T26" s="18">
        <f t="shared" si="2"/>
        <v>0</v>
      </c>
      <c r="U26" s="1" t="str">
        <f t="shared" si="5"/>
        <v/>
      </c>
      <c r="W26" s="21" t="str">
        <f>IF(C26&gt;0,CONCATENATE("0x",(DEC2HEX(IF(B26&lt;&gt;"",VLOOKUP(B26,Notes!$A$2:$B$37,2,FALSE)*1024,0) + C26*16 + IF(D26="",7,D26)*2 + IF(E26&gt;0, 1, 0))),","),"")</f>
        <v/>
      </c>
      <c r="X26" s="21" t="str">
        <f>IF(J26&gt;0,CONCATENATE("0x",(DEC2HEX(IF(I26&lt;&gt;"",VLOOKUP(I26,Notes!$A$2:$B$37,2,FALSE)*1024,0) + J26*16 + IF(K26="",7,K26)*2 + IF(L26&gt;0, 1, 0))),","),"")</f>
        <v/>
      </c>
      <c r="Y26" s="21" t="str">
        <f>IF(Q26&gt;0,CONCATENATE("0x",(DEC2HEX(IF(P26&lt;&gt;"",VLOOKUP(P26,Notes!$A$2:$B$37,2,FALSE)*1024,0) + Q26*16 + IF(R26="",7,R26)*2 + IF(S26&gt;0, 1, 0))),","),"")</f>
        <v/>
      </c>
    </row>
    <row r="27" spans="2:25" x14ac:dyDescent="0.25">
      <c r="F27" s="18">
        <f t="shared" si="0"/>
        <v>0</v>
      </c>
      <c r="G27" s="1" t="str">
        <f t="shared" si="3"/>
        <v/>
      </c>
      <c r="M27" s="18">
        <f t="shared" si="1"/>
        <v>0</v>
      </c>
      <c r="N27" s="1" t="str">
        <f t="shared" si="4"/>
        <v/>
      </c>
      <c r="T27" s="18">
        <f t="shared" si="2"/>
        <v>0</v>
      </c>
      <c r="U27" s="1" t="str">
        <f t="shared" si="5"/>
        <v/>
      </c>
      <c r="W27" s="21" t="str">
        <f>IF(C27&gt;0,CONCATENATE("0x",(DEC2HEX(IF(B27&lt;&gt;"",VLOOKUP(B27,Notes!$A$2:$B$37,2,FALSE)*1024,0) + C27*16 + IF(D27="",7,D27)*2 + IF(E27&gt;0, 1, 0))),","),"")</f>
        <v/>
      </c>
      <c r="X27" s="21" t="str">
        <f>IF(J27&gt;0,CONCATENATE("0x",(DEC2HEX(IF(I27&lt;&gt;"",VLOOKUP(I27,Notes!$A$2:$B$37,2,FALSE)*1024,0) + J27*16 + IF(K27="",7,K27)*2 + IF(L27&gt;0, 1, 0))),","),"")</f>
        <v/>
      </c>
      <c r="Y27" s="21" t="str">
        <f>IF(Q27&gt;0,CONCATENATE("0x",(DEC2HEX(IF(P27&lt;&gt;"",VLOOKUP(P27,Notes!$A$2:$B$37,2,FALSE)*1024,0) + Q27*16 + IF(R27="",7,R27)*2 + IF(S27&gt;0, 1, 0))),","),"")</f>
        <v/>
      </c>
    </row>
    <row r="28" spans="2:25" x14ac:dyDescent="0.25">
      <c r="F28" s="18">
        <f t="shared" si="0"/>
        <v>0</v>
      </c>
      <c r="G28" s="1" t="str">
        <f t="shared" si="3"/>
        <v/>
      </c>
      <c r="M28" s="18">
        <f t="shared" si="1"/>
        <v>0</v>
      </c>
      <c r="N28" s="1" t="str">
        <f t="shared" si="4"/>
        <v/>
      </c>
      <c r="T28" s="18">
        <f t="shared" si="2"/>
        <v>0</v>
      </c>
      <c r="U28" s="1" t="str">
        <f t="shared" si="5"/>
        <v/>
      </c>
      <c r="W28" s="21" t="str">
        <f>IF(C28&gt;0,CONCATENATE("0x",(DEC2HEX(IF(B28&lt;&gt;"",VLOOKUP(B28,Notes!$A$2:$B$37,2,FALSE)*1024,0) + C28*16 + IF(D28="",7,D28)*2 + IF(E28&gt;0, 1, 0))),","),"")</f>
        <v/>
      </c>
      <c r="X28" s="21" t="str">
        <f>IF(J28&gt;0,CONCATENATE("0x",(DEC2HEX(IF(I28&lt;&gt;"",VLOOKUP(I28,Notes!$A$2:$B$37,2,FALSE)*1024,0) + J28*16 + IF(K28="",7,K28)*2 + IF(L28&gt;0, 1, 0))),","),"")</f>
        <v/>
      </c>
      <c r="Y28" s="21" t="str">
        <f>IF(Q28&gt;0,CONCATENATE("0x",(DEC2HEX(IF(P28&lt;&gt;"",VLOOKUP(P28,Notes!$A$2:$B$37,2,FALSE)*1024,0) + Q28*16 + IF(R28="",7,R28)*2 + IF(S28&gt;0, 1, 0))),","),"")</f>
        <v/>
      </c>
    </row>
    <row r="29" spans="2:25" x14ac:dyDescent="0.25">
      <c r="F29" s="18">
        <f t="shared" si="0"/>
        <v>0</v>
      </c>
      <c r="G29" s="1" t="str">
        <f t="shared" si="3"/>
        <v/>
      </c>
      <c r="M29" s="18">
        <f t="shared" si="1"/>
        <v>0</v>
      </c>
      <c r="N29" s="1" t="str">
        <f t="shared" si="4"/>
        <v/>
      </c>
      <c r="T29" s="18">
        <f t="shared" si="2"/>
        <v>0</v>
      </c>
      <c r="U29" s="1" t="str">
        <f t="shared" si="5"/>
        <v/>
      </c>
      <c r="W29" s="21" t="str">
        <f>IF(C29&gt;0,CONCATENATE("0x",(DEC2HEX(IF(B29&lt;&gt;"",VLOOKUP(B29,Notes!$A$2:$B$37,2,FALSE)*1024,0) + C29*16 + IF(D29="",7,D29)*2 + IF(E29&gt;0, 1, 0))),","),"")</f>
        <v/>
      </c>
      <c r="X29" s="21" t="str">
        <f>IF(J29&gt;0,CONCATENATE("0x",(DEC2HEX(IF(I29&lt;&gt;"",VLOOKUP(I29,Notes!$A$2:$B$37,2,FALSE)*1024,0) + J29*16 + IF(K29="",7,K29)*2 + IF(L29&gt;0, 1, 0))),","),"")</f>
        <v/>
      </c>
      <c r="Y29" s="21" t="str">
        <f>IF(Q29&gt;0,CONCATENATE("0x",(DEC2HEX(IF(P29&lt;&gt;"",VLOOKUP(P29,Notes!$A$2:$B$37,2,FALSE)*1024,0) + Q29*16 + IF(R29="",7,R29)*2 + IF(S29&gt;0, 1, 0))),","),"")</f>
        <v/>
      </c>
    </row>
    <row r="30" spans="2:25" x14ac:dyDescent="0.25">
      <c r="F30" s="18">
        <f t="shared" si="0"/>
        <v>0</v>
      </c>
      <c r="G30" s="1" t="str">
        <f t="shared" si="3"/>
        <v/>
      </c>
      <c r="M30" s="18">
        <f t="shared" si="1"/>
        <v>0</v>
      </c>
      <c r="N30" s="1" t="str">
        <f t="shared" si="4"/>
        <v/>
      </c>
      <c r="T30" s="18">
        <f t="shared" si="2"/>
        <v>0</v>
      </c>
      <c r="U30" s="1" t="str">
        <f t="shared" si="5"/>
        <v/>
      </c>
      <c r="W30" s="21" t="str">
        <f>IF(C30&gt;0,CONCATENATE("0x",(DEC2HEX(IF(B30&lt;&gt;"",VLOOKUP(B30,Notes!$A$2:$B$37,2,FALSE)*1024,0) + C30*16 + IF(D30="",7,D30)*2 + IF(E30&gt;0, 1, 0))),","),"")</f>
        <v/>
      </c>
      <c r="X30" s="21" t="str">
        <f>IF(J30&gt;0,CONCATENATE("0x",(DEC2HEX(IF(I30&lt;&gt;"",VLOOKUP(I30,Notes!$A$2:$B$37,2,FALSE)*1024,0) + J30*16 + IF(K30="",7,K30)*2 + IF(L30&gt;0, 1, 0))),","),"")</f>
        <v/>
      </c>
      <c r="Y30" s="21" t="str">
        <f>IF(Q30&gt;0,CONCATENATE("0x",(DEC2HEX(IF(P30&lt;&gt;"",VLOOKUP(P30,Notes!$A$2:$B$37,2,FALSE)*1024,0) + Q30*16 + IF(R30="",7,R30)*2 + IF(S30&gt;0, 1, 0))),","),"")</f>
        <v/>
      </c>
    </row>
    <row r="31" spans="2:25" x14ac:dyDescent="0.25">
      <c r="F31" s="18">
        <f t="shared" si="0"/>
        <v>0</v>
      </c>
      <c r="G31" s="1" t="str">
        <f t="shared" si="3"/>
        <v/>
      </c>
      <c r="M31" s="18">
        <f t="shared" si="1"/>
        <v>0</v>
      </c>
      <c r="N31" s="1" t="str">
        <f t="shared" si="4"/>
        <v/>
      </c>
      <c r="T31" s="18">
        <f t="shared" si="2"/>
        <v>0</v>
      </c>
      <c r="U31" s="1" t="str">
        <f t="shared" si="5"/>
        <v/>
      </c>
      <c r="W31" s="21" t="str">
        <f>IF(C31&gt;0,CONCATENATE("0x",(DEC2HEX(IF(B31&lt;&gt;"",VLOOKUP(B31,Notes!$A$2:$B$37,2,FALSE)*1024,0) + C31*16 + IF(D31="",7,D31)*2 + IF(E31&gt;0, 1, 0))),","),"")</f>
        <v/>
      </c>
      <c r="X31" s="21" t="str">
        <f>IF(J31&gt;0,CONCATENATE("0x",(DEC2HEX(IF(I31&lt;&gt;"",VLOOKUP(I31,Notes!$A$2:$B$37,2,FALSE)*1024,0) + J31*16 + IF(K31="",7,K31)*2 + IF(L31&gt;0, 1, 0))),","),"")</f>
        <v/>
      </c>
      <c r="Y31" s="21" t="str">
        <f>IF(Q31&gt;0,CONCATENATE("0x",(DEC2HEX(IF(P31&lt;&gt;"",VLOOKUP(P31,Notes!$A$2:$B$37,2,FALSE)*1024,0) + Q31*16 + IF(R31="",7,R31)*2 + IF(S31&gt;0, 1, 0))),","),"")</f>
        <v/>
      </c>
    </row>
    <row r="32" spans="2:25" x14ac:dyDescent="0.25">
      <c r="F32" s="18">
        <f t="shared" si="0"/>
        <v>0</v>
      </c>
      <c r="G32" s="1" t="str">
        <f t="shared" si="3"/>
        <v/>
      </c>
      <c r="M32" s="18">
        <f t="shared" si="1"/>
        <v>0</v>
      </c>
      <c r="N32" s="1" t="str">
        <f t="shared" si="4"/>
        <v/>
      </c>
      <c r="T32" s="18">
        <f t="shared" si="2"/>
        <v>0</v>
      </c>
      <c r="U32" s="1" t="str">
        <f t="shared" si="5"/>
        <v/>
      </c>
      <c r="W32" s="21" t="str">
        <f>IF(C32&gt;0,CONCATENATE("0x",(DEC2HEX(IF(B32&lt;&gt;"",VLOOKUP(B32,Notes!$A$2:$B$37,2,FALSE)*1024,0) + C32*16 + IF(D32="",7,D32)*2 + IF(E32&gt;0, 1, 0))),","),"")</f>
        <v/>
      </c>
      <c r="X32" s="21" t="str">
        <f>IF(J32&gt;0,CONCATENATE("0x",(DEC2HEX(IF(I32&lt;&gt;"",VLOOKUP(I32,Notes!$A$2:$B$37,2,FALSE)*1024,0) + J32*16 + IF(K32="",7,K32)*2 + IF(L32&gt;0, 1, 0))),","),"")</f>
        <v/>
      </c>
      <c r="Y32" s="21" t="str">
        <f>IF(Q32&gt;0,CONCATENATE("0x",(DEC2HEX(IF(P32&lt;&gt;"",VLOOKUP(P32,Notes!$A$2:$B$37,2,FALSE)*1024,0) + Q32*16 + IF(R32="",7,R32)*2 + IF(S32&gt;0, 1, 0))),","),"")</f>
        <v/>
      </c>
    </row>
    <row r="33" spans="1:25" ht="16.5" thickBot="1" x14ac:dyDescent="0.3">
      <c r="B33" s="15"/>
      <c r="C33" s="16"/>
      <c r="D33" s="16"/>
      <c r="E33" s="17"/>
      <c r="F33" s="18">
        <f t="shared" si="0"/>
        <v>0</v>
      </c>
      <c r="G33" s="1" t="str">
        <f t="shared" si="3"/>
        <v/>
      </c>
      <c r="I33" s="15"/>
      <c r="J33" s="16"/>
      <c r="K33" s="16"/>
      <c r="L33" s="17"/>
      <c r="M33" s="18">
        <f t="shared" si="1"/>
        <v>0</v>
      </c>
      <c r="N33" s="1" t="str">
        <f t="shared" si="4"/>
        <v/>
      </c>
      <c r="P33" s="15"/>
      <c r="Q33" s="16"/>
      <c r="R33" s="16"/>
      <c r="S33" s="17"/>
      <c r="T33" s="18">
        <f t="shared" si="2"/>
        <v>0</v>
      </c>
      <c r="U33" s="1" t="str">
        <f t="shared" si="5"/>
        <v/>
      </c>
      <c r="W33" s="21" t="str">
        <f>IF(C33&gt;0,CONCATENATE("0x",(DEC2HEX(IF(B33&lt;&gt;"",VLOOKUP(B33,Notes!$A$2:$B$37,2,FALSE)*1024,0) + C33*16 + IF(D33="",7,D33)*2 + IF(E33&gt;0, 1, 0))),","),"")</f>
        <v/>
      </c>
      <c r="X33" s="21" t="str">
        <f>IF(J33&gt;0,CONCATENATE("0x",(DEC2HEX(IF(I33&lt;&gt;"",VLOOKUP(I33,Notes!$A$2:$B$37,2,FALSE)*1024,0) + J33*16 + IF(K33="",7,K33)*2 + IF(L33&gt;0, 1, 0))),","),"")</f>
        <v/>
      </c>
      <c r="Y33" s="21" t="str">
        <f>IF(Q33&gt;0,CONCATENATE("0x",(DEC2HEX(IF(P33&lt;&gt;"",VLOOKUP(P33,Notes!$A$2:$B$37,2,FALSE)*1024,0) + Q33*16 + IF(R33="",7,R33)*2 + IF(S33&gt;0, 1, 0))),","),"")</f>
        <v/>
      </c>
    </row>
    <row r="34" spans="1:25" ht="16.5" thickTop="1" x14ac:dyDescent="0.25">
      <c r="A34" s="1">
        <v>2</v>
      </c>
      <c r="F34" s="18">
        <f t="shared" si="0"/>
        <v>0</v>
      </c>
      <c r="G34" s="1" t="str">
        <f t="shared" si="3"/>
        <v/>
      </c>
      <c r="M34" s="18">
        <f t="shared" si="1"/>
        <v>0</v>
      </c>
      <c r="N34" s="1" t="str">
        <f t="shared" si="4"/>
        <v/>
      </c>
      <c r="T34" s="18">
        <f t="shared" si="2"/>
        <v>0</v>
      </c>
      <c r="U34" s="1" t="str">
        <f t="shared" si="5"/>
        <v/>
      </c>
      <c r="W34" s="21" t="str">
        <f>IF(C34&gt;0,CONCATENATE("0x",(DEC2HEX(IF(B34&lt;&gt;"",VLOOKUP(B34,Notes!$A$2:$B$37,2,FALSE)*1024,0) + C34*16 + IF(D34="",7,D34)*2 + IF(E34&gt;0, 1, 0))),","),"")</f>
        <v/>
      </c>
      <c r="X34" s="21" t="str">
        <f>IF(J34&gt;0,CONCATENATE("0x",(DEC2HEX(IF(I34&lt;&gt;"",VLOOKUP(I34,Notes!$A$2:$B$37,2,FALSE)*1024,0) + J34*16 + IF(K34="",7,K34)*2 + IF(L34&gt;0, 1, 0))),","),"")</f>
        <v/>
      </c>
      <c r="Y34" s="21" t="str">
        <f>IF(Q34&gt;0,CONCATENATE("0x",(DEC2HEX(IF(P34&lt;&gt;"",VLOOKUP(P34,Notes!$A$2:$B$37,2,FALSE)*1024,0) + Q34*16 + IF(R34="",7,R34)*2 + IF(S34&gt;0, 1, 0))),","),"")</f>
        <v/>
      </c>
    </row>
    <row r="35" spans="1:25" x14ac:dyDescent="0.25">
      <c r="F35" s="18">
        <f t="shared" si="0"/>
        <v>0</v>
      </c>
      <c r="G35" s="1" t="str">
        <f t="shared" si="3"/>
        <v/>
      </c>
      <c r="M35" s="18">
        <f t="shared" si="1"/>
        <v>0</v>
      </c>
      <c r="N35" s="1" t="str">
        <f t="shared" si="4"/>
        <v/>
      </c>
      <c r="T35" s="18">
        <f t="shared" si="2"/>
        <v>0</v>
      </c>
      <c r="U35" s="1" t="str">
        <f t="shared" si="5"/>
        <v/>
      </c>
      <c r="W35" s="21" t="str">
        <f>IF(C35&gt;0,CONCATENATE("0x",(DEC2HEX(IF(B35&lt;&gt;"",VLOOKUP(B35,Notes!$A$2:$B$37,2,FALSE)*1024,0) + C35*16 + IF(D35="",7,D35)*2 + IF(E35&gt;0, 1, 0))),","),"")</f>
        <v/>
      </c>
      <c r="X35" s="21" t="str">
        <f>IF(J35&gt;0,CONCATENATE("0x",(DEC2HEX(IF(I35&lt;&gt;"",VLOOKUP(I35,Notes!$A$2:$B$37,2,FALSE)*1024,0) + J35*16 + IF(K35="",7,K35)*2 + IF(L35&gt;0, 1, 0))),","),"")</f>
        <v/>
      </c>
      <c r="Y35" s="21" t="str">
        <f>IF(Q35&gt;0,CONCATENATE("0x",(DEC2HEX(IF(P35&lt;&gt;"",VLOOKUP(P35,Notes!$A$2:$B$37,2,FALSE)*1024,0) + Q35*16 + IF(R35="",7,R35)*2 + IF(S35&gt;0, 1, 0))),","),"")</f>
        <v/>
      </c>
    </row>
    <row r="36" spans="1:25" x14ac:dyDescent="0.25">
      <c r="F36" s="18">
        <f t="shared" si="0"/>
        <v>0</v>
      </c>
      <c r="G36" s="1" t="str">
        <f t="shared" si="3"/>
        <v/>
      </c>
      <c r="M36" s="18">
        <f t="shared" si="1"/>
        <v>0</v>
      </c>
      <c r="N36" s="1" t="str">
        <f t="shared" si="4"/>
        <v/>
      </c>
      <c r="T36" s="18">
        <f t="shared" si="2"/>
        <v>0</v>
      </c>
      <c r="U36" s="1" t="str">
        <f t="shared" si="5"/>
        <v/>
      </c>
      <c r="W36" s="21" t="str">
        <f>IF(C36&gt;0,CONCATENATE("0x",(DEC2HEX(IF(B36&lt;&gt;"",VLOOKUP(B36,Notes!$A$2:$B$37,2,FALSE)*1024,0) + C36*16 + IF(D36="",7,D36)*2 + IF(E36&gt;0, 1, 0))),","),"")</f>
        <v/>
      </c>
      <c r="X36" s="21" t="str">
        <f>IF(J36&gt;0,CONCATENATE("0x",(DEC2HEX(IF(I36&lt;&gt;"",VLOOKUP(I36,Notes!$A$2:$B$37,2,FALSE)*1024,0) + J36*16 + IF(K36="",7,K36)*2 + IF(L36&gt;0, 1, 0))),","),"")</f>
        <v/>
      </c>
      <c r="Y36" s="21" t="str">
        <f>IF(Q36&gt;0,CONCATENATE("0x",(DEC2HEX(IF(P36&lt;&gt;"",VLOOKUP(P36,Notes!$A$2:$B$37,2,FALSE)*1024,0) + Q36*16 + IF(R36="",7,R36)*2 + IF(S36&gt;0, 1, 0))),","),"")</f>
        <v/>
      </c>
    </row>
    <row r="37" spans="1:25" x14ac:dyDescent="0.25">
      <c r="F37" s="18">
        <f t="shared" si="0"/>
        <v>0</v>
      </c>
      <c r="G37" s="1" t="str">
        <f t="shared" si="3"/>
        <v/>
      </c>
      <c r="M37" s="18">
        <f t="shared" si="1"/>
        <v>0</v>
      </c>
      <c r="N37" s="1" t="str">
        <f t="shared" si="4"/>
        <v/>
      </c>
      <c r="T37" s="18">
        <f t="shared" si="2"/>
        <v>0</v>
      </c>
      <c r="U37" s="1" t="str">
        <f t="shared" si="5"/>
        <v/>
      </c>
      <c r="W37" s="21" t="str">
        <f>IF(C37&gt;0,CONCATENATE("0x",(DEC2HEX(IF(B37&lt;&gt;"",VLOOKUP(B37,Notes!$A$2:$B$37,2,FALSE)*1024,0) + C37*16 + IF(D37="",7,D37)*2 + IF(E37&gt;0, 1, 0))),","),"")</f>
        <v/>
      </c>
      <c r="X37" s="21" t="str">
        <f>IF(J37&gt;0,CONCATENATE("0x",(DEC2HEX(IF(I37&lt;&gt;"",VLOOKUP(I37,Notes!$A$2:$B$37,2,FALSE)*1024,0) + J37*16 + IF(K37="",7,K37)*2 + IF(L37&gt;0, 1, 0))),","),"")</f>
        <v/>
      </c>
      <c r="Y37" s="21" t="str">
        <f>IF(Q37&gt;0,CONCATENATE("0x",(DEC2HEX(IF(P37&lt;&gt;"",VLOOKUP(P37,Notes!$A$2:$B$37,2,FALSE)*1024,0) + Q37*16 + IF(R37="",7,R37)*2 + IF(S37&gt;0, 1, 0))),","),"")</f>
        <v/>
      </c>
    </row>
    <row r="38" spans="1:25" x14ac:dyDescent="0.25">
      <c r="F38" s="18">
        <f t="shared" si="0"/>
        <v>0</v>
      </c>
      <c r="G38" s="1" t="str">
        <f t="shared" si="3"/>
        <v/>
      </c>
      <c r="M38" s="18">
        <f t="shared" si="1"/>
        <v>0</v>
      </c>
      <c r="N38" s="1" t="str">
        <f t="shared" si="4"/>
        <v/>
      </c>
      <c r="T38" s="18">
        <f t="shared" si="2"/>
        <v>0</v>
      </c>
      <c r="U38" s="1" t="str">
        <f t="shared" si="5"/>
        <v/>
      </c>
      <c r="W38" s="21" t="str">
        <f>IF(C38&gt;0,CONCATENATE("0x",(DEC2HEX(IF(B38&lt;&gt;"",VLOOKUP(B38,Notes!$A$2:$B$37,2,FALSE)*1024,0) + C38*16 + IF(D38="",7,D38)*2 + IF(E38&gt;0, 1, 0))),","),"")</f>
        <v/>
      </c>
      <c r="X38" s="21" t="str">
        <f>IF(J38&gt;0,CONCATENATE("0x",(DEC2HEX(IF(I38&lt;&gt;"",VLOOKUP(I38,Notes!$A$2:$B$37,2,FALSE)*1024,0) + J38*16 + IF(K38="",7,K38)*2 + IF(L38&gt;0, 1, 0))),","),"")</f>
        <v/>
      </c>
      <c r="Y38" s="21" t="str">
        <f>IF(Q38&gt;0,CONCATENATE("0x",(DEC2HEX(IF(P38&lt;&gt;"",VLOOKUP(P38,Notes!$A$2:$B$37,2,FALSE)*1024,0) + Q38*16 + IF(R38="",7,R38)*2 + IF(S38&gt;0, 1, 0))),","),"")</f>
        <v/>
      </c>
    </row>
    <row r="39" spans="1:25" x14ac:dyDescent="0.25">
      <c r="F39" s="18">
        <f t="shared" si="0"/>
        <v>0</v>
      </c>
      <c r="G39" s="1" t="str">
        <f t="shared" si="3"/>
        <v/>
      </c>
      <c r="M39" s="18">
        <f t="shared" si="1"/>
        <v>0</v>
      </c>
      <c r="N39" s="1" t="str">
        <f t="shared" si="4"/>
        <v/>
      </c>
      <c r="T39" s="18">
        <f t="shared" si="2"/>
        <v>0</v>
      </c>
      <c r="U39" s="1" t="str">
        <f t="shared" si="5"/>
        <v/>
      </c>
      <c r="W39" s="21" t="str">
        <f>IF(C39&gt;0,CONCATENATE("0x",(DEC2HEX(IF(B39&lt;&gt;"",VLOOKUP(B39,Notes!$A$2:$B$37,2,FALSE)*1024,0) + C39*16 + IF(D39="",7,D39)*2 + IF(E39&gt;0, 1, 0))),","),"")</f>
        <v/>
      </c>
      <c r="X39" s="21" t="str">
        <f>IF(J39&gt;0,CONCATENATE("0x",(DEC2HEX(IF(I39&lt;&gt;"",VLOOKUP(I39,Notes!$A$2:$B$37,2,FALSE)*1024,0) + J39*16 + IF(K39="",7,K39)*2 + IF(L39&gt;0, 1, 0))),","),"")</f>
        <v/>
      </c>
      <c r="Y39" s="21" t="str">
        <f>IF(Q39&gt;0,CONCATENATE("0x",(DEC2HEX(IF(P39&lt;&gt;"",VLOOKUP(P39,Notes!$A$2:$B$37,2,FALSE)*1024,0) + Q39*16 + IF(R39="",7,R39)*2 + IF(S39&gt;0, 1, 0))),","),"")</f>
        <v/>
      </c>
    </row>
    <row r="40" spans="1:25" x14ac:dyDescent="0.25">
      <c r="F40" s="18">
        <f t="shared" si="0"/>
        <v>0</v>
      </c>
      <c r="G40" s="1" t="str">
        <f t="shared" si="3"/>
        <v/>
      </c>
      <c r="M40" s="18">
        <f t="shared" si="1"/>
        <v>0</v>
      </c>
      <c r="N40" s="1" t="str">
        <f t="shared" si="4"/>
        <v/>
      </c>
      <c r="T40" s="18">
        <f t="shared" si="2"/>
        <v>0</v>
      </c>
      <c r="U40" s="1" t="str">
        <f t="shared" si="5"/>
        <v/>
      </c>
      <c r="W40" s="21" t="str">
        <f>IF(C40&gt;0,CONCATENATE("0x",(DEC2HEX(IF(B40&lt;&gt;"",VLOOKUP(B40,Notes!$A$2:$B$37,2,FALSE)*1024,0) + C40*16 + IF(D40="",7,D40)*2 + IF(E40&gt;0, 1, 0))),","),"")</f>
        <v/>
      </c>
      <c r="X40" s="21" t="str">
        <f>IF(J40&gt;0,CONCATENATE("0x",(DEC2HEX(IF(I40&lt;&gt;"",VLOOKUP(I40,Notes!$A$2:$B$37,2,FALSE)*1024,0) + J40*16 + IF(K40="",7,K40)*2 + IF(L40&gt;0, 1, 0))),","),"")</f>
        <v/>
      </c>
      <c r="Y40" s="21" t="str">
        <f>IF(Q40&gt;0,CONCATENATE("0x",(DEC2HEX(IF(P40&lt;&gt;"",VLOOKUP(P40,Notes!$A$2:$B$37,2,FALSE)*1024,0) + Q40*16 + IF(R40="",7,R40)*2 + IF(S40&gt;0, 1, 0))),","),"")</f>
        <v/>
      </c>
    </row>
    <row r="41" spans="1:25" x14ac:dyDescent="0.25">
      <c r="B41" s="12"/>
      <c r="C41" s="13"/>
      <c r="D41" s="13"/>
      <c r="E41" s="14"/>
      <c r="F41" s="18">
        <f t="shared" si="0"/>
        <v>0</v>
      </c>
      <c r="G41" s="1" t="str">
        <f t="shared" si="3"/>
        <v/>
      </c>
      <c r="I41" s="12"/>
      <c r="J41" s="13"/>
      <c r="K41" s="13"/>
      <c r="L41" s="14"/>
      <c r="M41" s="18">
        <f t="shared" si="1"/>
        <v>0</v>
      </c>
      <c r="N41" s="1" t="str">
        <f t="shared" si="4"/>
        <v/>
      </c>
      <c r="P41" s="12"/>
      <c r="Q41" s="13"/>
      <c r="R41" s="13"/>
      <c r="S41" s="14"/>
      <c r="T41" s="18">
        <f t="shared" si="2"/>
        <v>0</v>
      </c>
      <c r="U41" s="1" t="str">
        <f t="shared" si="5"/>
        <v/>
      </c>
      <c r="W41" s="21" t="str">
        <f>IF(C41&gt;0,CONCATENATE("0x",(DEC2HEX(IF(B41&lt;&gt;"",VLOOKUP(B41,Notes!$A$2:$B$37,2,FALSE)*1024,0) + C41*16 + IF(D41="",7,D41)*2 + IF(E41&gt;0, 1, 0))),","),"")</f>
        <v/>
      </c>
      <c r="X41" s="21" t="str">
        <f>IF(J41&gt;0,CONCATENATE("0x",(DEC2HEX(IF(I41&lt;&gt;"",VLOOKUP(I41,Notes!$A$2:$B$37,2,FALSE)*1024,0) + J41*16 + IF(K41="",7,K41)*2 + IF(L41&gt;0, 1, 0))),","),"")</f>
        <v/>
      </c>
      <c r="Y41" s="21" t="str">
        <f>IF(Q41&gt;0,CONCATENATE("0x",(DEC2HEX(IF(P41&lt;&gt;"",VLOOKUP(P41,Notes!$A$2:$B$37,2,FALSE)*1024,0) + Q41*16 + IF(R41="",7,R41)*2 + IF(S41&gt;0, 1, 0))),","),"")</f>
        <v/>
      </c>
    </row>
    <row r="42" spans="1:25" x14ac:dyDescent="0.25">
      <c r="F42" s="18">
        <f t="shared" si="0"/>
        <v>0</v>
      </c>
      <c r="G42" s="1" t="str">
        <f t="shared" si="3"/>
        <v/>
      </c>
      <c r="M42" s="18">
        <f t="shared" si="1"/>
        <v>0</v>
      </c>
      <c r="N42" s="1" t="str">
        <f t="shared" si="4"/>
        <v/>
      </c>
      <c r="T42" s="18">
        <f t="shared" si="2"/>
        <v>0</v>
      </c>
      <c r="U42" s="1" t="str">
        <f t="shared" si="5"/>
        <v/>
      </c>
      <c r="W42" s="21" t="str">
        <f>IF(C42&gt;0,CONCATENATE("0x",(DEC2HEX(IF(B42&lt;&gt;"",VLOOKUP(B42,Notes!$A$2:$B$37,2,FALSE)*1024,0) + C42*16 + IF(D42="",7,D42)*2 + IF(E42&gt;0, 1, 0))),","),"")</f>
        <v/>
      </c>
      <c r="X42" s="21" t="str">
        <f>IF(J42&gt;0,CONCATENATE("0x",(DEC2HEX(IF(I42&lt;&gt;"",VLOOKUP(I42,Notes!$A$2:$B$37,2,FALSE)*1024,0) + J42*16 + IF(K42="",7,K42)*2 + IF(L42&gt;0, 1, 0))),","),"")</f>
        <v/>
      </c>
      <c r="Y42" s="21" t="str">
        <f>IF(Q42&gt;0,CONCATENATE("0x",(DEC2HEX(IF(P42&lt;&gt;"",VLOOKUP(P42,Notes!$A$2:$B$37,2,FALSE)*1024,0) + Q42*16 + IF(R42="",7,R42)*2 + IF(S42&gt;0, 1, 0))),","),"")</f>
        <v/>
      </c>
    </row>
    <row r="43" spans="1:25" x14ac:dyDescent="0.25">
      <c r="F43" s="18">
        <f t="shared" si="0"/>
        <v>0</v>
      </c>
      <c r="G43" s="1" t="str">
        <f t="shared" si="3"/>
        <v/>
      </c>
      <c r="M43" s="18">
        <f t="shared" si="1"/>
        <v>0</v>
      </c>
      <c r="N43" s="1" t="str">
        <f t="shared" si="4"/>
        <v/>
      </c>
      <c r="T43" s="18">
        <f t="shared" si="2"/>
        <v>0</v>
      </c>
      <c r="U43" s="1" t="str">
        <f t="shared" si="5"/>
        <v/>
      </c>
      <c r="W43" s="21" t="str">
        <f>IF(C43&gt;0,CONCATENATE("0x",(DEC2HEX(IF(B43&lt;&gt;"",VLOOKUP(B43,Notes!$A$2:$B$37,2,FALSE)*1024,0) + C43*16 + IF(D43="",7,D43)*2 + IF(E43&gt;0, 1, 0))),","),"")</f>
        <v/>
      </c>
      <c r="X43" s="21" t="str">
        <f>IF(J43&gt;0,CONCATENATE("0x",(DEC2HEX(IF(I43&lt;&gt;"",VLOOKUP(I43,Notes!$A$2:$B$37,2,FALSE)*1024,0) + J43*16 + IF(K43="",7,K43)*2 + IF(L43&gt;0, 1, 0))),","),"")</f>
        <v/>
      </c>
      <c r="Y43" s="21" t="str">
        <f>IF(Q43&gt;0,CONCATENATE("0x",(DEC2HEX(IF(P43&lt;&gt;"",VLOOKUP(P43,Notes!$A$2:$B$37,2,FALSE)*1024,0) + Q43*16 + IF(R43="",7,R43)*2 + IF(S43&gt;0, 1, 0))),","),"")</f>
        <v/>
      </c>
    </row>
    <row r="44" spans="1:25" x14ac:dyDescent="0.25">
      <c r="F44" s="18">
        <f t="shared" si="0"/>
        <v>0</v>
      </c>
      <c r="G44" s="1" t="str">
        <f t="shared" si="3"/>
        <v/>
      </c>
      <c r="M44" s="18">
        <f t="shared" si="1"/>
        <v>0</v>
      </c>
      <c r="N44" s="1" t="str">
        <f t="shared" si="4"/>
        <v/>
      </c>
      <c r="T44" s="18">
        <f t="shared" si="2"/>
        <v>0</v>
      </c>
      <c r="U44" s="1" t="str">
        <f t="shared" si="5"/>
        <v/>
      </c>
      <c r="W44" s="21" t="str">
        <f>IF(C44&gt;0,CONCATENATE("0x",(DEC2HEX(IF(B44&lt;&gt;"",VLOOKUP(B44,Notes!$A$2:$B$37,2,FALSE)*1024,0) + C44*16 + IF(D44="",7,D44)*2 + IF(E44&gt;0, 1, 0))),","),"")</f>
        <v/>
      </c>
      <c r="X44" s="21" t="str">
        <f>IF(J44&gt;0,CONCATENATE("0x",(DEC2HEX(IF(I44&lt;&gt;"",VLOOKUP(I44,Notes!$A$2:$B$37,2,FALSE)*1024,0) + J44*16 + IF(K44="",7,K44)*2 + IF(L44&gt;0, 1, 0))),","),"")</f>
        <v/>
      </c>
      <c r="Y44" s="21" t="str">
        <f>IF(Q44&gt;0,CONCATENATE("0x",(DEC2HEX(IF(P44&lt;&gt;"",VLOOKUP(P44,Notes!$A$2:$B$37,2,FALSE)*1024,0) + Q44*16 + IF(R44="",7,R44)*2 + IF(S44&gt;0, 1, 0))),","),"")</f>
        <v/>
      </c>
    </row>
    <row r="45" spans="1:25" x14ac:dyDescent="0.25">
      <c r="F45" s="18">
        <f t="shared" si="0"/>
        <v>0</v>
      </c>
      <c r="G45" s="1" t="str">
        <f t="shared" si="3"/>
        <v/>
      </c>
      <c r="M45" s="18">
        <f t="shared" si="1"/>
        <v>0</v>
      </c>
      <c r="N45" s="1" t="str">
        <f t="shared" si="4"/>
        <v/>
      </c>
      <c r="T45" s="18">
        <f t="shared" si="2"/>
        <v>0</v>
      </c>
      <c r="U45" s="1" t="str">
        <f t="shared" si="5"/>
        <v/>
      </c>
      <c r="W45" s="21" t="str">
        <f>IF(C45&gt;0,CONCATENATE("0x",(DEC2HEX(IF(B45&lt;&gt;"",VLOOKUP(B45,Notes!$A$2:$B$37,2,FALSE)*1024,0) + C45*16 + IF(D45="",7,D45)*2 + IF(E45&gt;0, 1, 0))),","),"")</f>
        <v/>
      </c>
      <c r="X45" s="21" t="str">
        <f>IF(J45&gt;0,CONCATENATE("0x",(DEC2HEX(IF(I45&lt;&gt;"",VLOOKUP(I45,Notes!$A$2:$B$37,2,FALSE)*1024,0) + J45*16 + IF(K45="",7,K45)*2 + IF(L45&gt;0, 1, 0))),","),"")</f>
        <v/>
      </c>
      <c r="Y45" s="21" t="str">
        <f>IF(Q45&gt;0,CONCATENATE("0x",(DEC2HEX(IF(P45&lt;&gt;"",VLOOKUP(P45,Notes!$A$2:$B$37,2,FALSE)*1024,0) + Q45*16 + IF(R45="",7,R45)*2 + IF(S45&gt;0, 1, 0))),","),"")</f>
        <v/>
      </c>
    </row>
    <row r="46" spans="1:25" x14ac:dyDescent="0.25">
      <c r="F46" s="18">
        <f t="shared" si="0"/>
        <v>0</v>
      </c>
      <c r="G46" s="1" t="str">
        <f t="shared" si="3"/>
        <v/>
      </c>
      <c r="M46" s="18">
        <f t="shared" si="1"/>
        <v>0</v>
      </c>
      <c r="N46" s="1" t="str">
        <f t="shared" si="4"/>
        <v/>
      </c>
      <c r="T46" s="18">
        <f t="shared" si="2"/>
        <v>0</v>
      </c>
      <c r="U46" s="1" t="str">
        <f t="shared" si="5"/>
        <v/>
      </c>
      <c r="W46" s="21" t="str">
        <f>IF(C46&gt;0,CONCATENATE("0x",(DEC2HEX(IF(B46&lt;&gt;"",VLOOKUP(B46,Notes!$A$2:$B$37,2,FALSE)*1024,0) + C46*16 + IF(D46="",7,D46)*2 + IF(E46&gt;0, 1, 0))),","),"")</f>
        <v/>
      </c>
      <c r="X46" s="21" t="str">
        <f>IF(J46&gt;0,CONCATENATE("0x",(DEC2HEX(IF(I46&lt;&gt;"",VLOOKUP(I46,Notes!$A$2:$B$37,2,FALSE)*1024,0) + J46*16 + IF(K46="",7,K46)*2 + IF(L46&gt;0, 1, 0))),","),"")</f>
        <v/>
      </c>
      <c r="Y46" s="21" t="str">
        <f>IF(Q46&gt;0,CONCATENATE("0x",(DEC2HEX(IF(P46&lt;&gt;"",VLOOKUP(P46,Notes!$A$2:$B$37,2,FALSE)*1024,0) + Q46*16 + IF(R46="",7,R46)*2 + IF(S46&gt;0, 1, 0))),","),"")</f>
        <v/>
      </c>
    </row>
    <row r="47" spans="1:25" x14ac:dyDescent="0.25">
      <c r="F47" s="18">
        <f t="shared" si="0"/>
        <v>0</v>
      </c>
      <c r="G47" s="1" t="str">
        <f t="shared" si="3"/>
        <v/>
      </c>
      <c r="M47" s="18">
        <f t="shared" si="1"/>
        <v>0</v>
      </c>
      <c r="N47" s="1" t="str">
        <f t="shared" si="4"/>
        <v/>
      </c>
      <c r="T47" s="18">
        <f t="shared" si="2"/>
        <v>0</v>
      </c>
      <c r="U47" s="1" t="str">
        <f t="shared" si="5"/>
        <v/>
      </c>
      <c r="W47" s="21" t="str">
        <f>IF(C47&gt;0,CONCATENATE("0x",(DEC2HEX(IF(B47&lt;&gt;"",VLOOKUP(B47,Notes!$A$2:$B$37,2,FALSE)*1024,0) + C47*16 + IF(D47="",7,D47)*2 + IF(E47&gt;0, 1, 0))),","),"")</f>
        <v/>
      </c>
      <c r="X47" s="21" t="str">
        <f>IF(J47&gt;0,CONCATENATE("0x",(DEC2HEX(IF(I47&lt;&gt;"",VLOOKUP(I47,Notes!$A$2:$B$37,2,FALSE)*1024,0) + J47*16 + IF(K47="",7,K47)*2 + IF(L47&gt;0, 1, 0))),","),"")</f>
        <v/>
      </c>
      <c r="Y47" s="21" t="str">
        <f>IF(Q47&gt;0,CONCATENATE("0x",(DEC2HEX(IF(P47&lt;&gt;"",VLOOKUP(P47,Notes!$A$2:$B$37,2,FALSE)*1024,0) + Q47*16 + IF(R47="",7,R47)*2 + IF(S47&gt;0, 1, 0))),","),"")</f>
        <v/>
      </c>
    </row>
    <row r="48" spans="1:25" x14ac:dyDescent="0.25">
      <c r="F48" s="18">
        <f t="shared" si="0"/>
        <v>0</v>
      </c>
      <c r="G48" s="1" t="str">
        <f t="shared" si="3"/>
        <v/>
      </c>
      <c r="M48" s="18">
        <f t="shared" si="1"/>
        <v>0</v>
      </c>
      <c r="N48" s="1" t="str">
        <f t="shared" si="4"/>
        <v/>
      </c>
      <c r="T48" s="18">
        <f t="shared" si="2"/>
        <v>0</v>
      </c>
      <c r="U48" s="1" t="str">
        <f t="shared" si="5"/>
        <v/>
      </c>
      <c r="W48" s="21" t="str">
        <f>IF(C48&gt;0,CONCATENATE("0x",(DEC2HEX(IF(B48&lt;&gt;"",VLOOKUP(B48,Notes!$A$2:$B$37,2,FALSE)*1024,0) + C48*16 + IF(D48="",7,D48)*2 + IF(E48&gt;0, 1, 0))),","),"")</f>
        <v/>
      </c>
      <c r="X48" s="21" t="str">
        <f>IF(J48&gt;0,CONCATENATE("0x",(DEC2HEX(IF(I48&lt;&gt;"",VLOOKUP(I48,Notes!$A$2:$B$37,2,FALSE)*1024,0) + J48*16 + IF(K48="",7,K48)*2 + IF(L48&gt;0, 1, 0))),","),"")</f>
        <v/>
      </c>
      <c r="Y48" s="21" t="str">
        <f>IF(Q48&gt;0,CONCATENATE("0x",(DEC2HEX(IF(P48&lt;&gt;"",VLOOKUP(P48,Notes!$A$2:$B$37,2,FALSE)*1024,0) + Q48*16 + IF(R48="",7,R48)*2 + IF(S48&gt;0, 1, 0))),","),"")</f>
        <v/>
      </c>
    </row>
    <row r="49" spans="2:25" x14ac:dyDescent="0.25">
      <c r="B49" s="12"/>
      <c r="C49" s="13"/>
      <c r="D49" s="13"/>
      <c r="E49" s="14"/>
      <c r="F49" s="18">
        <f t="shared" si="0"/>
        <v>0</v>
      </c>
      <c r="G49" s="1" t="str">
        <f t="shared" si="3"/>
        <v/>
      </c>
      <c r="I49" s="12"/>
      <c r="J49" s="13"/>
      <c r="K49" s="13"/>
      <c r="L49" s="14"/>
      <c r="M49" s="18">
        <f t="shared" si="1"/>
        <v>0</v>
      </c>
      <c r="N49" s="1" t="str">
        <f t="shared" si="4"/>
        <v/>
      </c>
      <c r="P49" s="12"/>
      <c r="Q49" s="13"/>
      <c r="R49" s="13"/>
      <c r="S49" s="14"/>
      <c r="T49" s="18">
        <f t="shared" si="2"/>
        <v>0</v>
      </c>
      <c r="U49" s="1" t="str">
        <f t="shared" si="5"/>
        <v/>
      </c>
      <c r="W49" s="21" t="str">
        <f>IF(C49&gt;0,CONCATENATE("0x",(DEC2HEX(IF(B49&lt;&gt;"",VLOOKUP(B49,Notes!$A$2:$B$37,2,FALSE)*1024,0) + C49*16 + IF(D49="",7,D49)*2 + IF(E49&gt;0, 1, 0))),","),"")</f>
        <v/>
      </c>
      <c r="X49" s="21" t="str">
        <f>IF(J49&gt;0,CONCATENATE("0x",(DEC2HEX(IF(I49&lt;&gt;"",VLOOKUP(I49,Notes!$A$2:$B$37,2,FALSE)*1024,0) + J49*16 + IF(K49="",7,K49)*2 + IF(L49&gt;0, 1, 0))),","),"")</f>
        <v/>
      </c>
      <c r="Y49" s="21" t="str">
        <f>IF(Q49&gt;0,CONCATENATE("0x",(DEC2HEX(IF(P49&lt;&gt;"",VLOOKUP(P49,Notes!$A$2:$B$37,2,FALSE)*1024,0) + Q49*16 + IF(R49="",7,R49)*2 + IF(S49&gt;0, 1, 0))),","),"")</f>
        <v/>
      </c>
    </row>
    <row r="50" spans="2:25" x14ac:dyDescent="0.25">
      <c r="F50" s="18">
        <f t="shared" si="0"/>
        <v>0</v>
      </c>
      <c r="G50" s="1" t="str">
        <f t="shared" si="3"/>
        <v/>
      </c>
      <c r="M50" s="18">
        <f t="shared" si="1"/>
        <v>0</v>
      </c>
      <c r="N50" s="1" t="str">
        <f t="shared" si="4"/>
        <v/>
      </c>
      <c r="T50" s="18">
        <f t="shared" si="2"/>
        <v>0</v>
      </c>
      <c r="U50" s="1" t="str">
        <f t="shared" si="5"/>
        <v/>
      </c>
      <c r="W50" s="21" t="str">
        <f>IF(C50&gt;0,CONCATENATE("0x",(DEC2HEX(IF(B50&lt;&gt;"",VLOOKUP(B50,Notes!$A$2:$B$37,2,FALSE)*1024,0) + C50*16 + IF(D50="",7,D50)*2 + IF(E50&gt;0, 1, 0))),","),"")</f>
        <v/>
      </c>
      <c r="X50" s="21" t="str">
        <f>IF(J50&gt;0,CONCATENATE("0x",(DEC2HEX(IF(I50&lt;&gt;"",VLOOKUP(I50,Notes!$A$2:$B$37,2,FALSE)*1024,0) + J50*16 + IF(K50="",7,K50)*2 + IF(L50&gt;0, 1, 0))),","),"")</f>
        <v/>
      </c>
      <c r="Y50" s="21" t="str">
        <f>IF(Q50&gt;0,CONCATENATE("0x",(DEC2HEX(IF(P50&lt;&gt;"",VLOOKUP(P50,Notes!$A$2:$B$37,2,FALSE)*1024,0) + Q50*16 + IF(R50="",7,R50)*2 + IF(S50&gt;0, 1, 0))),","),"")</f>
        <v/>
      </c>
    </row>
    <row r="51" spans="2:25" x14ac:dyDescent="0.25">
      <c r="F51" s="18">
        <f t="shared" si="0"/>
        <v>0</v>
      </c>
      <c r="G51" s="1" t="str">
        <f t="shared" si="3"/>
        <v/>
      </c>
      <c r="M51" s="18">
        <f t="shared" si="1"/>
        <v>0</v>
      </c>
      <c r="N51" s="1" t="str">
        <f t="shared" si="4"/>
        <v/>
      </c>
      <c r="T51" s="18">
        <f t="shared" si="2"/>
        <v>0</v>
      </c>
      <c r="U51" s="1" t="str">
        <f t="shared" si="5"/>
        <v/>
      </c>
      <c r="W51" s="21" t="str">
        <f>IF(C51&gt;0,CONCATENATE("0x",(DEC2HEX(IF(B51&lt;&gt;"",VLOOKUP(B51,Notes!$A$2:$B$37,2,FALSE)*1024,0) + C51*16 + IF(D51="",7,D51)*2 + IF(E51&gt;0, 1, 0))),","),"")</f>
        <v/>
      </c>
      <c r="X51" s="21" t="str">
        <f>IF(J51&gt;0,CONCATENATE("0x",(DEC2HEX(IF(I51&lt;&gt;"",VLOOKUP(I51,Notes!$A$2:$B$37,2,FALSE)*1024,0) + J51*16 + IF(K51="",7,K51)*2 + IF(L51&gt;0, 1, 0))),","),"")</f>
        <v/>
      </c>
      <c r="Y51" s="21" t="str">
        <f>IF(Q51&gt;0,CONCATENATE("0x",(DEC2HEX(IF(P51&lt;&gt;"",VLOOKUP(P51,Notes!$A$2:$B$37,2,FALSE)*1024,0) + Q51*16 + IF(R51="",7,R51)*2 + IF(S51&gt;0, 1, 0))),","),"")</f>
        <v/>
      </c>
    </row>
    <row r="52" spans="2:25" x14ac:dyDescent="0.25">
      <c r="F52" s="18">
        <f t="shared" si="0"/>
        <v>0</v>
      </c>
      <c r="G52" s="1" t="str">
        <f t="shared" si="3"/>
        <v/>
      </c>
      <c r="M52" s="18">
        <f t="shared" si="1"/>
        <v>0</v>
      </c>
      <c r="N52" s="1" t="str">
        <f t="shared" si="4"/>
        <v/>
      </c>
      <c r="T52" s="18">
        <f t="shared" si="2"/>
        <v>0</v>
      </c>
      <c r="U52" s="1" t="str">
        <f t="shared" si="5"/>
        <v/>
      </c>
      <c r="W52" s="21" t="str">
        <f>IF(C52&gt;0,CONCATENATE("0x",(DEC2HEX(IF(B52&lt;&gt;"",VLOOKUP(B52,Notes!$A$2:$B$37,2,FALSE)*1024,0) + C52*16 + IF(D52="",7,D52)*2 + IF(E52&gt;0, 1, 0))),","),"")</f>
        <v/>
      </c>
      <c r="X52" s="21" t="str">
        <f>IF(J52&gt;0,CONCATENATE("0x",(DEC2HEX(IF(I52&lt;&gt;"",VLOOKUP(I52,Notes!$A$2:$B$37,2,FALSE)*1024,0) + J52*16 + IF(K52="",7,K52)*2 + IF(L52&gt;0, 1, 0))),","),"")</f>
        <v/>
      </c>
      <c r="Y52" s="21" t="str">
        <f>IF(Q52&gt;0,CONCATENATE("0x",(DEC2HEX(IF(P52&lt;&gt;"",VLOOKUP(P52,Notes!$A$2:$B$37,2,FALSE)*1024,0) + Q52*16 + IF(R52="",7,R52)*2 + IF(S52&gt;0, 1, 0))),","),"")</f>
        <v/>
      </c>
    </row>
    <row r="53" spans="2:25" x14ac:dyDescent="0.25">
      <c r="F53" s="18">
        <f t="shared" si="0"/>
        <v>0</v>
      </c>
      <c r="G53" s="1" t="str">
        <f t="shared" si="3"/>
        <v/>
      </c>
      <c r="M53" s="18">
        <f t="shared" si="1"/>
        <v>0</v>
      </c>
      <c r="N53" s="1" t="str">
        <f t="shared" si="4"/>
        <v/>
      </c>
      <c r="T53" s="18">
        <f t="shared" si="2"/>
        <v>0</v>
      </c>
      <c r="U53" s="1" t="str">
        <f t="shared" si="5"/>
        <v/>
      </c>
      <c r="W53" s="21" t="str">
        <f>IF(C53&gt;0,CONCATENATE("0x",(DEC2HEX(IF(B53&lt;&gt;"",VLOOKUP(B53,Notes!$A$2:$B$37,2,FALSE)*1024,0) + C53*16 + IF(D53="",7,D53)*2 + IF(E53&gt;0, 1, 0))),","),"")</f>
        <v/>
      </c>
      <c r="X53" s="21" t="str">
        <f>IF(J53&gt;0,CONCATENATE("0x",(DEC2HEX(IF(I53&lt;&gt;"",VLOOKUP(I53,Notes!$A$2:$B$37,2,FALSE)*1024,0) + J53*16 + IF(K53="",7,K53)*2 + IF(L53&gt;0, 1, 0))),","),"")</f>
        <v/>
      </c>
      <c r="Y53" s="21" t="str">
        <f>IF(Q53&gt;0,CONCATENATE("0x",(DEC2HEX(IF(P53&lt;&gt;"",VLOOKUP(P53,Notes!$A$2:$B$37,2,FALSE)*1024,0) + Q53*16 + IF(R53="",7,R53)*2 + IF(S53&gt;0, 1, 0))),","),"")</f>
        <v/>
      </c>
    </row>
    <row r="54" spans="2:25" x14ac:dyDescent="0.25">
      <c r="F54" s="18">
        <f t="shared" si="0"/>
        <v>0</v>
      </c>
      <c r="G54" s="1" t="str">
        <f t="shared" si="3"/>
        <v/>
      </c>
      <c r="M54" s="18">
        <f t="shared" si="1"/>
        <v>0</v>
      </c>
      <c r="N54" s="1" t="str">
        <f t="shared" si="4"/>
        <v/>
      </c>
      <c r="T54" s="18">
        <f t="shared" si="2"/>
        <v>0</v>
      </c>
      <c r="U54" s="1" t="str">
        <f t="shared" si="5"/>
        <v/>
      </c>
      <c r="W54" s="21" t="str">
        <f>IF(C54&gt;0,CONCATENATE("0x",(DEC2HEX(IF(B54&lt;&gt;"",VLOOKUP(B54,Notes!$A$2:$B$37,2,FALSE)*1024,0) + C54*16 + IF(D54="",7,D54)*2 + IF(E54&gt;0, 1, 0))),","),"")</f>
        <v/>
      </c>
      <c r="X54" s="21" t="str">
        <f>IF(J54&gt;0,CONCATENATE("0x",(DEC2HEX(IF(I54&lt;&gt;"",VLOOKUP(I54,Notes!$A$2:$B$37,2,FALSE)*1024,0) + J54*16 + IF(K54="",7,K54)*2 + IF(L54&gt;0, 1, 0))),","),"")</f>
        <v/>
      </c>
      <c r="Y54" s="21" t="str">
        <f>IF(Q54&gt;0,CONCATENATE("0x",(DEC2HEX(IF(P54&lt;&gt;"",VLOOKUP(P54,Notes!$A$2:$B$37,2,FALSE)*1024,0) + Q54*16 + IF(R54="",7,R54)*2 + IF(S54&gt;0, 1, 0))),","),"")</f>
        <v/>
      </c>
    </row>
    <row r="55" spans="2:25" x14ac:dyDescent="0.25">
      <c r="F55" s="18">
        <f t="shared" si="0"/>
        <v>0</v>
      </c>
      <c r="G55" s="1" t="str">
        <f t="shared" si="3"/>
        <v/>
      </c>
      <c r="M55" s="18">
        <f t="shared" si="1"/>
        <v>0</v>
      </c>
      <c r="N55" s="1" t="str">
        <f t="shared" si="4"/>
        <v/>
      </c>
      <c r="T55" s="18">
        <f t="shared" si="2"/>
        <v>0</v>
      </c>
      <c r="U55" s="1" t="str">
        <f t="shared" si="5"/>
        <v/>
      </c>
      <c r="W55" s="21" t="str">
        <f>IF(C55&gt;0,CONCATENATE("0x",(DEC2HEX(IF(B55&lt;&gt;"",VLOOKUP(B55,Notes!$A$2:$B$37,2,FALSE)*1024,0) + C55*16 + IF(D55="",7,D55)*2 + IF(E55&gt;0, 1, 0))),","),"")</f>
        <v/>
      </c>
      <c r="X55" s="21" t="str">
        <f>IF(J55&gt;0,CONCATENATE("0x",(DEC2HEX(IF(I55&lt;&gt;"",VLOOKUP(I55,Notes!$A$2:$B$37,2,FALSE)*1024,0) + J55*16 + IF(K55="",7,K55)*2 + IF(L55&gt;0, 1, 0))),","),"")</f>
        <v/>
      </c>
      <c r="Y55" s="21" t="str">
        <f>IF(Q55&gt;0,CONCATENATE("0x",(DEC2HEX(IF(P55&lt;&gt;"",VLOOKUP(P55,Notes!$A$2:$B$37,2,FALSE)*1024,0) + Q55*16 + IF(R55="",7,R55)*2 + IF(S55&gt;0, 1, 0))),","),"")</f>
        <v/>
      </c>
    </row>
    <row r="56" spans="2:25" x14ac:dyDescent="0.25">
      <c r="F56" s="18">
        <f t="shared" si="0"/>
        <v>0</v>
      </c>
      <c r="G56" s="1" t="str">
        <f t="shared" si="3"/>
        <v/>
      </c>
      <c r="M56" s="18">
        <f t="shared" si="1"/>
        <v>0</v>
      </c>
      <c r="N56" s="1" t="str">
        <f t="shared" si="4"/>
        <v/>
      </c>
      <c r="T56" s="18">
        <f t="shared" si="2"/>
        <v>0</v>
      </c>
      <c r="U56" s="1" t="str">
        <f t="shared" si="5"/>
        <v/>
      </c>
      <c r="W56" s="21" t="str">
        <f>IF(C56&gt;0,CONCATENATE("0x",(DEC2HEX(IF(B56&lt;&gt;"",VLOOKUP(B56,Notes!$A$2:$B$37,2,FALSE)*1024,0) + C56*16 + IF(D56="",7,D56)*2 + IF(E56&gt;0, 1, 0))),","),"")</f>
        <v/>
      </c>
      <c r="X56" s="21" t="str">
        <f>IF(J56&gt;0,CONCATENATE("0x",(DEC2HEX(IF(I56&lt;&gt;"",VLOOKUP(I56,Notes!$A$2:$B$37,2,FALSE)*1024,0) + J56*16 + IF(K56="",7,K56)*2 + IF(L56&gt;0, 1, 0))),","),"")</f>
        <v/>
      </c>
      <c r="Y56" s="21" t="str">
        <f>IF(Q56&gt;0,CONCATENATE("0x",(DEC2HEX(IF(P56&lt;&gt;"",VLOOKUP(P56,Notes!$A$2:$B$37,2,FALSE)*1024,0) + Q56*16 + IF(R56="",7,R56)*2 + IF(S56&gt;0, 1, 0))),","),"")</f>
        <v/>
      </c>
    </row>
    <row r="57" spans="2:25" x14ac:dyDescent="0.25">
      <c r="B57" s="12"/>
      <c r="C57" s="13"/>
      <c r="D57" s="13"/>
      <c r="E57" s="14"/>
      <c r="F57" s="18">
        <f t="shared" si="0"/>
        <v>0</v>
      </c>
      <c r="G57" s="1" t="str">
        <f t="shared" si="3"/>
        <v/>
      </c>
      <c r="I57" s="12"/>
      <c r="J57" s="13"/>
      <c r="K57" s="13"/>
      <c r="L57" s="14"/>
      <c r="M57" s="18">
        <f t="shared" si="1"/>
        <v>0</v>
      </c>
      <c r="N57" s="1" t="str">
        <f t="shared" si="4"/>
        <v/>
      </c>
      <c r="P57" s="12"/>
      <c r="Q57" s="13"/>
      <c r="R57" s="13"/>
      <c r="S57" s="14"/>
      <c r="T57" s="18">
        <f t="shared" si="2"/>
        <v>0</v>
      </c>
      <c r="U57" s="1" t="str">
        <f t="shared" si="5"/>
        <v/>
      </c>
      <c r="W57" s="21" t="str">
        <f>IF(C57&gt;0,CONCATENATE("0x",(DEC2HEX(IF(B57&lt;&gt;"",VLOOKUP(B57,Notes!$A$2:$B$37,2,FALSE)*1024,0) + C57*16 + IF(D57="",7,D57)*2 + IF(E57&gt;0, 1, 0))),","),"")</f>
        <v/>
      </c>
      <c r="X57" s="21" t="str">
        <f>IF(J57&gt;0,CONCATENATE("0x",(DEC2HEX(IF(I57&lt;&gt;"",VLOOKUP(I57,Notes!$A$2:$B$37,2,FALSE)*1024,0) + J57*16 + IF(K57="",7,K57)*2 + IF(L57&gt;0, 1, 0))),","),"")</f>
        <v/>
      </c>
      <c r="Y57" s="21" t="str">
        <f>IF(Q57&gt;0,CONCATENATE("0x",(DEC2HEX(IF(P57&lt;&gt;"",VLOOKUP(P57,Notes!$A$2:$B$37,2,FALSE)*1024,0) + Q57*16 + IF(R57="",7,R57)*2 + IF(S57&gt;0, 1, 0))),","),"")</f>
        <v/>
      </c>
    </row>
    <row r="58" spans="2:25" x14ac:dyDescent="0.25">
      <c r="F58" s="18">
        <f t="shared" si="0"/>
        <v>0</v>
      </c>
      <c r="G58" s="1" t="str">
        <f t="shared" si="3"/>
        <v/>
      </c>
      <c r="M58" s="18">
        <f t="shared" si="1"/>
        <v>0</v>
      </c>
      <c r="N58" s="1" t="str">
        <f t="shared" si="4"/>
        <v/>
      </c>
      <c r="T58" s="18">
        <f t="shared" si="2"/>
        <v>0</v>
      </c>
      <c r="U58" s="1" t="str">
        <f t="shared" si="5"/>
        <v/>
      </c>
      <c r="W58" s="21" t="str">
        <f>IF(C58&gt;0,CONCATENATE("0x",(DEC2HEX(IF(B58&lt;&gt;"",VLOOKUP(B58,Notes!$A$2:$B$37,2,FALSE)*1024,0) + C58*16 + IF(D58="",7,D58)*2 + IF(E58&gt;0, 1, 0))),","),"")</f>
        <v/>
      </c>
      <c r="X58" s="21" t="str">
        <f>IF(J58&gt;0,CONCATENATE("0x",(DEC2HEX(IF(I58&lt;&gt;"",VLOOKUP(I58,Notes!$A$2:$B$37,2,FALSE)*1024,0) + J58*16 + IF(K58="",7,K58)*2 + IF(L58&gt;0, 1, 0))),","),"")</f>
        <v/>
      </c>
      <c r="Y58" s="21" t="str">
        <f>IF(Q58&gt;0,CONCATENATE("0x",(DEC2HEX(IF(P58&lt;&gt;"",VLOOKUP(P58,Notes!$A$2:$B$37,2,FALSE)*1024,0) + Q58*16 + IF(R58="",7,R58)*2 + IF(S58&gt;0, 1, 0))),","),"")</f>
        <v/>
      </c>
    </row>
    <row r="59" spans="2:25" x14ac:dyDescent="0.25">
      <c r="F59" s="18">
        <f t="shared" si="0"/>
        <v>0</v>
      </c>
      <c r="G59" s="1" t="str">
        <f t="shared" si="3"/>
        <v/>
      </c>
      <c r="M59" s="18">
        <f t="shared" si="1"/>
        <v>0</v>
      </c>
      <c r="N59" s="1" t="str">
        <f t="shared" si="4"/>
        <v/>
      </c>
      <c r="T59" s="18">
        <f t="shared" si="2"/>
        <v>0</v>
      </c>
      <c r="U59" s="1" t="str">
        <f t="shared" si="5"/>
        <v/>
      </c>
      <c r="W59" s="21" t="str">
        <f>IF(C59&gt;0,CONCATENATE("0x",(DEC2HEX(IF(B59&lt;&gt;"",VLOOKUP(B59,Notes!$A$2:$B$37,2,FALSE)*1024,0) + C59*16 + IF(D59="",7,D59)*2 + IF(E59&gt;0, 1, 0))),","),"")</f>
        <v/>
      </c>
      <c r="X59" s="21" t="str">
        <f>IF(J59&gt;0,CONCATENATE("0x",(DEC2HEX(IF(I59&lt;&gt;"",VLOOKUP(I59,Notes!$A$2:$B$37,2,FALSE)*1024,0) + J59*16 + IF(K59="",7,K59)*2 + IF(L59&gt;0, 1, 0))),","),"")</f>
        <v/>
      </c>
      <c r="Y59" s="21" t="str">
        <f>IF(Q59&gt;0,CONCATENATE("0x",(DEC2HEX(IF(P59&lt;&gt;"",VLOOKUP(P59,Notes!$A$2:$B$37,2,FALSE)*1024,0) + Q59*16 + IF(R59="",7,R59)*2 + IF(S59&gt;0, 1, 0))),","),"")</f>
        <v/>
      </c>
    </row>
    <row r="60" spans="2:25" x14ac:dyDescent="0.25">
      <c r="F60" s="18">
        <f t="shared" si="0"/>
        <v>0</v>
      </c>
      <c r="G60" s="1" t="str">
        <f t="shared" si="3"/>
        <v/>
      </c>
      <c r="M60" s="18">
        <f t="shared" si="1"/>
        <v>0</v>
      </c>
      <c r="N60" s="1" t="str">
        <f t="shared" si="4"/>
        <v/>
      </c>
      <c r="T60" s="18">
        <f t="shared" si="2"/>
        <v>0</v>
      </c>
      <c r="U60" s="1" t="str">
        <f t="shared" si="5"/>
        <v/>
      </c>
      <c r="W60" s="21" t="str">
        <f>IF(C60&gt;0,CONCATENATE("0x",(DEC2HEX(IF(B60&lt;&gt;"",VLOOKUP(B60,Notes!$A$2:$B$37,2,FALSE)*1024,0) + C60*16 + IF(D60="",7,D60)*2 + IF(E60&gt;0, 1, 0))),","),"")</f>
        <v/>
      </c>
      <c r="X60" s="21" t="str">
        <f>IF(J60&gt;0,CONCATENATE("0x",(DEC2HEX(IF(I60&lt;&gt;"",VLOOKUP(I60,Notes!$A$2:$B$37,2,FALSE)*1024,0) + J60*16 + IF(K60="",7,K60)*2 + IF(L60&gt;0, 1, 0))),","),"")</f>
        <v/>
      </c>
      <c r="Y60" s="21" t="str">
        <f>IF(Q60&gt;0,CONCATENATE("0x",(DEC2HEX(IF(P60&lt;&gt;"",VLOOKUP(P60,Notes!$A$2:$B$37,2,FALSE)*1024,0) + Q60*16 + IF(R60="",7,R60)*2 + IF(S60&gt;0, 1, 0))),","),"")</f>
        <v/>
      </c>
    </row>
    <row r="61" spans="2:25" x14ac:dyDescent="0.25">
      <c r="F61" s="18">
        <f t="shared" si="0"/>
        <v>0</v>
      </c>
      <c r="G61" s="1" t="str">
        <f t="shared" si="3"/>
        <v/>
      </c>
      <c r="M61" s="18">
        <f t="shared" si="1"/>
        <v>0</v>
      </c>
      <c r="N61" s="1" t="str">
        <f t="shared" si="4"/>
        <v/>
      </c>
      <c r="T61" s="18">
        <f t="shared" si="2"/>
        <v>0</v>
      </c>
      <c r="U61" s="1" t="str">
        <f t="shared" si="5"/>
        <v/>
      </c>
      <c r="W61" s="21" t="str">
        <f>IF(C61&gt;0,CONCATENATE("0x",(DEC2HEX(IF(B61&lt;&gt;"",VLOOKUP(B61,Notes!$A$2:$B$37,2,FALSE)*1024,0) + C61*16 + IF(D61="",7,D61)*2 + IF(E61&gt;0, 1, 0))),","),"")</f>
        <v/>
      </c>
      <c r="X61" s="21" t="str">
        <f>IF(J61&gt;0,CONCATENATE("0x",(DEC2HEX(IF(I61&lt;&gt;"",VLOOKUP(I61,Notes!$A$2:$B$37,2,FALSE)*1024,0) + J61*16 + IF(K61="",7,K61)*2 + IF(L61&gt;0, 1, 0))),","),"")</f>
        <v/>
      </c>
      <c r="Y61" s="21" t="str">
        <f>IF(Q61&gt;0,CONCATENATE("0x",(DEC2HEX(IF(P61&lt;&gt;"",VLOOKUP(P61,Notes!$A$2:$B$37,2,FALSE)*1024,0) + Q61*16 + IF(R61="",7,R61)*2 + IF(S61&gt;0, 1, 0))),","),"")</f>
        <v/>
      </c>
    </row>
    <row r="62" spans="2:25" x14ac:dyDescent="0.25">
      <c r="F62" s="18">
        <f t="shared" si="0"/>
        <v>0</v>
      </c>
      <c r="G62" s="1" t="str">
        <f t="shared" si="3"/>
        <v/>
      </c>
      <c r="M62" s="18">
        <f t="shared" si="1"/>
        <v>0</v>
      </c>
      <c r="N62" s="1" t="str">
        <f t="shared" si="4"/>
        <v/>
      </c>
      <c r="T62" s="18">
        <f t="shared" si="2"/>
        <v>0</v>
      </c>
      <c r="U62" s="1" t="str">
        <f t="shared" si="5"/>
        <v/>
      </c>
      <c r="W62" s="21" t="str">
        <f>IF(C62&gt;0,CONCATENATE("0x",(DEC2HEX(IF(B62&lt;&gt;"",VLOOKUP(B62,Notes!$A$2:$B$37,2,FALSE)*1024,0) + C62*16 + IF(D62="",7,D62)*2 + IF(E62&gt;0, 1, 0))),","),"")</f>
        <v/>
      </c>
      <c r="X62" s="21" t="str">
        <f>IF(J62&gt;0,CONCATENATE("0x",(DEC2HEX(IF(I62&lt;&gt;"",VLOOKUP(I62,Notes!$A$2:$B$37,2,FALSE)*1024,0) + J62*16 + IF(K62="",7,K62)*2 + IF(L62&gt;0, 1, 0))),","),"")</f>
        <v/>
      </c>
      <c r="Y62" s="21" t="str">
        <f>IF(Q62&gt;0,CONCATENATE("0x",(DEC2HEX(IF(P62&lt;&gt;"",VLOOKUP(P62,Notes!$A$2:$B$37,2,FALSE)*1024,0) + Q62*16 + IF(R62="",7,R62)*2 + IF(S62&gt;0, 1, 0))),","),"")</f>
        <v/>
      </c>
    </row>
    <row r="63" spans="2:25" x14ac:dyDescent="0.25">
      <c r="F63" s="18">
        <f t="shared" si="0"/>
        <v>0</v>
      </c>
      <c r="G63" s="1" t="str">
        <f t="shared" si="3"/>
        <v/>
      </c>
      <c r="M63" s="18">
        <f t="shared" si="1"/>
        <v>0</v>
      </c>
      <c r="N63" s="1" t="str">
        <f t="shared" si="4"/>
        <v/>
      </c>
      <c r="T63" s="18">
        <f t="shared" si="2"/>
        <v>0</v>
      </c>
      <c r="U63" s="1" t="str">
        <f t="shared" si="5"/>
        <v/>
      </c>
      <c r="W63" s="21" t="str">
        <f>IF(C63&gt;0,CONCATENATE("0x",(DEC2HEX(IF(B63&lt;&gt;"",VLOOKUP(B63,Notes!$A$2:$B$37,2,FALSE)*1024,0) + C63*16 + IF(D63="",7,D63)*2 + IF(E63&gt;0, 1, 0))),","),"")</f>
        <v/>
      </c>
      <c r="X63" s="21" t="str">
        <f>IF(J63&gt;0,CONCATENATE("0x",(DEC2HEX(IF(I63&lt;&gt;"",VLOOKUP(I63,Notes!$A$2:$B$37,2,FALSE)*1024,0) + J63*16 + IF(K63="",7,K63)*2 + IF(L63&gt;0, 1, 0))),","),"")</f>
        <v/>
      </c>
      <c r="Y63" s="21" t="str">
        <f>IF(Q63&gt;0,CONCATENATE("0x",(DEC2HEX(IF(P63&lt;&gt;"",VLOOKUP(P63,Notes!$A$2:$B$37,2,FALSE)*1024,0) + Q63*16 + IF(R63="",7,R63)*2 + IF(S63&gt;0, 1, 0))),","),"")</f>
        <v/>
      </c>
    </row>
    <row r="64" spans="2:25" x14ac:dyDescent="0.25">
      <c r="F64" s="18">
        <f t="shared" si="0"/>
        <v>0</v>
      </c>
      <c r="G64" s="1" t="str">
        <f t="shared" si="3"/>
        <v/>
      </c>
      <c r="M64" s="18">
        <f t="shared" si="1"/>
        <v>0</v>
      </c>
      <c r="N64" s="1" t="str">
        <f t="shared" si="4"/>
        <v/>
      </c>
      <c r="T64" s="18">
        <f t="shared" si="2"/>
        <v>0</v>
      </c>
      <c r="U64" s="1" t="str">
        <f t="shared" si="5"/>
        <v/>
      </c>
      <c r="W64" s="21" t="str">
        <f>IF(C64&gt;0,CONCATENATE("0x",(DEC2HEX(IF(B64&lt;&gt;"",VLOOKUP(B64,Notes!$A$2:$B$37,2,FALSE)*1024,0) + C64*16 + IF(D64="",7,D64)*2 + IF(E64&gt;0, 1, 0))),","),"")</f>
        <v/>
      </c>
      <c r="X64" s="21" t="str">
        <f>IF(J64&gt;0,CONCATENATE("0x",(DEC2HEX(IF(I64&lt;&gt;"",VLOOKUP(I64,Notes!$A$2:$B$37,2,FALSE)*1024,0) + J64*16 + IF(K64="",7,K64)*2 + IF(L64&gt;0, 1, 0))),","),"")</f>
        <v/>
      </c>
      <c r="Y64" s="21" t="str">
        <f>IF(Q64&gt;0,CONCATENATE("0x",(DEC2HEX(IF(P64&lt;&gt;"",VLOOKUP(P64,Notes!$A$2:$B$37,2,FALSE)*1024,0) + Q64*16 + IF(R64="",7,R64)*2 + IF(S64&gt;0, 1, 0))),","),"")</f>
        <v/>
      </c>
    </row>
    <row r="65" spans="1:25" ht="16.5" thickBot="1" x14ac:dyDescent="0.3">
      <c r="B65" s="15"/>
      <c r="C65" s="16"/>
      <c r="D65" s="16"/>
      <c r="E65" s="17"/>
      <c r="F65" s="18">
        <f t="shared" si="0"/>
        <v>0</v>
      </c>
      <c r="G65" s="1" t="str">
        <f t="shared" si="3"/>
        <v/>
      </c>
      <c r="I65" s="15"/>
      <c r="J65" s="16"/>
      <c r="K65" s="16"/>
      <c r="L65" s="17"/>
      <c r="M65" s="18">
        <f t="shared" si="1"/>
        <v>0</v>
      </c>
      <c r="N65" s="1" t="str">
        <f t="shared" si="4"/>
        <v/>
      </c>
      <c r="P65" s="15"/>
      <c r="Q65" s="16"/>
      <c r="R65" s="16"/>
      <c r="S65" s="17"/>
      <c r="T65" s="18">
        <f t="shared" si="2"/>
        <v>0</v>
      </c>
      <c r="U65" s="1" t="str">
        <f t="shared" si="5"/>
        <v/>
      </c>
      <c r="W65" s="21" t="str">
        <f>IF(C65&gt;0,CONCATENATE("0x",(DEC2HEX(IF(B65&lt;&gt;"",VLOOKUP(B65,Notes!$A$2:$B$37,2,FALSE)*1024,0) + C65*16 + IF(D65="",7,D65)*2 + IF(E65&gt;0, 1, 0))),","),"")</f>
        <v/>
      </c>
      <c r="X65" s="21" t="str">
        <f>IF(J65&gt;0,CONCATENATE("0x",(DEC2HEX(IF(I65&lt;&gt;"",VLOOKUP(I65,Notes!$A$2:$B$37,2,FALSE)*1024,0) + J65*16 + IF(K65="",7,K65)*2 + IF(L65&gt;0, 1, 0))),","),"")</f>
        <v/>
      </c>
      <c r="Y65" s="21" t="str">
        <f>IF(Q65&gt;0,CONCATENATE("0x",(DEC2HEX(IF(P65&lt;&gt;"",VLOOKUP(P65,Notes!$A$2:$B$37,2,FALSE)*1024,0) + Q65*16 + IF(R65="",7,R65)*2 + IF(S65&gt;0, 1, 0))),","),"")</f>
        <v/>
      </c>
    </row>
    <row r="66" spans="1:25" ht="16.5" thickTop="1" x14ac:dyDescent="0.25">
      <c r="A66" s="1">
        <v>3</v>
      </c>
      <c r="F66" s="18">
        <f t="shared" si="0"/>
        <v>0</v>
      </c>
      <c r="G66" s="1" t="str">
        <f t="shared" si="3"/>
        <v/>
      </c>
      <c r="M66" s="18">
        <f t="shared" si="1"/>
        <v>0</v>
      </c>
      <c r="N66" s="1" t="str">
        <f t="shared" si="4"/>
        <v/>
      </c>
      <c r="T66" s="18">
        <f t="shared" si="2"/>
        <v>0</v>
      </c>
      <c r="U66" s="1" t="str">
        <f t="shared" si="5"/>
        <v/>
      </c>
      <c r="W66" s="21" t="str">
        <f>IF(C66&gt;0,CONCATENATE("0x",(DEC2HEX(IF(B66&lt;&gt;"",VLOOKUP(B66,Notes!$A$2:$B$37,2,FALSE)*1024,0) + C66*16 + IF(D66="",7,D66)*2 + IF(E66&gt;0, 1, 0))),","),"")</f>
        <v/>
      </c>
      <c r="X66" s="21" t="str">
        <f>IF(J66&gt;0,CONCATENATE("0x",(DEC2HEX(IF(I66&lt;&gt;"",VLOOKUP(I66,Notes!$A$2:$B$37,2,FALSE)*1024,0) + J66*16 + IF(K66="",7,K66)*2 + IF(L66&gt;0, 1, 0))),","),"")</f>
        <v/>
      </c>
      <c r="Y66" s="21" t="str">
        <f>IF(Q66&gt;0,CONCATENATE("0x",(DEC2HEX(IF(P66&lt;&gt;"",VLOOKUP(P66,Notes!$A$2:$B$37,2,FALSE)*1024,0) + Q66*16 + IF(R66="",7,R66)*2 + IF(S66&gt;0, 1, 0))),","),"")</f>
        <v/>
      </c>
    </row>
    <row r="67" spans="1:25" x14ac:dyDescent="0.25">
      <c r="F67" s="18">
        <f t="shared" ref="F67:F130" si="6">IF(C67&gt;0, C67, MAX(F66-1,0))</f>
        <v>0</v>
      </c>
      <c r="G67" s="1" t="str">
        <f t="shared" si="3"/>
        <v/>
      </c>
      <c r="M67" s="18">
        <f t="shared" ref="M67:M130" si="7">IF(J67&gt;0, J67, MAX(M66-1,0))</f>
        <v>0</v>
      </c>
      <c r="N67" s="1" t="str">
        <f t="shared" si="4"/>
        <v/>
      </c>
      <c r="T67" s="18">
        <f t="shared" ref="T67:T130" si="8">IF(Q67&gt;0, Q67, MAX(T66-1,0))</f>
        <v>0</v>
      </c>
      <c r="U67" s="1" t="str">
        <f t="shared" si="5"/>
        <v/>
      </c>
      <c r="W67" s="21" t="str">
        <f>IF(C67&gt;0,CONCATENATE("0x",(DEC2HEX(IF(B67&lt;&gt;"",VLOOKUP(B67,Notes!$A$2:$B$37,2,FALSE)*1024,0) + C67*16 + IF(D67="",7,D67)*2 + IF(E67&gt;0, 1, 0))),","),"")</f>
        <v/>
      </c>
      <c r="X67" s="21" t="str">
        <f>IF(J67&gt;0,CONCATENATE("0x",(DEC2HEX(IF(I67&lt;&gt;"",VLOOKUP(I67,Notes!$A$2:$B$37,2,FALSE)*1024,0) + J67*16 + IF(K67="",7,K67)*2 + IF(L67&gt;0, 1, 0))),","),"")</f>
        <v/>
      </c>
      <c r="Y67" s="21" t="str">
        <f>IF(Q67&gt;0,CONCATENATE("0x",(DEC2HEX(IF(P67&lt;&gt;"",VLOOKUP(P67,Notes!$A$2:$B$37,2,FALSE)*1024,0) + Q67*16 + IF(R67="",7,R67)*2 + IF(S67&gt;0, 1, 0))),","),"")</f>
        <v/>
      </c>
    </row>
    <row r="68" spans="1:25" x14ac:dyDescent="0.25">
      <c r="F68" s="18">
        <f t="shared" si="6"/>
        <v>0</v>
      </c>
      <c r="G68" s="1" t="str">
        <f t="shared" ref="G68:G131" si="9">IF(AND(F67&gt;1,C68&gt;0), "OVERLAPPING","")</f>
        <v/>
      </c>
      <c r="M68" s="18">
        <f t="shared" si="7"/>
        <v>0</v>
      </c>
      <c r="N68" s="1" t="str">
        <f t="shared" ref="N68:N131" si="10">IF(AND(M67&gt;1,J68&gt;0), "OVERLAPPING","")</f>
        <v/>
      </c>
      <c r="T68" s="18">
        <f t="shared" si="8"/>
        <v>0</v>
      </c>
      <c r="U68" s="1" t="str">
        <f t="shared" ref="U68:U131" si="11">IF(AND(T67&gt;1,Q68&gt;0), "OVERLAPPING","")</f>
        <v/>
      </c>
      <c r="W68" s="21" t="str">
        <f>IF(C68&gt;0,CONCATENATE("0x",(DEC2HEX(IF(B68&lt;&gt;"",VLOOKUP(B68,Notes!$A$2:$B$37,2,FALSE)*1024,0) + C68*16 + IF(D68="",7,D68)*2 + IF(E68&gt;0, 1, 0))),","),"")</f>
        <v/>
      </c>
      <c r="X68" s="21" t="str">
        <f>IF(J68&gt;0,CONCATENATE("0x",(DEC2HEX(IF(I68&lt;&gt;"",VLOOKUP(I68,Notes!$A$2:$B$37,2,FALSE)*1024,0) + J68*16 + IF(K68="",7,K68)*2 + IF(L68&gt;0, 1, 0))),","),"")</f>
        <v/>
      </c>
      <c r="Y68" s="21" t="str">
        <f>IF(Q68&gt;0,CONCATENATE("0x",(DEC2HEX(IF(P68&lt;&gt;"",VLOOKUP(P68,Notes!$A$2:$B$37,2,FALSE)*1024,0) + Q68*16 + IF(R68="",7,R68)*2 + IF(S68&gt;0, 1, 0))),","),"")</f>
        <v/>
      </c>
    </row>
    <row r="69" spans="1:25" x14ac:dyDescent="0.25">
      <c r="F69" s="18">
        <f t="shared" si="6"/>
        <v>0</v>
      </c>
      <c r="G69" s="1" t="str">
        <f t="shared" si="9"/>
        <v/>
      </c>
      <c r="M69" s="18">
        <f t="shared" si="7"/>
        <v>0</v>
      </c>
      <c r="N69" s="1" t="str">
        <f t="shared" si="10"/>
        <v/>
      </c>
      <c r="T69" s="18">
        <f t="shared" si="8"/>
        <v>0</v>
      </c>
      <c r="U69" s="1" t="str">
        <f t="shared" si="11"/>
        <v/>
      </c>
      <c r="W69" s="21" t="str">
        <f>IF(C69&gt;0,CONCATENATE("0x",(DEC2HEX(IF(B69&lt;&gt;"",VLOOKUP(B69,Notes!$A$2:$B$37,2,FALSE)*1024,0) + C69*16 + IF(D69="",7,D69)*2 + IF(E69&gt;0, 1, 0))),","),"")</f>
        <v/>
      </c>
      <c r="X69" s="21" t="str">
        <f>IF(J69&gt;0,CONCATENATE("0x",(DEC2HEX(IF(I69&lt;&gt;"",VLOOKUP(I69,Notes!$A$2:$B$37,2,FALSE)*1024,0) + J69*16 + IF(K69="",7,K69)*2 + IF(L69&gt;0, 1, 0))),","),"")</f>
        <v/>
      </c>
      <c r="Y69" s="21" t="str">
        <f>IF(Q69&gt;0,CONCATENATE("0x",(DEC2HEX(IF(P69&lt;&gt;"",VLOOKUP(P69,Notes!$A$2:$B$37,2,FALSE)*1024,0) + Q69*16 + IF(R69="",7,R69)*2 + IF(S69&gt;0, 1, 0))),","),"")</f>
        <v/>
      </c>
    </row>
    <row r="70" spans="1:25" x14ac:dyDescent="0.25">
      <c r="F70" s="18">
        <f t="shared" si="6"/>
        <v>0</v>
      </c>
      <c r="G70" s="1" t="str">
        <f t="shared" si="9"/>
        <v/>
      </c>
      <c r="M70" s="18">
        <f t="shared" si="7"/>
        <v>0</v>
      </c>
      <c r="N70" s="1" t="str">
        <f t="shared" si="10"/>
        <v/>
      </c>
      <c r="T70" s="18">
        <f t="shared" si="8"/>
        <v>0</v>
      </c>
      <c r="U70" s="1" t="str">
        <f t="shared" si="11"/>
        <v/>
      </c>
      <c r="W70" s="21" t="str">
        <f>IF(C70&gt;0,CONCATENATE("0x",(DEC2HEX(IF(B70&lt;&gt;"",VLOOKUP(B70,Notes!$A$2:$B$37,2,FALSE)*1024,0) + C70*16 + IF(D70="",7,D70)*2 + IF(E70&gt;0, 1, 0))),","),"")</f>
        <v/>
      </c>
      <c r="X70" s="21" t="str">
        <f>IF(J70&gt;0,CONCATENATE("0x",(DEC2HEX(IF(I70&lt;&gt;"",VLOOKUP(I70,Notes!$A$2:$B$37,2,FALSE)*1024,0) + J70*16 + IF(K70="",7,K70)*2 + IF(L70&gt;0, 1, 0))),","),"")</f>
        <v/>
      </c>
      <c r="Y70" s="21" t="str">
        <f>IF(Q70&gt;0,CONCATENATE("0x",(DEC2HEX(IF(P70&lt;&gt;"",VLOOKUP(P70,Notes!$A$2:$B$37,2,FALSE)*1024,0) + Q70*16 + IF(R70="",7,R70)*2 + IF(S70&gt;0, 1, 0))),","),"")</f>
        <v/>
      </c>
    </row>
    <row r="71" spans="1:25" x14ac:dyDescent="0.25">
      <c r="F71" s="18">
        <f t="shared" si="6"/>
        <v>0</v>
      </c>
      <c r="G71" s="1" t="str">
        <f t="shared" si="9"/>
        <v/>
      </c>
      <c r="M71" s="18">
        <f t="shared" si="7"/>
        <v>0</v>
      </c>
      <c r="N71" s="1" t="str">
        <f t="shared" si="10"/>
        <v/>
      </c>
      <c r="T71" s="18">
        <f t="shared" si="8"/>
        <v>0</v>
      </c>
      <c r="U71" s="1" t="str">
        <f t="shared" si="11"/>
        <v/>
      </c>
      <c r="W71" s="21" t="str">
        <f>IF(C71&gt;0,CONCATENATE("0x",(DEC2HEX(IF(B71&lt;&gt;"",VLOOKUP(B71,Notes!$A$2:$B$37,2,FALSE)*1024,0) + C71*16 + IF(D71="",7,D71)*2 + IF(E71&gt;0, 1, 0))),","),"")</f>
        <v/>
      </c>
      <c r="X71" s="21" t="str">
        <f>IF(J71&gt;0,CONCATENATE("0x",(DEC2HEX(IF(I71&lt;&gt;"",VLOOKUP(I71,Notes!$A$2:$B$37,2,FALSE)*1024,0) + J71*16 + IF(K71="",7,K71)*2 + IF(L71&gt;0, 1, 0))),","),"")</f>
        <v/>
      </c>
      <c r="Y71" s="21" t="str">
        <f>IF(Q71&gt;0,CONCATENATE("0x",(DEC2HEX(IF(P71&lt;&gt;"",VLOOKUP(P71,Notes!$A$2:$B$37,2,FALSE)*1024,0) + Q71*16 + IF(R71="",7,R71)*2 + IF(S71&gt;0, 1, 0))),","),"")</f>
        <v/>
      </c>
    </row>
    <row r="72" spans="1:25" x14ac:dyDescent="0.25">
      <c r="F72" s="18">
        <f t="shared" si="6"/>
        <v>0</v>
      </c>
      <c r="G72" s="1" t="str">
        <f t="shared" si="9"/>
        <v/>
      </c>
      <c r="M72" s="18">
        <f t="shared" si="7"/>
        <v>0</v>
      </c>
      <c r="N72" s="1" t="str">
        <f t="shared" si="10"/>
        <v/>
      </c>
      <c r="T72" s="18">
        <f t="shared" si="8"/>
        <v>0</v>
      </c>
      <c r="U72" s="1" t="str">
        <f t="shared" si="11"/>
        <v/>
      </c>
      <c r="W72" s="21" t="str">
        <f>IF(C72&gt;0,CONCATENATE("0x",(DEC2HEX(IF(B72&lt;&gt;"",VLOOKUP(B72,Notes!$A$2:$B$37,2,FALSE)*1024,0) + C72*16 + IF(D72="",7,D72)*2 + IF(E72&gt;0, 1, 0))),","),"")</f>
        <v/>
      </c>
      <c r="X72" s="21" t="str">
        <f>IF(J72&gt;0,CONCATENATE("0x",(DEC2HEX(IF(I72&lt;&gt;"",VLOOKUP(I72,Notes!$A$2:$B$37,2,FALSE)*1024,0) + J72*16 + IF(K72="",7,K72)*2 + IF(L72&gt;0, 1, 0))),","),"")</f>
        <v/>
      </c>
      <c r="Y72" s="21" t="str">
        <f>IF(Q72&gt;0,CONCATENATE("0x",(DEC2HEX(IF(P72&lt;&gt;"",VLOOKUP(P72,Notes!$A$2:$B$37,2,FALSE)*1024,0) + Q72*16 + IF(R72="",7,R72)*2 + IF(S72&gt;0, 1, 0))),","),"")</f>
        <v/>
      </c>
    </row>
    <row r="73" spans="1:25" x14ac:dyDescent="0.25">
      <c r="B73" s="12"/>
      <c r="C73" s="13"/>
      <c r="D73" s="13"/>
      <c r="E73" s="14"/>
      <c r="F73" s="18">
        <f t="shared" si="6"/>
        <v>0</v>
      </c>
      <c r="G73" s="1" t="str">
        <f t="shared" si="9"/>
        <v/>
      </c>
      <c r="I73" s="12"/>
      <c r="J73" s="13"/>
      <c r="K73" s="13"/>
      <c r="L73" s="14"/>
      <c r="M73" s="18">
        <f t="shared" si="7"/>
        <v>0</v>
      </c>
      <c r="N73" s="1" t="str">
        <f t="shared" si="10"/>
        <v/>
      </c>
      <c r="P73" s="12"/>
      <c r="Q73" s="13"/>
      <c r="R73" s="13"/>
      <c r="S73" s="14"/>
      <c r="T73" s="18">
        <f t="shared" si="8"/>
        <v>0</v>
      </c>
      <c r="U73" s="1" t="str">
        <f t="shared" si="11"/>
        <v/>
      </c>
      <c r="W73" s="21" t="str">
        <f>IF(C73&gt;0,CONCATENATE("0x",(DEC2HEX(IF(B73&lt;&gt;"",VLOOKUP(B73,Notes!$A$2:$B$37,2,FALSE)*1024,0) + C73*16 + IF(D73="",7,D73)*2 + IF(E73&gt;0, 1, 0))),","),"")</f>
        <v/>
      </c>
      <c r="X73" s="21" t="str">
        <f>IF(J73&gt;0,CONCATENATE("0x",(DEC2HEX(IF(I73&lt;&gt;"",VLOOKUP(I73,Notes!$A$2:$B$37,2,FALSE)*1024,0) + J73*16 + IF(K73="",7,K73)*2 + IF(L73&gt;0, 1, 0))),","),"")</f>
        <v/>
      </c>
      <c r="Y73" s="21" t="str">
        <f>IF(Q73&gt;0,CONCATENATE("0x",(DEC2HEX(IF(P73&lt;&gt;"",VLOOKUP(P73,Notes!$A$2:$B$37,2,FALSE)*1024,0) + Q73*16 + IF(R73="",7,R73)*2 + IF(S73&gt;0, 1, 0))),","),"")</f>
        <v/>
      </c>
    </row>
    <row r="74" spans="1:25" x14ac:dyDescent="0.25">
      <c r="F74" s="18">
        <f t="shared" si="6"/>
        <v>0</v>
      </c>
      <c r="G74" s="1" t="str">
        <f t="shared" si="9"/>
        <v/>
      </c>
      <c r="M74" s="18">
        <f t="shared" si="7"/>
        <v>0</v>
      </c>
      <c r="N74" s="1" t="str">
        <f t="shared" si="10"/>
        <v/>
      </c>
      <c r="T74" s="18">
        <f t="shared" si="8"/>
        <v>0</v>
      </c>
      <c r="U74" s="1" t="str">
        <f t="shared" si="11"/>
        <v/>
      </c>
      <c r="W74" s="21" t="str">
        <f>IF(C74&gt;0,CONCATENATE("0x",(DEC2HEX(IF(B74&lt;&gt;"",VLOOKUP(B74,Notes!$A$2:$B$37,2,FALSE)*1024,0) + C74*16 + IF(D74="",7,D74)*2 + IF(E74&gt;0, 1, 0))),","),"")</f>
        <v/>
      </c>
      <c r="X74" s="21" t="str">
        <f>IF(J74&gt;0,CONCATENATE("0x",(DEC2HEX(IF(I74&lt;&gt;"",VLOOKUP(I74,Notes!$A$2:$B$37,2,FALSE)*1024,0) + J74*16 + IF(K74="",7,K74)*2 + IF(L74&gt;0, 1, 0))),","),"")</f>
        <v/>
      </c>
      <c r="Y74" s="21" t="str">
        <f>IF(Q74&gt;0,CONCATENATE("0x",(DEC2HEX(IF(P74&lt;&gt;"",VLOOKUP(P74,Notes!$A$2:$B$37,2,FALSE)*1024,0) + Q74*16 + IF(R74="",7,R74)*2 + IF(S74&gt;0, 1, 0))),","),"")</f>
        <v/>
      </c>
    </row>
    <row r="75" spans="1:25" x14ac:dyDescent="0.25">
      <c r="F75" s="18">
        <f t="shared" si="6"/>
        <v>0</v>
      </c>
      <c r="G75" s="1" t="str">
        <f t="shared" si="9"/>
        <v/>
      </c>
      <c r="M75" s="18">
        <f t="shared" si="7"/>
        <v>0</v>
      </c>
      <c r="N75" s="1" t="str">
        <f t="shared" si="10"/>
        <v/>
      </c>
      <c r="T75" s="18">
        <f t="shared" si="8"/>
        <v>0</v>
      </c>
      <c r="U75" s="1" t="str">
        <f t="shared" si="11"/>
        <v/>
      </c>
      <c r="W75" s="21" t="str">
        <f>IF(C75&gt;0,CONCATENATE("0x",(DEC2HEX(IF(B75&lt;&gt;"",VLOOKUP(B75,Notes!$A$2:$B$37,2,FALSE)*1024,0) + C75*16 + IF(D75="",7,D75)*2 + IF(E75&gt;0, 1, 0))),","),"")</f>
        <v/>
      </c>
      <c r="X75" s="21" t="str">
        <f>IF(J75&gt;0,CONCATENATE("0x",(DEC2HEX(IF(I75&lt;&gt;"",VLOOKUP(I75,Notes!$A$2:$B$37,2,FALSE)*1024,0) + J75*16 + IF(K75="",7,K75)*2 + IF(L75&gt;0, 1, 0))),","),"")</f>
        <v/>
      </c>
      <c r="Y75" s="21" t="str">
        <f>IF(Q75&gt;0,CONCATENATE("0x",(DEC2HEX(IF(P75&lt;&gt;"",VLOOKUP(P75,Notes!$A$2:$B$37,2,FALSE)*1024,0) + Q75*16 + IF(R75="",7,R75)*2 + IF(S75&gt;0, 1, 0))),","),"")</f>
        <v/>
      </c>
    </row>
    <row r="76" spans="1:25" x14ac:dyDescent="0.25">
      <c r="F76" s="18">
        <f t="shared" si="6"/>
        <v>0</v>
      </c>
      <c r="G76" s="1" t="str">
        <f t="shared" si="9"/>
        <v/>
      </c>
      <c r="M76" s="18">
        <f t="shared" si="7"/>
        <v>0</v>
      </c>
      <c r="N76" s="1" t="str">
        <f t="shared" si="10"/>
        <v/>
      </c>
      <c r="T76" s="18">
        <f t="shared" si="8"/>
        <v>0</v>
      </c>
      <c r="U76" s="1" t="str">
        <f t="shared" si="11"/>
        <v/>
      </c>
      <c r="W76" s="21" t="str">
        <f>IF(C76&gt;0,CONCATENATE("0x",(DEC2HEX(IF(B76&lt;&gt;"",VLOOKUP(B76,Notes!$A$2:$B$37,2,FALSE)*1024,0) + C76*16 + IF(D76="",7,D76)*2 + IF(E76&gt;0, 1, 0))),","),"")</f>
        <v/>
      </c>
      <c r="X76" s="21" t="str">
        <f>IF(J76&gt;0,CONCATENATE("0x",(DEC2HEX(IF(I76&lt;&gt;"",VLOOKUP(I76,Notes!$A$2:$B$37,2,FALSE)*1024,0) + J76*16 + IF(K76="",7,K76)*2 + IF(L76&gt;0, 1, 0))),","),"")</f>
        <v/>
      </c>
      <c r="Y76" s="21" t="str">
        <f>IF(Q76&gt;0,CONCATENATE("0x",(DEC2HEX(IF(P76&lt;&gt;"",VLOOKUP(P76,Notes!$A$2:$B$37,2,FALSE)*1024,0) + Q76*16 + IF(R76="",7,R76)*2 + IF(S76&gt;0, 1, 0))),","),"")</f>
        <v/>
      </c>
    </row>
    <row r="77" spans="1:25" x14ac:dyDescent="0.25">
      <c r="F77" s="18">
        <f t="shared" si="6"/>
        <v>0</v>
      </c>
      <c r="G77" s="1" t="str">
        <f t="shared" si="9"/>
        <v/>
      </c>
      <c r="M77" s="18">
        <f t="shared" si="7"/>
        <v>0</v>
      </c>
      <c r="N77" s="1" t="str">
        <f t="shared" si="10"/>
        <v/>
      </c>
      <c r="T77" s="18">
        <f t="shared" si="8"/>
        <v>0</v>
      </c>
      <c r="U77" s="1" t="str">
        <f t="shared" si="11"/>
        <v/>
      </c>
      <c r="W77" s="21" t="str">
        <f>IF(C77&gt;0,CONCATENATE("0x",(DEC2HEX(IF(B77&lt;&gt;"",VLOOKUP(B77,Notes!$A$2:$B$37,2,FALSE)*1024,0) + C77*16 + IF(D77="",7,D77)*2 + IF(E77&gt;0, 1, 0))),","),"")</f>
        <v/>
      </c>
      <c r="X77" s="21" t="str">
        <f>IF(J77&gt;0,CONCATENATE("0x",(DEC2HEX(IF(I77&lt;&gt;"",VLOOKUP(I77,Notes!$A$2:$B$37,2,FALSE)*1024,0) + J77*16 + IF(K77="",7,K77)*2 + IF(L77&gt;0, 1, 0))),","),"")</f>
        <v/>
      </c>
      <c r="Y77" s="21" t="str">
        <f>IF(Q77&gt;0,CONCATENATE("0x",(DEC2HEX(IF(P77&lt;&gt;"",VLOOKUP(P77,Notes!$A$2:$B$37,2,FALSE)*1024,0) + Q77*16 + IF(R77="",7,R77)*2 + IF(S77&gt;0, 1, 0))),","),"")</f>
        <v/>
      </c>
    </row>
    <row r="78" spans="1:25" x14ac:dyDescent="0.25">
      <c r="F78" s="18">
        <f t="shared" si="6"/>
        <v>0</v>
      </c>
      <c r="G78" s="1" t="str">
        <f t="shared" si="9"/>
        <v/>
      </c>
      <c r="M78" s="18">
        <f t="shared" si="7"/>
        <v>0</v>
      </c>
      <c r="N78" s="1" t="str">
        <f t="shared" si="10"/>
        <v/>
      </c>
      <c r="T78" s="18">
        <f t="shared" si="8"/>
        <v>0</v>
      </c>
      <c r="U78" s="1" t="str">
        <f t="shared" si="11"/>
        <v/>
      </c>
      <c r="W78" s="21" t="str">
        <f>IF(C78&gt;0,CONCATENATE("0x",(DEC2HEX(IF(B78&lt;&gt;"",VLOOKUP(B78,Notes!$A$2:$B$37,2,FALSE)*1024,0) + C78*16 + IF(D78="",7,D78)*2 + IF(E78&gt;0, 1, 0))),","),"")</f>
        <v/>
      </c>
      <c r="X78" s="21" t="str">
        <f>IF(J78&gt;0,CONCATENATE("0x",(DEC2HEX(IF(I78&lt;&gt;"",VLOOKUP(I78,Notes!$A$2:$B$37,2,FALSE)*1024,0) + J78*16 + IF(K78="",7,K78)*2 + IF(L78&gt;0, 1, 0))),","),"")</f>
        <v/>
      </c>
      <c r="Y78" s="21" t="str">
        <f>IF(Q78&gt;0,CONCATENATE("0x",(DEC2HEX(IF(P78&lt;&gt;"",VLOOKUP(P78,Notes!$A$2:$B$37,2,FALSE)*1024,0) + Q78*16 + IF(R78="",7,R78)*2 + IF(S78&gt;0, 1, 0))),","),"")</f>
        <v/>
      </c>
    </row>
    <row r="79" spans="1:25" x14ac:dyDescent="0.25">
      <c r="F79" s="18">
        <f t="shared" si="6"/>
        <v>0</v>
      </c>
      <c r="G79" s="1" t="str">
        <f t="shared" si="9"/>
        <v/>
      </c>
      <c r="M79" s="18">
        <f t="shared" si="7"/>
        <v>0</v>
      </c>
      <c r="N79" s="1" t="str">
        <f t="shared" si="10"/>
        <v/>
      </c>
      <c r="T79" s="18">
        <f t="shared" si="8"/>
        <v>0</v>
      </c>
      <c r="U79" s="1" t="str">
        <f t="shared" si="11"/>
        <v/>
      </c>
      <c r="W79" s="21" t="str">
        <f>IF(C79&gt;0,CONCATENATE("0x",(DEC2HEX(IF(B79&lt;&gt;"",VLOOKUP(B79,Notes!$A$2:$B$37,2,FALSE)*1024,0) + C79*16 + IF(D79="",7,D79)*2 + IF(E79&gt;0, 1, 0))),","),"")</f>
        <v/>
      </c>
      <c r="X79" s="21" t="str">
        <f>IF(J79&gt;0,CONCATENATE("0x",(DEC2HEX(IF(I79&lt;&gt;"",VLOOKUP(I79,Notes!$A$2:$B$37,2,FALSE)*1024,0) + J79*16 + IF(K79="",7,K79)*2 + IF(L79&gt;0, 1, 0))),","),"")</f>
        <v/>
      </c>
      <c r="Y79" s="21" t="str">
        <f>IF(Q79&gt;0,CONCATENATE("0x",(DEC2HEX(IF(P79&lt;&gt;"",VLOOKUP(P79,Notes!$A$2:$B$37,2,FALSE)*1024,0) + Q79*16 + IF(R79="",7,R79)*2 + IF(S79&gt;0, 1, 0))),","),"")</f>
        <v/>
      </c>
    </row>
    <row r="80" spans="1:25" x14ac:dyDescent="0.25">
      <c r="F80" s="18">
        <f t="shared" si="6"/>
        <v>0</v>
      </c>
      <c r="G80" s="1" t="str">
        <f t="shared" si="9"/>
        <v/>
      </c>
      <c r="M80" s="18">
        <f t="shared" si="7"/>
        <v>0</v>
      </c>
      <c r="N80" s="1" t="str">
        <f t="shared" si="10"/>
        <v/>
      </c>
      <c r="T80" s="18">
        <f t="shared" si="8"/>
        <v>0</v>
      </c>
      <c r="U80" s="1" t="str">
        <f t="shared" si="11"/>
        <v/>
      </c>
      <c r="W80" s="21" t="str">
        <f>IF(C80&gt;0,CONCATENATE("0x",(DEC2HEX(IF(B80&lt;&gt;"",VLOOKUP(B80,Notes!$A$2:$B$37,2,FALSE)*1024,0) + C80*16 + IF(D80="",7,D80)*2 + IF(E80&gt;0, 1, 0))),","),"")</f>
        <v/>
      </c>
      <c r="X80" s="21" t="str">
        <f>IF(J80&gt;0,CONCATENATE("0x",(DEC2HEX(IF(I80&lt;&gt;"",VLOOKUP(I80,Notes!$A$2:$B$37,2,FALSE)*1024,0) + J80*16 + IF(K80="",7,K80)*2 + IF(L80&gt;0, 1, 0))),","),"")</f>
        <v/>
      </c>
      <c r="Y80" s="21" t="str">
        <f>IF(Q80&gt;0,CONCATENATE("0x",(DEC2HEX(IF(P80&lt;&gt;"",VLOOKUP(P80,Notes!$A$2:$B$37,2,FALSE)*1024,0) + Q80*16 + IF(R80="",7,R80)*2 + IF(S80&gt;0, 1, 0))),","),"")</f>
        <v/>
      </c>
    </row>
    <row r="81" spans="2:25" x14ac:dyDescent="0.25">
      <c r="B81" s="12"/>
      <c r="C81" s="13"/>
      <c r="D81" s="13"/>
      <c r="E81" s="14"/>
      <c r="F81" s="18">
        <f t="shared" si="6"/>
        <v>0</v>
      </c>
      <c r="G81" s="1" t="str">
        <f t="shared" si="9"/>
        <v/>
      </c>
      <c r="I81" s="12"/>
      <c r="J81" s="13"/>
      <c r="K81" s="13"/>
      <c r="L81" s="14"/>
      <c r="M81" s="18">
        <f t="shared" si="7"/>
        <v>0</v>
      </c>
      <c r="N81" s="1" t="str">
        <f t="shared" si="10"/>
        <v/>
      </c>
      <c r="P81" s="12"/>
      <c r="Q81" s="13"/>
      <c r="R81" s="13"/>
      <c r="S81" s="14"/>
      <c r="T81" s="18">
        <f t="shared" si="8"/>
        <v>0</v>
      </c>
      <c r="U81" s="1" t="str">
        <f t="shared" si="11"/>
        <v/>
      </c>
      <c r="W81" s="21" t="str">
        <f>IF(C81&gt;0,CONCATENATE("0x",(DEC2HEX(IF(B81&lt;&gt;"",VLOOKUP(B81,Notes!$A$2:$B$37,2,FALSE)*1024,0) + C81*16 + IF(D81="",7,D81)*2 + IF(E81&gt;0, 1, 0))),","),"")</f>
        <v/>
      </c>
      <c r="X81" s="21" t="str">
        <f>IF(J81&gt;0,CONCATENATE("0x",(DEC2HEX(IF(I81&lt;&gt;"",VLOOKUP(I81,Notes!$A$2:$B$37,2,FALSE)*1024,0) + J81*16 + IF(K81="",7,K81)*2 + IF(L81&gt;0, 1, 0))),","),"")</f>
        <v/>
      </c>
      <c r="Y81" s="21" t="str">
        <f>IF(Q81&gt;0,CONCATENATE("0x",(DEC2HEX(IF(P81&lt;&gt;"",VLOOKUP(P81,Notes!$A$2:$B$37,2,FALSE)*1024,0) + Q81*16 + IF(R81="",7,R81)*2 + IF(S81&gt;0, 1, 0))),","),"")</f>
        <v/>
      </c>
    </row>
    <row r="82" spans="2:25" x14ac:dyDescent="0.25">
      <c r="F82" s="18">
        <f t="shared" si="6"/>
        <v>0</v>
      </c>
      <c r="G82" s="1" t="str">
        <f t="shared" si="9"/>
        <v/>
      </c>
      <c r="M82" s="18">
        <f t="shared" si="7"/>
        <v>0</v>
      </c>
      <c r="N82" s="1" t="str">
        <f t="shared" si="10"/>
        <v/>
      </c>
      <c r="T82" s="18">
        <f t="shared" si="8"/>
        <v>0</v>
      </c>
      <c r="U82" s="1" t="str">
        <f t="shared" si="11"/>
        <v/>
      </c>
      <c r="W82" s="21" t="str">
        <f>IF(C82&gt;0,CONCATENATE("0x",(DEC2HEX(IF(B82&lt;&gt;"",VLOOKUP(B82,Notes!$A$2:$B$37,2,FALSE)*1024,0) + C82*16 + IF(D82="",7,D82)*2 + IF(E82&gt;0, 1, 0))),","),"")</f>
        <v/>
      </c>
      <c r="X82" s="21" t="str">
        <f>IF(J82&gt;0,CONCATENATE("0x",(DEC2HEX(IF(I82&lt;&gt;"",VLOOKUP(I82,Notes!$A$2:$B$37,2,FALSE)*1024,0) + J82*16 + IF(K82="",7,K82)*2 + IF(L82&gt;0, 1, 0))),","),"")</f>
        <v/>
      </c>
      <c r="Y82" s="21" t="str">
        <f>IF(Q82&gt;0,CONCATENATE("0x",(DEC2HEX(IF(P82&lt;&gt;"",VLOOKUP(P82,Notes!$A$2:$B$37,2,FALSE)*1024,0) + Q82*16 + IF(R82="",7,R82)*2 + IF(S82&gt;0, 1, 0))),","),"")</f>
        <v/>
      </c>
    </row>
    <row r="83" spans="2:25" x14ac:dyDescent="0.25">
      <c r="F83" s="18">
        <f t="shared" si="6"/>
        <v>0</v>
      </c>
      <c r="G83" s="1" t="str">
        <f t="shared" si="9"/>
        <v/>
      </c>
      <c r="M83" s="18">
        <f t="shared" si="7"/>
        <v>0</v>
      </c>
      <c r="N83" s="1" t="str">
        <f t="shared" si="10"/>
        <v/>
      </c>
      <c r="T83" s="18">
        <f t="shared" si="8"/>
        <v>0</v>
      </c>
      <c r="U83" s="1" t="str">
        <f t="shared" si="11"/>
        <v/>
      </c>
      <c r="W83" s="21" t="str">
        <f>IF(C83&gt;0,CONCATENATE("0x",(DEC2HEX(IF(B83&lt;&gt;"",VLOOKUP(B83,Notes!$A$2:$B$37,2,FALSE)*1024,0) + C83*16 + IF(D83="",7,D83)*2 + IF(E83&gt;0, 1, 0))),","),"")</f>
        <v/>
      </c>
      <c r="X83" s="21" t="str">
        <f>IF(J83&gt;0,CONCATENATE("0x",(DEC2HEX(IF(I83&lt;&gt;"",VLOOKUP(I83,Notes!$A$2:$B$37,2,FALSE)*1024,0) + J83*16 + IF(K83="",7,K83)*2 + IF(L83&gt;0, 1, 0))),","),"")</f>
        <v/>
      </c>
      <c r="Y83" s="21" t="str">
        <f>IF(Q83&gt;0,CONCATENATE("0x",(DEC2HEX(IF(P83&lt;&gt;"",VLOOKUP(P83,Notes!$A$2:$B$37,2,FALSE)*1024,0) + Q83*16 + IF(R83="",7,R83)*2 + IF(S83&gt;0, 1, 0))),","),"")</f>
        <v/>
      </c>
    </row>
    <row r="84" spans="2:25" x14ac:dyDescent="0.25">
      <c r="F84" s="18">
        <f t="shared" si="6"/>
        <v>0</v>
      </c>
      <c r="G84" s="1" t="str">
        <f t="shared" si="9"/>
        <v/>
      </c>
      <c r="M84" s="18">
        <f t="shared" si="7"/>
        <v>0</v>
      </c>
      <c r="N84" s="1" t="str">
        <f t="shared" si="10"/>
        <v/>
      </c>
      <c r="T84" s="18">
        <f t="shared" si="8"/>
        <v>0</v>
      </c>
      <c r="U84" s="1" t="str">
        <f t="shared" si="11"/>
        <v/>
      </c>
      <c r="W84" s="21" t="str">
        <f>IF(C84&gt;0,CONCATENATE("0x",(DEC2HEX(IF(B84&lt;&gt;"",VLOOKUP(B84,Notes!$A$2:$B$37,2,FALSE)*1024,0) + C84*16 + IF(D84="",7,D84)*2 + IF(E84&gt;0, 1, 0))),","),"")</f>
        <v/>
      </c>
      <c r="X84" s="21" t="str">
        <f>IF(J84&gt;0,CONCATENATE("0x",(DEC2HEX(IF(I84&lt;&gt;"",VLOOKUP(I84,Notes!$A$2:$B$37,2,FALSE)*1024,0) + J84*16 + IF(K84="",7,K84)*2 + IF(L84&gt;0, 1, 0))),","),"")</f>
        <v/>
      </c>
      <c r="Y84" s="21" t="str">
        <f>IF(Q84&gt;0,CONCATENATE("0x",(DEC2HEX(IF(P84&lt;&gt;"",VLOOKUP(P84,Notes!$A$2:$B$37,2,FALSE)*1024,0) + Q84*16 + IF(R84="",7,R84)*2 + IF(S84&gt;0, 1, 0))),","),"")</f>
        <v/>
      </c>
    </row>
    <row r="85" spans="2:25" x14ac:dyDescent="0.25">
      <c r="F85" s="18">
        <f t="shared" si="6"/>
        <v>0</v>
      </c>
      <c r="G85" s="1" t="str">
        <f t="shared" si="9"/>
        <v/>
      </c>
      <c r="M85" s="18">
        <f t="shared" si="7"/>
        <v>0</v>
      </c>
      <c r="N85" s="1" t="str">
        <f t="shared" si="10"/>
        <v/>
      </c>
      <c r="T85" s="18">
        <f t="shared" si="8"/>
        <v>0</v>
      </c>
      <c r="U85" s="1" t="str">
        <f t="shared" si="11"/>
        <v/>
      </c>
      <c r="W85" s="21" t="str">
        <f>IF(C85&gt;0,CONCATENATE("0x",(DEC2HEX(IF(B85&lt;&gt;"",VLOOKUP(B85,Notes!$A$2:$B$37,2,FALSE)*1024,0) + C85*16 + IF(D85="",7,D85)*2 + IF(E85&gt;0, 1, 0))),","),"")</f>
        <v/>
      </c>
      <c r="X85" s="21" t="str">
        <f>IF(J85&gt;0,CONCATENATE("0x",(DEC2HEX(IF(I85&lt;&gt;"",VLOOKUP(I85,Notes!$A$2:$B$37,2,FALSE)*1024,0) + J85*16 + IF(K85="",7,K85)*2 + IF(L85&gt;0, 1, 0))),","),"")</f>
        <v/>
      </c>
      <c r="Y85" s="21" t="str">
        <f>IF(Q85&gt;0,CONCATENATE("0x",(DEC2HEX(IF(P85&lt;&gt;"",VLOOKUP(P85,Notes!$A$2:$B$37,2,FALSE)*1024,0) + Q85*16 + IF(R85="",7,R85)*2 + IF(S85&gt;0, 1, 0))),","),"")</f>
        <v/>
      </c>
    </row>
    <row r="86" spans="2:25" x14ac:dyDescent="0.25">
      <c r="F86" s="18">
        <f t="shared" si="6"/>
        <v>0</v>
      </c>
      <c r="G86" s="1" t="str">
        <f t="shared" si="9"/>
        <v/>
      </c>
      <c r="M86" s="18">
        <f t="shared" si="7"/>
        <v>0</v>
      </c>
      <c r="N86" s="1" t="str">
        <f t="shared" si="10"/>
        <v/>
      </c>
      <c r="T86" s="18">
        <f t="shared" si="8"/>
        <v>0</v>
      </c>
      <c r="U86" s="1" t="str">
        <f t="shared" si="11"/>
        <v/>
      </c>
      <c r="W86" s="21" t="str">
        <f>IF(C86&gt;0,CONCATENATE("0x",(DEC2HEX(IF(B86&lt;&gt;"",VLOOKUP(B86,Notes!$A$2:$B$37,2,FALSE)*1024,0) + C86*16 + IF(D86="",7,D86)*2 + IF(E86&gt;0, 1, 0))),","),"")</f>
        <v/>
      </c>
      <c r="X86" s="21" t="str">
        <f>IF(J86&gt;0,CONCATENATE("0x",(DEC2HEX(IF(I86&lt;&gt;"",VLOOKUP(I86,Notes!$A$2:$B$37,2,FALSE)*1024,0) + J86*16 + IF(K86="",7,K86)*2 + IF(L86&gt;0, 1, 0))),","),"")</f>
        <v/>
      </c>
      <c r="Y86" s="21" t="str">
        <f>IF(Q86&gt;0,CONCATENATE("0x",(DEC2HEX(IF(P86&lt;&gt;"",VLOOKUP(P86,Notes!$A$2:$B$37,2,FALSE)*1024,0) + Q86*16 + IF(R86="",7,R86)*2 + IF(S86&gt;0, 1, 0))),","),"")</f>
        <v/>
      </c>
    </row>
    <row r="87" spans="2:25" x14ac:dyDescent="0.25">
      <c r="F87" s="18">
        <f t="shared" si="6"/>
        <v>0</v>
      </c>
      <c r="G87" s="1" t="str">
        <f t="shared" si="9"/>
        <v/>
      </c>
      <c r="M87" s="18">
        <f t="shared" si="7"/>
        <v>0</v>
      </c>
      <c r="N87" s="1" t="str">
        <f t="shared" si="10"/>
        <v/>
      </c>
      <c r="T87" s="18">
        <f t="shared" si="8"/>
        <v>0</v>
      </c>
      <c r="U87" s="1" t="str">
        <f t="shared" si="11"/>
        <v/>
      </c>
      <c r="W87" s="21" t="str">
        <f>IF(C87&gt;0,CONCATENATE("0x",(DEC2HEX(IF(B87&lt;&gt;"",VLOOKUP(B87,Notes!$A$2:$B$37,2,FALSE)*1024,0) + C87*16 + IF(D87="",7,D87)*2 + IF(E87&gt;0, 1, 0))),","),"")</f>
        <v/>
      </c>
      <c r="X87" s="21" t="str">
        <f>IF(J87&gt;0,CONCATENATE("0x",(DEC2HEX(IF(I87&lt;&gt;"",VLOOKUP(I87,Notes!$A$2:$B$37,2,FALSE)*1024,0) + J87*16 + IF(K87="",7,K87)*2 + IF(L87&gt;0, 1, 0))),","),"")</f>
        <v/>
      </c>
      <c r="Y87" s="21" t="str">
        <f>IF(Q87&gt;0,CONCATENATE("0x",(DEC2HEX(IF(P87&lt;&gt;"",VLOOKUP(P87,Notes!$A$2:$B$37,2,FALSE)*1024,0) + Q87*16 + IF(R87="",7,R87)*2 + IF(S87&gt;0, 1, 0))),","),"")</f>
        <v/>
      </c>
    </row>
    <row r="88" spans="2:25" x14ac:dyDescent="0.25">
      <c r="F88" s="18">
        <f t="shared" si="6"/>
        <v>0</v>
      </c>
      <c r="G88" s="1" t="str">
        <f t="shared" si="9"/>
        <v/>
      </c>
      <c r="M88" s="18">
        <f t="shared" si="7"/>
        <v>0</v>
      </c>
      <c r="N88" s="1" t="str">
        <f t="shared" si="10"/>
        <v/>
      </c>
      <c r="T88" s="18">
        <f t="shared" si="8"/>
        <v>0</v>
      </c>
      <c r="U88" s="1" t="str">
        <f t="shared" si="11"/>
        <v/>
      </c>
      <c r="W88" s="21" t="str">
        <f>IF(C88&gt;0,CONCATENATE("0x",(DEC2HEX(IF(B88&lt;&gt;"",VLOOKUP(B88,Notes!$A$2:$B$37,2,FALSE)*1024,0) + C88*16 + IF(D88="",7,D88)*2 + IF(E88&gt;0, 1, 0))),","),"")</f>
        <v/>
      </c>
      <c r="X88" s="21" t="str">
        <f>IF(J88&gt;0,CONCATENATE("0x",(DEC2HEX(IF(I88&lt;&gt;"",VLOOKUP(I88,Notes!$A$2:$B$37,2,FALSE)*1024,0) + J88*16 + IF(K88="",7,K88)*2 + IF(L88&gt;0, 1, 0))),","),"")</f>
        <v/>
      </c>
      <c r="Y88" s="21" t="str">
        <f>IF(Q88&gt;0,CONCATENATE("0x",(DEC2HEX(IF(P88&lt;&gt;"",VLOOKUP(P88,Notes!$A$2:$B$37,2,FALSE)*1024,0) + Q88*16 + IF(R88="",7,R88)*2 + IF(S88&gt;0, 1, 0))),","),"")</f>
        <v/>
      </c>
    </row>
    <row r="89" spans="2:25" x14ac:dyDescent="0.25">
      <c r="B89" s="12"/>
      <c r="C89" s="13"/>
      <c r="D89" s="13"/>
      <c r="E89" s="14"/>
      <c r="F89" s="18">
        <f t="shared" si="6"/>
        <v>0</v>
      </c>
      <c r="G89" s="1" t="str">
        <f t="shared" si="9"/>
        <v/>
      </c>
      <c r="I89" s="12"/>
      <c r="J89" s="13"/>
      <c r="K89" s="13"/>
      <c r="L89" s="14"/>
      <c r="M89" s="18">
        <f t="shared" si="7"/>
        <v>0</v>
      </c>
      <c r="N89" s="1" t="str">
        <f t="shared" si="10"/>
        <v/>
      </c>
      <c r="P89" s="12"/>
      <c r="Q89" s="13"/>
      <c r="R89" s="13"/>
      <c r="S89" s="14"/>
      <c r="T89" s="18">
        <f t="shared" si="8"/>
        <v>0</v>
      </c>
      <c r="U89" s="1" t="str">
        <f t="shared" si="11"/>
        <v/>
      </c>
      <c r="W89" s="21" t="str">
        <f>IF(C89&gt;0,CONCATENATE("0x",(DEC2HEX(IF(B89&lt;&gt;"",VLOOKUP(B89,Notes!$A$2:$B$37,2,FALSE)*1024,0) + C89*16 + IF(D89="",7,D89)*2 + IF(E89&gt;0, 1, 0))),","),"")</f>
        <v/>
      </c>
      <c r="X89" s="21" t="str">
        <f>IF(J89&gt;0,CONCATENATE("0x",(DEC2HEX(IF(I89&lt;&gt;"",VLOOKUP(I89,Notes!$A$2:$B$37,2,FALSE)*1024,0) + J89*16 + IF(K89="",7,K89)*2 + IF(L89&gt;0, 1, 0))),","),"")</f>
        <v/>
      </c>
      <c r="Y89" s="21" t="str">
        <f>IF(Q89&gt;0,CONCATENATE("0x",(DEC2HEX(IF(P89&lt;&gt;"",VLOOKUP(P89,Notes!$A$2:$B$37,2,FALSE)*1024,0) + Q89*16 + IF(R89="",7,R89)*2 + IF(S89&gt;0, 1, 0))),","),"")</f>
        <v/>
      </c>
    </row>
    <row r="90" spans="2:25" x14ac:dyDescent="0.25">
      <c r="F90" s="18">
        <f t="shared" si="6"/>
        <v>0</v>
      </c>
      <c r="G90" s="1" t="str">
        <f t="shared" si="9"/>
        <v/>
      </c>
      <c r="M90" s="18">
        <f t="shared" si="7"/>
        <v>0</v>
      </c>
      <c r="N90" s="1" t="str">
        <f t="shared" si="10"/>
        <v/>
      </c>
      <c r="T90" s="18">
        <f t="shared" si="8"/>
        <v>0</v>
      </c>
      <c r="U90" s="1" t="str">
        <f t="shared" si="11"/>
        <v/>
      </c>
      <c r="W90" s="21" t="str">
        <f>IF(C90&gt;0,CONCATENATE("0x",(DEC2HEX(IF(B90&lt;&gt;"",VLOOKUP(B90,Notes!$A$2:$B$37,2,FALSE)*1024,0) + C90*16 + IF(D90="",7,D90)*2 + IF(E90&gt;0, 1, 0))),","),"")</f>
        <v/>
      </c>
      <c r="X90" s="21" t="str">
        <f>IF(J90&gt;0,CONCATENATE("0x",(DEC2HEX(IF(I90&lt;&gt;"",VLOOKUP(I90,Notes!$A$2:$B$37,2,FALSE)*1024,0) + J90*16 + IF(K90="",7,K90)*2 + IF(L90&gt;0, 1, 0))),","),"")</f>
        <v/>
      </c>
      <c r="Y90" s="21" t="str">
        <f>IF(Q90&gt;0,CONCATENATE("0x",(DEC2HEX(IF(P90&lt;&gt;"",VLOOKUP(P90,Notes!$A$2:$B$37,2,FALSE)*1024,0) + Q90*16 + IF(R90="",7,R90)*2 + IF(S90&gt;0, 1, 0))),","),"")</f>
        <v/>
      </c>
    </row>
    <row r="91" spans="2:25" x14ac:dyDescent="0.25">
      <c r="F91" s="18">
        <f t="shared" si="6"/>
        <v>0</v>
      </c>
      <c r="G91" s="1" t="str">
        <f t="shared" si="9"/>
        <v/>
      </c>
      <c r="M91" s="18">
        <f t="shared" si="7"/>
        <v>0</v>
      </c>
      <c r="N91" s="1" t="str">
        <f t="shared" si="10"/>
        <v/>
      </c>
      <c r="T91" s="18">
        <f t="shared" si="8"/>
        <v>0</v>
      </c>
      <c r="U91" s="1" t="str">
        <f t="shared" si="11"/>
        <v/>
      </c>
      <c r="W91" s="21" t="str">
        <f>IF(C91&gt;0,CONCATENATE("0x",(DEC2HEX(IF(B91&lt;&gt;"",VLOOKUP(B91,Notes!$A$2:$B$37,2,FALSE)*1024,0) + C91*16 + IF(D91="",7,D91)*2 + IF(E91&gt;0, 1, 0))),","),"")</f>
        <v/>
      </c>
      <c r="X91" s="21" t="str">
        <f>IF(J91&gt;0,CONCATENATE("0x",(DEC2HEX(IF(I91&lt;&gt;"",VLOOKUP(I91,Notes!$A$2:$B$37,2,FALSE)*1024,0) + J91*16 + IF(K91="",7,K91)*2 + IF(L91&gt;0, 1, 0))),","),"")</f>
        <v/>
      </c>
      <c r="Y91" s="21" t="str">
        <f>IF(Q91&gt;0,CONCATENATE("0x",(DEC2HEX(IF(P91&lt;&gt;"",VLOOKUP(P91,Notes!$A$2:$B$37,2,FALSE)*1024,0) + Q91*16 + IF(R91="",7,R91)*2 + IF(S91&gt;0, 1, 0))),","),"")</f>
        <v/>
      </c>
    </row>
    <row r="92" spans="2:25" x14ac:dyDescent="0.25">
      <c r="F92" s="18">
        <f t="shared" si="6"/>
        <v>0</v>
      </c>
      <c r="G92" s="1" t="str">
        <f t="shared" si="9"/>
        <v/>
      </c>
      <c r="M92" s="18">
        <f t="shared" si="7"/>
        <v>0</v>
      </c>
      <c r="N92" s="1" t="str">
        <f t="shared" si="10"/>
        <v/>
      </c>
      <c r="T92" s="18">
        <f t="shared" si="8"/>
        <v>0</v>
      </c>
      <c r="U92" s="1" t="str">
        <f t="shared" si="11"/>
        <v/>
      </c>
      <c r="W92" s="21" t="str">
        <f>IF(C92&gt;0,CONCATENATE("0x",(DEC2HEX(IF(B92&lt;&gt;"",VLOOKUP(B92,Notes!$A$2:$B$37,2,FALSE)*1024,0) + C92*16 + IF(D92="",7,D92)*2 + IF(E92&gt;0, 1, 0))),","),"")</f>
        <v/>
      </c>
      <c r="X92" s="21" t="str">
        <f>IF(J92&gt;0,CONCATENATE("0x",(DEC2HEX(IF(I92&lt;&gt;"",VLOOKUP(I92,Notes!$A$2:$B$37,2,FALSE)*1024,0) + J92*16 + IF(K92="",7,K92)*2 + IF(L92&gt;0, 1, 0))),","),"")</f>
        <v/>
      </c>
      <c r="Y92" s="21" t="str">
        <f>IF(Q92&gt;0,CONCATENATE("0x",(DEC2HEX(IF(P92&lt;&gt;"",VLOOKUP(P92,Notes!$A$2:$B$37,2,FALSE)*1024,0) + Q92*16 + IF(R92="",7,R92)*2 + IF(S92&gt;0, 1, 0))),","),"")</f>
        <v/>
      </c>
    </row>
    <row r="93" spans="2:25" x14ac:dyDescent="0.25">
      <c r="F93" s="18">
        <f t="shared" si="6"/>
        <v>0</v>
      </c>
      <c r="G93" s="1" t="str">
        <f t="shared" si="9"/>
        <v/>
      </c>
      <c r="M93" s="18">
        <f t="shared" si="7"/>
        <v>0</v>
      </c>
      <c r="N93" s="1" t="str">
        <f t="shared" si="10"/>
        <v/>
      </c>
      <c r="T93" s="18">
        <f t="shared" si="8"/>
        <v>0</v>
      </c>
      <c r="U93" s="1" t="str">
        <f t="shared" si="11"/>
        <v/>
      </c>
      <c r="W93" s="21" t="str">
        <f>IF(C93&gt;0,CONCATENATE("0x",(DEC2HEX(IF(B93&lt;&gt;"",VLOOKUP(B93,Notes!$A$2:$B$37,2,FALSE)*1024,0) + C93*16 + IF(D93="",7,D93)*2 + IF(E93&gt;0, 1, 0))),","),"")</f>
        <v/>
      </c>
      <c r="X93" s="21" t="str">
        <f>IF(J93&gt;0,CONCATENATE("0x",(DEC2HEX(IF(I93&lt;&gt;"",VLOOKUP(I93,Notes!$A$2:$B$37,2,FALSE)*1024,0) + J93*16 + IF(K93="",7,K93)*2 + IF(L93&gt;0, 1, 0))),","),"")</f>
        <v/>
      </c>
      <c r="Y93" s="21" t="str">
        <f>IF(Q93&gt;0,CONCATENATE("0x",(DEC2HEX(IF(P93&lt;&gt;"",VLOOKUP(P93,Notes!$A$2:$B$37,2,FALSE)*1024,0) + Q93*16 + IF(R93="",7,R93)*2 + IF(S93&gt;0, 1, 0))),","),"")</f>
        <v/>
      </c>
    </row>
    <row r="94" spans="2:25" x14ac:dyDescent="0.25">
      <c r="F94" s="18">
        <f t="shared" si="6"/>
        <v>0</v>
      </c>
      <c r="G94" s="1" t="str">
        <f t="shared" si="9"/>
        <v/>
      </c>
      <c r="M94" s="18">
        <f t="shared" si="7"/>
        <v>0</v>
      </c>
      <c r="N94" s="1" t="str">
        <f t="shared" si="10"/>
        <v/>
      </c>
      <c r="T94" s="18">
        <f t="shared" si="8"/>
        <v>0</v>
      </c>
      <c r="U94" s="1" t="str">
        <f t="shared" si="11"/>
        <v/>
      </c>
      <c r="W94" s="21" t="str">
        <f>IF(C94&gt;0,CONCATENATE("0x",(DEC2HEX(IF(B94&lt;&gt;"",VLOOKUP(B94,Notes!$A$2:$B$37,2,FALSE)*1024,0) + C94*16 + IF(D94="",7,D94)*2 + IF(E94&gt;0, 1, 0))),","),"")</f>
        <v/>
      </c>
      <c r="X94" s="21" t="str">
        <f>IF(J94&gt;0,CONCATENATE("0x",(DEC2HEX(IF(I94&lt;&gt;"",VLOOKUP(I94,Notes!$A$2:$B$37,2,FALSE)*1024,0) + J94*16 + IF(K94="",7,K94)*2 + IF(L94&gt;0, 1, 0))),","),"")</f>
        <v/>
      </c>
      <c r="Y94" s="21" t="str">
        <f>IF(Q94&gt;0,CONCATENATE("0x",(DEC2HEX(IF(P94&lt;&gt;"",VLOOKUP(P94,Notes!$A$2:$B$37,2,FALSE)*1024,0) + Q94*16 + IF(R94="",7,R94)*2 + IF(S94&gt;0, 1, 0))),","),"")</f>
        <v/>
      </c>
    </row>
    <row r="95" spans="2:25" x14ac:dyDescent="0.25">
      <c r="F95" s="18">
        <f t="shared" si="6"/>
        <v>0</v>
      </c>
      <c r="G95" s="1" t="str">
        <f t="shared" si="9"/>
        <v/>
      </c>
      <c r="M95" s="18">
        <f t="shared" si="7"/>
        <v>0</v>
      </c>
      <c r="N95" s="1" t="str">
        <f t="shared" si="10"/>
        <v/>
      </c>
      <c r="T95" s="18">
        <f t="shared" si="8"/>
        <v>0</v>
      </c>
      <c r="U95" s="1" t="str">
        <f t="shared" si="11"/>
        <v/>
      </c>
      <c r="W95" s="21" t="str">
        <f>IF(C95&gt;0,CONCATENATE("0x",(DEC2HEX(IF(B95&lt;&gt;"",VLOOKUP(B95,Notes!$A$2:$B$37,2,FALSE)*1024,0) + C95*16 + IF(D95="",7,D95)*2 + IF(E95&gt;0, 1, 0))),","),"")</f>
        <v/>
      </c>
      <c r="X95" s="21" t="str">
        <f>IF(J95&gt;0,CONCATENATE("0x",(DEC2HEX(IF(I95&lt;&gt;"",VLOOKUP(I95,Notes!$A$2:$B$37,2,FALSE)*1024,0) + J95*16 + IF(K95="",7,K95)*2 + IF(L95&gt;0, 1, 0))),","),"")</f>
        <v/>
      </c>
      <c r="Y95" s="21" t="str">
        <f>IF(Q95&gt;0,CONCATENATE("0x",(DEC2HEX(IF(P95&lt;&gt;"",VLOOKUP(P95,Notes!$A$2:$B$37,2,FALSE)*1024,0) + Q95*16 + IF(R95="",7,R95)*2 + IF(S95&gt;0, 1, 0))),","),"")</f>
        <v/>
      </c>
    </row>
    <row r="96" spans="2:25" x14ac:dyDescent="0.25">
      <c r="F96" s="18">
        <f t="shared" si="6"/>
        <v>0</v>
      </c>
      <c r="G96" s="1" t="str">
        <f t="shared" si="9"/>
        <v/>
      </c>
      <c r="M96" s="18">
        <f t="shared" si="7"/>
        <v>0</v>
      </c>
      <c r="N96" s="1" t="str">
        <f t="shared" si="10"/>
        <v/>
      </c>
      <c r="T96" s="18">
        <f t="shared" si="8"/>
        <v>0</v>
      </c>
      <c r="U96" s="1" t="str">
        <f t="shared" si="11"/>
        <v/>
      </c>
      <c r="W96" s="21" t="str">
        <f>IF(C96&gt;0,CONCATENATE("0x",(DEC2HEX(IF(B96&lt;&gt;"",VLOOKUP(B96,Notes!$A$2:$B$37,2,FALSE)*1024,0) + C96*16 + IF(D96="",7,D96)*2 + IF(E96&gt;0, 1, 0))),","),"")</f>
        <v/>
      </c>
      <c r="X96" s="21" t="str">
        <f>IF(J96&gt;0,CONCATENATE("0x",(DEC2HEX(IF(I96&lt;&gt;"",VLOOKUP(I96,Notes!$A$2:$B$37,2,FALSE)*1024,0) + J96*16 + IF(K96="",7,K96)*2 + IF(L96&gt;0, 1, 0))),","),"")</f>
        <v/>
      </c>
      <c r="Y96" s="21" t="str">
        <f>IF(Q96&gt;0,CONCATENATE("0x",(DEC2HEX(IF(P96&lt;&gt;"",VLOOKUP(P96,Notes!$A$2:$B$37,2,FALSE)*1024,0) + Q96*16 + IF(R96="",7,R96)*2 + IF(S96&gt;0, 1, 0))),","),"")</f>
        <v/>
      </c>
    </row>
    <row r="97" spans="1:25" ht="16.5" thickBot="1" x14ac:dyDescent="0.3">
      <c r="B97" s="15"/>
      <c r="C97" s="16"/>
      <c r="D97" s="16"/>
      <c r="E97" s="17"/>
      <c r="F97" s="18">
        <f t="shared" si="6"/>
        <v>0</v>
      </c>
      <c r="G97" s="1" t="str">
        <f t="shared" si="9"/>
        <v/>
      </c>
      <c r="I97" s="15"/>
      <c r="J97" s="16"/>
      <c r="K97" s="16"/>
      <c r="L97" s="17"/>
      <c r="M97" s="18">
        <f t="shared" si="7"/>
        <v>0</v>
      </c>
      <c r="N97" s="1" t="str">
        <f t="shared" si="10"/>
        <v/>
      </c>
      <c r="P97" s="15"/>
      <c r="Q97" s="16"/>
      <c r="R97" s="16"/>
      <c r="S97" s="17"/>
      <c r="T97" s="18">
        <f t="shared" si="8"/>
        <v>0</v>
      </c>
      <c r="U97" s="1" t="str">
        <f t="shared" si="11"/>
        <v/>
      </c>
      <c r="W97" s="21" t="str">
        <f>IF(C97&gt;0,CONCATENATE("0x",(DEC2HEX(IF(B97&lt;&gt;"",VLOOKUP(B97,Notes!$A$2:$B$37,2,FALSE)*1024,0) + C97*16 + IF(D97="",7,D97)*2 + IF(E97&gt;0, 1, 0))),","),"")</f>
        <v/>
      </c>
      <c r="X97" s="21" t="str">
        <f>IF(J97&gt;0,CONCATENATE("0x",(DEC2HEX(IF(I97&lt;&gt;"",VLOOKUP(I97,Notes!$A$2:$B$37,2,FALSE)*1024,0) + J97*16 + IF(K97="",7,K97)*2 + IF(L97&gt;0, 1, 0))),","),"")</f>
        <v/>
      </c>
      <c r="Y97" s="21" t="str">
        <f>IF(Q97&gt;0,CONCATENATE("0x",(DEC2HEX(IF(P97&lt;&gt;"",VLOOKUP(P97,Notes!$A$2:$B$37,2,FALSE)*1024,0) + Q97*16 + IF(R97="",7,R97)*2 + IF(S97&gt;0, 1, 0))),","),"")</f>
        <v/>
      </c>
    </row>
    <row r="98" spans="1:25" ht="16.5" thickTop="1" x14ac:dyDescent="0.25">
      <c r="A98" s="1">
        <v>4</v>
      </c>
      <c r="F98" s="18">
        <f t="shared" si="6"/>
        <v>0</v>
      </c>
      <c r="G98" s="1" t="str">
        <f t="shared" si="9"/>
        <v/>
      </c>
      <c r="M98" s="18">
        <f t="shared" si="7"/>
        <v>0</v>
      </c>
      <c r="N98" s="1" t="str">
        <f t="shared" si="10"/>
        <v/>
      </c>
      <c r="T98" s="18">
        <f t="shared" si="8"/>
        <v>0</v>
      </c>
      <c r="U98" s="1" t="str">
        <f t="shared" si="11"/>
        <v/>
      </c>
      <c r="W98" s="21" t="str">
        <f>IF(C98&gt;0,CONCATENATE("0x",(DEC2HEX(IF(B98&lt;&gt;"",VLOOKUP(B98,Notes!$A$2:$B$37,2,FALSE)*1024,0) + C98*16 + IF(D98="",7,D98)*2 + IF(E98&gt;0, 1, 0))),","),"")</f>
        <v/>
      </c>
      <c r="X98" s="21" t="str">
        <f>IF(J98&gt;0,CONCATENATE("0x",(DEC2HEX(IF(I98&lt;&gt;"",VLOOKUP(I98,Notes!$A$2:$B$37,2,FALSE)*1024,0) + J98*16 + IF(K98="",7,K98)*2 + IF(L98&gt;0, 1, 0))),","),"")</f>
        <v/>
      </c>
      <c r="Y98" s="21" t="str">
        <f>IF(Q98&gt;0,CONCATENATE("0x",(DEC2HEX(IF(P98&lt;&gt;"",VLOOKUP(P98,Notes!$A$2:$B$37,2,FALSE)*1024,0) + Q98*16 + IF(R98="",7,R98)*2 + IF(S98&gt;0, 1, 0))),","),"")</f>
        <v/>
      </c>
    </row>
    <row r="99" spans="1:25" x14ac:dyDescent="0.25">
      <c r="F99" s="18">
        <f t="shared" si="6"/>
        <v>0</v>
      </c>
      <c r="G99" s="1" t="str">
        <f t="shared" si="9"/>
        <v/>
      </c>
      <c r="M99" s="18">
        <f t="shared" si="7"/>
        <v>0</v>
      </c>
      <c r="N99" s="1" t="str">
        <f t="shared" si="10"/>
        <v/>
      </c>
      <c r="T99" s="18">
        <f t="shared" si="8"/>
        <v>0</v>
      </c>
      <c r="U99" s="1" t="str">
        <f t="shared" si="11"/>
        <v/>
      </c>
      <c r="W99" s="21" t="str">
        <f>IF(C99&gt;0,CONCATENATE("0x",(DEC2HEX(IF(B99&lt;&gt;"",VLOOKUP(B99,Notes!$A$2:$B$37,2,FALSE)*1024,0) + C99*16 + IF(D99="",7,D99)*2 + IF(E99&gt;0, 1, 0))),","),"")</f>
        <v/>
      </c>
      <c r="X99" s="21" t="str">
        <f>IF(J99&gt;0,CONCATENATE("0x",(DEC2HEX(IF(I99&lt;&gt;"",VLOOKUP(I99,Notes!$A$2:$B$37,2,FALSE)*1024,0) + J99*16 + IF(K99="",7,K99)*2 + IF(L99&gt;0, 1, 0))),","),"")</f>
        <v/>
      </c>
      <c r="Y99" s="21" t="str">
        <f>IF(Q99&gt;0,CONCATENATE("0x",(DEC2HEX(IF(P99&lt;&gt;"",VLOOKUP(P99,Notes!$A$2:$B$37,2,FALSE)*1024,0) + Q99*16 + IF(R99="",7,R99)*2 + IF(S99&gt;0, 1, 0))),","),"")</f>
        <v/>
      </c>
    </row>
    <row r="100" spans="1:25" x14ac:dyDescent="0.25">
      <c r="F100" s="18">
        <f t="shared" si="6"/>
        <v>0</v>
      </c>
      <c r="G100" s="1" t="str">
        <f t="shared" si="9"/>
        <v/>
      </c>
      <c r="M100" s="18">
        <f t="shared" si="7"/>
        <v>0</v>
      </c>
      <c r="N100" s="1" t="str">
        <f t="shared" si="10"/>
        <v/>
      </c>
      <c r="T100" s="18">
        <f t="shared" si="8"/>
        <v>0</v>
      </c>
      <c r="U100" s="1" t="str">
        <f t="shared" si="11"/>
        <v/>
      </c>
      <c r="W100" s="21" t="str">
        <f>IF(C100&gt;0,CONCATENATE("0x",(DEC2HEX(IF(B100&lt;&gt;"",VLOOKUP(B100,Notes!$A$2:$B$37,2,FALSE)*1024,0) + C100*16 + IF(D100="",7,D100)*2 + IF(E100&gt;0, 1, 0))),","),"")</f>
        <v/>
      </c>
      <c r="X100" s="21" t="str">
        <f>IF(J100&gt;0,CONCATENATE("0x",(DEC2HEX(IF(I100&lt;&gt;"",VLOOKUP(I100,Notes!$A$2:$B$37,2,FALSE)*1024,0) + J100*16 + IF(K100="",7,K100)*2 + IF(L100&gt;0, 1, 0))),","),"")</f>
        <v/>
      </c>
      <c r="Y100" s="21" t="str">
        <f>IF(Q100&gt;0,CONCATENATE("0x",(DEC2HEX(IF(P100&lt;&gt;"",VLOOKUP(P100,Notes!$A$2:$B$37,2,FALSE)*1024,0) + Q100*16 + IF(R100="",7,R100)*2 + IF(S100&gt;0, 1, 0))),","),"")</f>
        <v/>
      </c>
    </row>
    <row r="101" spans="1:25" x14ac:dyDescent="0.25">
      <c r="F101" s="18">
        <f t="shared" si="6"/>
        <v>0</v>
      </c>
      <c r="G101" s="1" t="str">
        <f t="shared" si="9"/>
        <v/>
      </c>
      <c r="M101" s="18">
        <f t="shared" si="7"/>
        <v>0</v>
      </c>
      <c r="N101" s="1" t="str">
        <f t="shared" si="10"/>
        <v/>
      </c>
      <c r="T101" s="18">
        <f t="shared" si="8"/>
        <v>0</v>
      </c>
      <c r="U101" s="1" t="str">
        <f t="shared" si="11"/>
        <v/>
      </c>
      <c r="W101" s="21" t="str">
        <f>IF(C101&gt;0,CONCATENATE("0x",(DEC2HEX(IF(B101&lt;&gt;"",VLOOKUP(B101,Notes!$A$2:$B$37,2,FALSE)*1024,0) + C101*16 + IF(D101="",7,D101)*2 + IF(E101&gt;0, 1, 0))),","),"")</f>
        <v/>
      </c>
      <c r="X101" s="21" t="str">
        <f>IF(J101&gt;0,CONCATENATE("0x",(DEC2HEX(IF(I101&lt;&gt;"",VLOOKUP(I101,Notes!$A$2:$B$37,2,FALSE)*1024,0) + J101*16 + IF(K101="",7,K101)*2 + IF(L101&gt;0, 1, 0))),","),"")</f>
        <v/>
      </c>
      <c r="Y101" s="21" t="str">
        <f>IF(Q101&gt;0,CONCATENATE("0x",(DEC2HEX(IF(P101&lt;&gt;"",VLOOKUP(P101,Notes!$A$2:$B$37,2,FALSE)*1024,0) + Q101*16 + IF(R101="",7,R101)*2 + IF(S101&gt;0, 1, 0))),","),"")</f>
        <v/>
      </c>
    </row>
    <row r="102" spans="1:25" x14ac:dyDescent="0.25">
      <c r="F102" s="18">
        <f t="shared" si="6"/>
        <v>0</v>
      </c>
      <c r="G102" s="1" t="str">
        <f t="shared" si="9"/>
        <v/>
      </c>
      <c r="M102" s="18">
        <f t="shared" si="7"/>
        <v>0</v>
      </c>
      <c r="N102" s="1" t="str">
        <f t="shared" si="10"/>
        <v/>
      </c>
      <c r="T102" s="18">
        <f t="shared" si="8"/>
        <v>0</v>
      </c>
      <c r="U102" s="1" t="str">
        <f t="shared" si="11"/>
        <v/>
      </c>
      <c r="W102" s="21" t="str">
        <f>IF(C102&gt;0,CONCATENATE("0x",(DEC2HEX(IF(B102&lt;&gt;"",VLOOKUP(B102,Notes!$A$2:$B$37,2,FALSE)*1024,0) + C102*16 + IF(D102="",7,D102)*2 + IF(E102&gt;0, 1, 0))),","),"")</f>
        <v/>
      </c>
      <c r="X102" s="21" t="str">
        <f>IF(J102&gt;0,CONCATENATE("0x",(DEC2HEX(IF(I102&lt;&gt;"",VLOOKUP(I102,Notes!$A$2:$B$37,2,FALSE)*1024,0) + J102*16 + IF(K102="",7,K102)*2 + IF(L102&gt;0, 1, 0))),","),"")</f>
        <v/>
      </c>
      <c r="Y102" s="21" t="str">
        <f>IF(Q102&gt;0,CONCATENATE("0x",(DEC2HEX(IF(P102&lt;&gt;"",VLOOKUP(P102,Notes!$A$2:$B$37,2,FALSE)*1024,0) + Q102*16 + IF(R102="",7,R102)*2 + IF(S102&gt;0, 1, 0))),","),"")</f>
        <v/>
      </c>
    </row>
    <row r="103" spans="1:25" x14ac:dyDescent="0.25">
      <c r="F103" s="18">
        <f t="shared" si="6"/>
        <v>0</v>
      </c>
      <c r="G103" s="1" t="str">
        <f t="shared" si="9"/>
        <v/>
      </c>
      <c r="M103" s="18">
        <f t="shared" si="7"/>
        <v>0</v>
      </c>
      <c r="N103" s="1" t="str">
        <f t="shared" si="10"/>
        <v/>
      </c>
      <c r="T103" s="18">
        <f t="shared" si="8"/>
        <v>0</v>
      </c>
      <c r="U103" s="1" t="str">
        <f t="shared" si="11"/>
        <v/>
      </c>
      <c r="W103" s="21" t="str">
        <f>IF(C103&gt;0,CONCATENATE("0x",(DEC2HEX(IF(B103&lt;&gt;"",VLOOKUP(B103,Notes!$A$2:$B$37,2,FALSE)*1024,0) + C103*16 + IF(D103="",7,D103)*2 + IF(E103&gt;0, 1, 0))),","),"")</f>
        <v/>
      </c>
      <c r="X103" s="21" t="str">
        <f>IF(J103&gt;0,CONCATENATE("0x",(DEC2HEX(IF(I103&lt;&gt;"",VLOOKUP(I103,Notes!$A$2:$B$37,2,FALSE)*1024,0) + J103*16 + IF(K103="",7,K103)*2 + IF(L103&gt;0, 1, 0))),","),"")</f>
        <v/>
      </c>
      <c r="Y103" s="21" t="str">
        <f>IF(Q103&gt;0,CONCATENATE("0x",(DEC2HEX(IF(P103&lt;&gt;"",VLOOKUP(P103,Notes!$A$2:$B$37,2,FALSE)*1024,0) + Q103*16 + IF(R103="",7,R103)*2 + IF(S103&gt;0, 1, 0))),","),"")</f>
        <v/>
      </c>
    </row>
    <row r="104" spans="1:25" x14ac:dyDescent="0.25">
      <c r="F104" s="18">
        <f t="shared" si="6"/>
        <v>0</v>
      </c>
      <c r="G104" s="1" t="str">
        <f t="shared" si="9"/>
        <v/>
      </c>
      <c r="M104" s="18">
        <f t="shared" si="7"/>
        <v>0</v>
      </c>
      <c r="N104" s="1" t="str">
        <f t="shared" si="10"/>
        <v/>
      </c>
      <c r="T104" s="18">
        <f t="shared" si="8"/>
        <v>0</v>
      </c>
      <c r="U104" s="1" t="str">
        <f t="shared" si="11"/>
        <v/>
      </c>
      <c r="W104" s="21" t="str">
        <f>IF(C104&gt;0,CONCATENATE("0x",(DEC2HEX(IF(B104&lt;&gt;"",VLOOKUP(B104,Notes!$A$2:$B$37,2,FALSE)*1024,0) + C104*16 + IF(D104="",7,D104)*2 + IF(E104&gt;0, 1, 0))),","),"")</f>
        <v/>
      </c>
      <c r="X104" s="21" t="str">
        <f>IF(J104&gt;0,CONCATENATE("0x",(DEC2HEX(IF(I104&lt;&gt;"",VLOOKUP(I104,Notes!$A$2:$B$37,2,FALSE)*1024,0) + J104*16 + IF(K104="",7,K104)*2 + IF(L104&gt;0, 1, 0))),","),"")</f>
        <v/>
      </c>
      <c r="Y104" s="21" t="str">
        <f>IF(Q104&gt;0,CONCATENATE("0x",(DEC2HEX(IF(P104&lt;&gt;"",VLOOKUP(P104,Notes!$A$2:$B$37,2,FALSE)*1024,0) + Q104*16 + IF(R104="",7,R104)*2 + IF(S104&gt;0, 1, 0))),","),"")</f>
        <v/>
      </c>
    </row>
    <row r="105" spans="1:25" x14ac:dyDescent="0.25">
      <c r="B105" s="12"/>
      <c r="C105" s="13"/>
      <c r="D105" s="13"/>
      <c r="E105" s="14"/>
      <c r="F105" s="18">
        <f t="shared" si="6"/>
        <v>0</v>
      </c>
      <c r="G105" s="1" t="str">
        <f t="shared" si="9"/>
        <v/>
      </c>
      <c r="I105" s="12"/>
      <c r="J105" s="13"/>
      <c r="K105" s="13"/>
      <c r="L105" s="14"/>
      <c r="M105" s="18">
        <f t="shared" si="7"/>
        <v>0</v>
      </c>
      <c r="N105" s="1" t="str">
        <f t="shared" si="10"/>
        <v/>
      </c>
      <c r="P105" s="12"/>
      <c r="Q105" s="13"/>
      <c r="R105" s="13"/>
      <c r="S105" s="14"/>
      <c r="T105" s="18">
        <f t="shared" si="8"/>
        <v>0</v>
      </c>
      <c r="U105" s="1" t="str">
        <f t="shared" si="11"/>
        <v/>
      </c>
      <c r="W105" s="21" t="str">
        <f>IF(C105&gt;0,CONCATENATE("0x",(DEC2HEX(IF(B105&lt;&gt;"",VLOOKUP(B105,Notes!$A$2:$B$37,2,FALSE)*1024,0) + C105*16 + IF(D105="",7,D105)*2 + IF(E105&gt;0, 1, 0))),","),"")</f>
        <v/>
      </c>
      <c r="X105" s="21" t="str">
        <f>IF(J105&gt;0,CONCATENATE("0x",(DEC2HEX(IF(I105&lt;&gt;"",VLOOKUP(I105,Notes!$A$2:$B$37,2,FALSE)*1024,0) + J105*16 + IF(K105="",7,K105)*2 + IF(L105&gt;0, 1, 0))),","),"")</f>
        <v/>
      </c>
      <c r="Y105" s="21" t="str">
        <f>IF(Q105&gt;0,CONCATENATE("0x",(DEC2HEX(IF(P105&lt;&gt;"",VLOOKUP(P105,Notes!$A$2:$B$37,2,FALSE)*1024,0) + Q105*16 + IF(R105="",7,R105)*2 + IF(S105&gt;0, 1, 0))),","),"")</f>
        <v/>
      </c>
    </row>
    <row r="106" spans="1:25" x14ac:dyDescent="0.25">
      <c r="F106" s="18">
        <f t="shared" si="6"/>
        <v>0</v>
      </c>
      <c r="G106" s="1" t="str">
        <f t="shared" si="9"/>
        <v/>
      </c>
      <c r="M106" s="18">
        <f t="shared" si="7"/>
        <v>0</v>
      </c>
      <c r="N106" s="1" t="str">
        <f t="shared" si="10"/>
        <v/>
      </c>
      <c r="T106" s="18">
        <f t="shared" si="8"/>
        <v>0</v>
      </c>
      <c r="U106" s="1" t="str">
        <f t="shared" si="11"/>
        <v/>
      </c>
      <c r="W106" s="21" t="str">
        <f>IF(C106&gt;0,CONCATENATE("0x",(DEC2HEX(IF(B106&lt;&gt;"",VLOOKUP(B106,Notes!$A$2:$B$37,2,FALSE)*1024,0) + C106*16 + IF(D106="",7,D106)*2 + IF(E106&gt;0, 1, 0))),","),"")</f>
        <v/>
      </c>
      <c r="X106" s="21" t="str">
        <f>IF(J106&gt;0,CONCATENATE("0x",(DEC2HEX(IF(I106&lt;&gt;"",VLOOKUP(I106,Notes!$A$2:$B$37,2,FALSE)*1024,0) + J106*16 + IF(K106="",7,K106)*2 + IF(L106&gt;0, 1, 0))),","),"")</f>
        <v/>
      </c>
      <c r="Y106" s="21" t="str">
        <f>IF(Q106&gt;0,CONCATENATE("0x",(DEC2HEX(IF(P106&lt;&gt;"",VLOOKUP(P106,Notes!$A$2:$B$37,2,FALSE)*1024,0) + Q106*16 + IF(R106="",7,R106)*2 + IF(S106&gt;0, 1, 0))),","),"")</f>
        <v/>
      </c>
    </row>
    <row r="107" spans="1:25" x14ac:dyDescent="0.25">
      <c r="F107" s="18">
        <f t="shared" si="6"/>
        <v>0</v>
      </c>
      <c r="G107" s="1" t="str">
        <f t="shared" si="9"/>
        <v/>
      </c>
      <c r="M107" s="18">
        <f t="shared" si="7"/>
        <v>0</v>
      </c>
      <c r="N107" s="1" t="str">
        <f t="shared" si="10"/>
        <v/>
      </c>
      <c r="T107" s="18">
        <f t="shared" si="8"/>
        <v>0</v>
      </c>
      <c r="U107" s="1" t="str">
        <f t="shared" si="11"/>
        <v/>
      </c>
      <c r="W107" s="21" t="str">
        <f>IF(C107&gt;0,CONCATENATE("0x",(DEC2HEX(IF(B107&lt;&gt;"",VLOOKUP(B107,Notes!$A$2:$B$37,2,FALSE)*1024,0) + C107*16 + IF(D107="",7,D107)*2 + IF(E107&gt;0, 1, 0))),","),"")</f>
        <v/>
      </c>
      <c r="X107" s="21" t="str">
        <f>IF(J107&gt;0,CONCATENATE("0x",(DEC2HEX(IF(I107&lt;&gt;"",VLOOKUP(I107,Notes!$A$2:$B$37,2,FALSE)*1024,0) + J107*16 + IF(K107="",7,K107)*2 + IF(L107&gt;0, 1, 0))),","),"")</f>
        <v/>
      </c>
      <c r="Y107" s="21" t="str">
        <f>IF(Q107&gt;0,CONCATENATE("0x",(DEC2HEX(IF(P107&lt;&gt;"",VLOOKUP(P107,Notes!$A$2:$B$37,2,FALSE)*1024,0) + Q107*16 + IF(R107="",7,R107)*2 + IF(S107&gt;0, 1, 0))),","),"")</f>
        <v/>
      </c>
    </row>
    <row r="108" spans="1:25" x14ac:dyDescent="0.25">
      <c r="F108" s="18">
        <f t="shared" si="6"/>
        <v>0</v>
      </c>
      <c r="G108" s="1" t="str">
        <f t="shared" si="9"/>
        <v/>
      </c>
      <c r="M108" s="18">
        <f t="shared" si="7"/>
        <v>0</v>
      </c>
      <c r="N108" s="1" t="str">
        <f t="shared" si="10"/>
        <v/>
      </c>
      <c r="T108" s="18">
        <f t="shared" si="8"/>
        <v>0</v>
      </c>
      <c r="U108" s="1" t="str">
        <f t="shared" si="11"/>
        <v/>
      </c>
      <c r="W108" s="21" t="str">
        <f>IF(C108&gt;0,CONCATENATE("0x",(DEC2HEX(IF(B108&lt;&gt;"",VLOOKUP(B108,Notes!$A$2:$B$37,2,FALSE)*1024,0) + C108*16 + IF(D108="",7,D108)*2 + IF(E108&gt;0, 1, 0))),","),"")</f>
        <v/>
      </c>
      <c r="X108" s="21" t="str">
        <f>IF(J108&gt;0,CONCATENATE("0x",(DEC2HEX(IF(I108&lt;&gt;"",VLOOKUP(I108,Notes!$A$2:$B$37,2,FALSE)*1024,0) + J108*16 + IF(K108="",7,K108)*2 + IF(L108&gt;0, 1, 0))),","),"")</f>
        <v/>
      </c>
      <c r="Y108" s="21" t="str">
        <f>IF(Q108&gt;0,CONCATENATE("0x",(DEC2HEX(IF(P108&lt;&gt;"",VLOOKUP(P108,Notes!$A$2:$B$37,2,FALSE)*1024,0) + Q108*16 + IF(R108="",7,R108)*2 + IF(S108&gt;0, 1, 0))),","),"")</f>
        <v/>
      </c>
    </row>
    <row r="109" spans="1:25" x14ac:dyDescent="0.25">
      <c r="F109" s="18">
        <f t="shared" si="6"/>
        <v>0</v>
      </c>
      <c r="G109" s="1" t="str">
        <f t="shared" si="9"/>
        <v/>
      </c>
      <c r="M109" s="18">
        <f t="shared" si="7"/>
        <v>0</v>
      </c>
      <c r="N109" s="1" t="str">
        <f t="shared" si="10"/>
        <v/>
      </c>
      <c r="T109" s="18">
        <f t="shared" si="8"/>
        <v>0</v>
      </c>
      <c r="U109" s="1" t="str">
        <f t="shared" si="11"/>
        <v/>
      </c>
      <c r="W109" s="21" t="str">
        <f>IF(C109&gt;0,CONCATENATE("0x",(DEC2HEX(IF(B109&lt;&gt;"",VLOOKUP(B109,Notes!$A$2:$B$37,2,FALSE)*1024,0) + C109*16 + IF(D109="",7,D109)*2 + IF(E109&gt;0, 1, 0))),","),"")</f>
        <v/>
      </c>
      <c r="X109" s="21" t="str">
        <f>IF(J109&gt;0,CONCATENATE("0x",(DEC2HEX(IF(I109&lt;&gt;"",VLOOKUP(I109,Notes!$A$2:$B$37,2,FALSE)*1024,0) + J109*16 + IF(K109="",7,K109)*2 + IF(L109&gt;0, 1, 0))),","),"")</f>
        <v/>
      </c>
      <c r="Y109" s="21" t="str">
        <f>IF(Q109&gt;0,CONCATENATE("0x",(DEC2HEX(IF(P109&lt;&gt;"",VLOOKUP(P109,Notes!$A$2:$B$37,2,FALSE)*1024,0) + Q109*16 + IF(R109="",7,R109)*2 + IF(S109&gt;0, 1, 0))),","),"")</f>
        <v/>
      </c>
    </row>
    <row r="110" spans="1:25" x14ac:dyDescent="0.25">
      <c r="F110" s="18">
        <f t="shared" si="6"/>
        <v>0</v>
      </c>
      <c r="G110" s="1" t="str">
        <f t="shared" si="9"/>
        <v/>
      </c>
      <c r="M110" s="18">
        <f t="shared" si="7"/>
        <v>0</v>
      </c>
      <c r="N110" s="1" t="str">
        <f t="shared" si="10"/>
        <v/>
      </c>
      <c r="T110" s="18">
        <f t="shared" si="8"/>
        <v>0</v>
      </c>
      <c r="U110" s="1" t="str">
        <f t="shared" si="11"/>
        <v/>
      </c>
      <c r="W110" s="21" t="str">
        <f>IF(C110&gt;0,CONCATENATE("0x",(DEC2HEX(IF(B110&lt;&gt;"",VLOOKUP(B110,Notes!$A$2:$B$37,2,FALSE)*1024,0) + C110*16 + IF(D110="",7,D110)*2 + IF(E110&gt;0, 1, 0))),","),"")</f>
        <v/>
      </c>
      <c r="X110" s="21" t="str">
        <f>IF(J110&gt;0,CONCATENATE("0x",(DEC2HEX(IF(I110&lt;&gt;"",VLOOKUP(I110,Notes!$A$2:$B$37,2,FALSE)*1024,0) + J110*16 + IF(K110="",7,K110)*2 + IF(L110&gt;0, 1, 0))),","),"")</f>
        <v/>
      </c>
      <c r="Y110" s="21" t="str">
        <f>IF(Q110&gt;0,CONCATENATE("0x",(DEC2HEX(IF(P110&lt;&gt;"",VLOOKUP(P110,Notes!$A$2:$B$37,2,FALSE)*1024,0) + Q110*16 + IF(R110="",7,R110)*2 + IF(S110&gt;0, 1, 0))),","),"")</f>
        <v/>
      </c>
    </row>
    <row r="111" spans="1:25" x14ac:dyDescent="0.25">
      <c r="F111" s="18">
        <f t="shared" si="6"/>
        <v>0</v>
      </c>
      <c r="G111" s="1" t="str">
        <f t="shared" si="9"/>
        <v/>
      </c>
      <c r="M111" s="18">
        <f t="shared" si="7"/>
        <v>0</v>
      </c>
      <c r="N111" s="1" t="str">
        <f t="shared" si="10"/>
        <v/>
      </c>
      <c r="T111" s="18">
        <f t="shared" si="8"/>
        <v>0</v>
      </c>
      <c r="U111" s="1" t="str">
        <f t="shared" si="11"/>
        <v/>
      </c>
      <c r="W111" s="21" t="str">
        <f>IF(C111&gt;0,CONCATENATE("0x",(DEC2HEX(IF(B111&lt;&gt;"",VLOOKUP(B111,Notes!$A$2:$B$37,2,FALSE)*1024,0) + C111*16 + IF(D111="",7,D111)*2 + IF(E111&gt;0, 1, 0))),","),"")</f>
        <v/>
      </c>
      <c r="X111" s="21" t="str">
        <f>IF(J111&gt;0,CONCATENATE("0x",(DEC2HEX(IF(I111&lt;&gt;"",VLOOKUP(I111,Notes!$A$2:$B$37,2,FALSE)*1024,0) + J111*16 + IF(K111="",7,K111)*2 + IF(L111&gt;0, 1, 0))),","),"")</f>
        <v/>
      </c>
      <c r="Y111" s="21" t="str">
        <f>IF(Q111&gt;0,CONCATENATE("0x",(DEC2HEX(IF(P111&lt;&gt;"",VLOOKUP(P111,Notes!$A$2:$B$37,2,FALSE)*1024,0) + Q111*16 + IF(R111="",7,R111)*2 + IF(S111&gt;0, 1, 0))),","),"")</f>
        <v/>
      </c>
    </row>
    <row r="112" spans="1:25" x14ac:dyDescent="0.25">
      <c r="F112" s="18">
        <f t="shared" si="6"/>
        <v>0</v>
      </c>
      <c r="G112" s="1" t="str">
        <f t="shared" si="9"/>
        <v/>
      </c>
      <c r="M112" s="18">
        <f t="shared" si="7"/>
        <v>0</v>
      </c>
      <c r="N112" s="1" t="str">
        <f t="shared" si="10"/>
        <v/>
      </c>
      <c r="T112" s="18">
        <f t="shared" si="8"/>
        <v>0</v>
      </c>
      <c r="U112" s="1" t="str">
        <f t="shared" si="11"/>
        <v/>
      </c>
      <c r="W112" s="21" t="str">
        <f>IF(C112&gt;0,CONCATENATE("0x",(DEC2HEX(IF(B112&lt;&gt;"",VLOOKUP(B112,Notes!$A$2:$B$37,2,FALSE)*1024,0) + C112*16 + IF(D112="",7,D112)*2 + IF(E112&gt;0, 1, 0))),","),"")</f>
        <v/>
      </c>
      <c r="X112" s="21" t="str">
        <f>IF(J112&gt;0,CONCATENATE("0x",(DEC2HEX(IF(I112&lt;&gt;"",VLOOKUP(I112,Notes!$A$2:$B$37,2,FALSE)*1024,0) + J112*16 + IF(K112="",7,K112)*2 + IF(L112&gt;0, 1, 0))),","),"")</f>
        <v/>
      </c>
      <c r="Y112" s="21" t="str">
        <f>IF(Q112&gt;0,CONCATENATE("0x",(DEC2HEX(IF(P112&lt;&gt;"",VLOOKUP(P112,Notes!$A$2:$B$37,2,FALSE)*1024,0) + Q112*16 + IF(R112="",7,R112)*2 + IF(S112&gt;0, 1, 0))),","),"")</f>
        <v/>
      </c>
    </row>
    <row r="113" spans="2:25" x14ac:dyDescent="0.25">
      <c r="B113" s="12"/>
      <c r="C113" s="13"/>
      <c r="D113" s="13"/>
      <c r="E113" s="14"/>
      <c r="F113" s="18">
        <f t="shared" si="6"/>
        <v>0</v>
      </c>
      <c r="G113" s="1" t="str">
        <f t="shared" si="9"/>
        <v/>
      </c>
      <c r="I113" s="12"/>
      <c r="J113" s="13"/>
      <c r="K113" s="13"/>
      <c r="L113" s="14"/>
      <c r="M113" s="18">
        <f t="shared" si="7"/>
        <v>0</v>
      </c>
      <c r="N113" s="1" t="str">
        <f t="shared" si="10"/>
        <v/>
      </c>
      <c r="P113" s="12"/>
      <c r="Q113" s="13"/>
      <c r="R113" s="13"/>
      <c r="S113" s="14"/>
      <c r="T113" s="18">
        <f t="shared" si="8"/>
        <v>0</v>
      </c>
      <c r="U113" s="1" t="str">
        <f t="shared" si="11"/>
        <v/>
      </c>
      <c r="W113" s="21" t="str">
        <f>IF(C113&gt;0,CONCATENATE("0x",(DEC2HEX(IF(B113&lt;&gt;"",VLOOKUP(B113,Notes!$A$2:$B$37,2,FALSE)*1024,0) + C113*16 + IF(D113="",7,D113)*2 + IF(E113&gt;0, 1, 0))),","),"")</f>
        <v/>
      </c>
      <c r="X113" s="21" t="str">
        <f>IF(J113&gt;0,CONCATENATE("0x",(DEC2HEX(IF(I113&lt;&gt;"",VLOOKUP(I113,Notes!$A$2:$B$37,2,FALSE)*1024,0) + J113*16 + IF(K113="",7,K113)*2 + IF(L113&gt;0, 1, 0))),","),"")</f>
        <v/>
      </c>
      <c r="Y113" s="21" t="str">
        <f>IF(Q113&gt;0,CONCATENATE("0x",(DEC2HEX(IF(P113&lt;&gt;"",VLOOKUP(P113,Notes!$A$2:$B$37,2,FALSE)*1024,0) + Q113*16 + IF(R113="",7,R113)*2 + IF(S113&gt;0, 1, 0))),","),"")</f>
        <v/>
      </c>
    </row>
    <row r="114" spans="2:25" x14ac:dyDescent="0.25">
      <c r="F114" s="18">
        <f t="shared" si="6"/>
        <v>0</v>
      </c>
      <c r="G114" s="1" t="str">
        <f t="shared" si="9"/>
        <v/>
      </c>
      <c r="M114" s="18">
        <f t="shared" si="7"/>
        <v>0</v>
      </c>
      <c r="N114" s="1" t="str">
        <f t="shared" si="10"/>
        <v/>
      </c>
      <c r="T114" s="18">
        <f t="shared" si="8"/>
        <v>0</v>
      </c>
      <c r="U114" s="1" t="str">
        <f t="shared" si="11"/>
        <v/>
      </c>
      <c r="W114" s="21" t="str">
        <f>IF(C114&gt;0,CONCATENATE("0x",(DEC2HEX(IF(B114&lt;&gt;"",VLOOKUP(B114,Notes!$A$2:$B$37,2,FALSE)*1024,0) + C114*16 + IF(D114="",7,D114)*2 + IF(E114&gt;0, 1, 0))),","),"")</f>
        <v/>
      </c>
      <c r="X114" s="21" t="str">
        <f>IF(J114&gt;0,CONCATENATE("0x",(DEC2HEX(IF(I114&lt;&gt;"",VLOOKUP(I114,Notes!$A$2:$B$37,2,FALSE)*1024,0) + J114*16 + IF(K114="",7,K114)*2 + IF(L114&gt;0, 1, 0))),","),"")</f>
        <v/>
      </c>
      <c r="Y114" s="21" t="str">
        <f>IF(Q114&gt;0,CONCATENATE("0x",(DEC2HEX(IF(P114&lt;&gt;"",VLOOKUP(P114,Notes!$A$2:$B$37,2,FALSE)*1024,0) + Q114*16 + IF(R114="",7,R114)*2 + IF(S114&gt;0, 1, 0))),","),"")</f>
        <v/>
      </c>
    </row>
    <row r="115" spans="2:25" x14ac:dyDescent="0.25">
      <c r="F115" s="18">
        <f t="shared" si="6"/>
        <v>0</v>
      </c>
      <c r="G115" s="1" t="str">
        <f t="shared" si="9"/>
        <v/>
      </c>
      <c r="M115" s="18">
        <f t="shared" si="7"/>
        <v>0</v>
      </c>
      <c r="N115" s="1" t="str">
        <f t="shared" si="10"/>
        <v/>
      </c>
      <c r="T115" s="18">
        <f t="shared" si="8"/>
        <v>0</v>
      </c>
      <c r="U115" s="1" t="str">
        <f t="shared" si="11"/>
        <v/>
      </c>
      <c r="W115" s="21" t="str">
        <f>IF(C115&gt;0,CONCATENATE("0x",(DEC2HEX(IF(B115&lt;&gt;"",VLOOKUP(B115,Notes!$A$2:$B$37,2,FALSE)*1024,0) + C115*16 + IF(D115="",7,D115)*2 + IF(E115&gt;0, 1, 0))),","),"")</f>
        <v/>
      </c>
      <c r="X115" s="21" t="str">
        <f>IF(J115&gt;0,CONCATENATE("0x",(DEC2HEX(IF(I115&lt;&gt;"",VLOOKUP(I115,Notes!$A$2:$B$37,2,FALSE)*1024,0) + J115*16 + IF(K115="",7,K115)*2 + IF(L115&gt;0, 1, 0))),","),"")</f>
        <v/>
      </c>
      <c r="Y115" s="21" t="str">
        <f>IF(Q115&gt;0,CONCATENATE("0x",(DEC2HEX(IF(P115&lt;&gt;"",VLOOKUP(P115,Notes!$A$2:$B$37,2,FALSE)*1024,0) + Q115*16 + IF(R115="",7,R115)*2 + IF(S115&gt;0, 1, 0))),","),"")</f>
        <v/>
      </c>
    </row>
    <row r="116" spans="2:25" x14ac:dyDescent="0.25">
      <c r="F116" s="18">
        <f t="shared" si="6"/>
        <v>0</v>
      </c>
      <c r="G116" s="1" t="str">
        <f t="shared" si="9"/>
        <v/>
      </c>
      <c r="M116" s="18">
        <f t="shared" si="7"/>
        <v>0</v>
      </c>
      <c r="N116" s="1" t="str">
        <f t="shared" si="10"/>
        <v/>
      </c>
      <c r="T116" s="18">
        <f t="shared" si="8"/>
        <v>0</v>
      </c>
      <c r="U116" s="1" t="str">
        <f t="shared" si="11"/>
        <v/>
      </c>
      <c r="W116" s="21" t="str">
        <f>IF(C116&gt;0,CONCATENATE("0x",(DEC2HEX(IF(B116&lt;&gt;"",VLOOKUP(B116,Notes!$A$2:$B$37,2,FALSE)*1024,0) + C116*16 + IF(D116="",7,D116)*2 + IF(E116&gt;0, 1, 0))),","),"")</f>
        <v/>
      </c>
      <c r="X116" s="21" t="str">
        <f>IF(J116&gt;0,CONCATENATE("0x",(DEC2HEX(IF(I116&lt;&gt;"",VLOOKUP(I116,Notes!$A$2:$B$37,2,FALSE)*1024,0) + J116*16 + IF(K116="",7,K116)*2 + IF(L116&gt;0, 1, 0))),","),"")</f>
        <v/>
      </c>
      <c r="Y116" s="21" t="str">
        <f>IF(Q116&gt;0,CONCATENATE("0x",(DEC2HEX(IF(P116&lt;&gt;"",VLOOKUP(P116,Notes!$A$2:$B$37,2,FALSE)*1024,0) + Q116*16 + IF(R116="",7,R116)*2 + IF(S116&gt;0, 1, 0))),","),"")</f>
        <v/>
      </c>
    </row>
    <row r="117" spans="2:25" x14ac:dyDescent="0.25">
      <c r="F117" s="18">
        <f t="shared" si="6"/>
        <v>0</v>
      </c>
      <c r="G117" s="1" t="str">
        <f t="shared" si="9"/>
        <v/>
      </c>
      <c r="M117" s="18">
        <f t="shared" si="7"/>
        <v>0</v>
      </c>
      <c r="N117" s="1" t="str">
        <f t="shared" si="10"/>
        <v/>
      </c>
      <c r="T117" s="18">
        <f t="shared" si="8"/>
        <v>0</v>
      </c>
      <c r="U117" s="1" t="str">
        <f t="shared" si="11"/>
        <v/>
      </c>
      <c r="W117" s="21" t="str">
        <f>IF(C117&gt;0,CONCATENATE("0x",(DEC2HEX(IF(B117&lt;&gt;"",VLOOKUP(B117,Notes!$A$2:$B$37,2,FALSE)*1024,0) + C117*16 + IF(D117="",7,D117)*2 + IF(E117&gt;0, 1, 0))),","),"")</f>
        <v/>
      </c>
      <c r="X117" s="21" t="str">
        <f>IF(J117&gt;0,CONCATENATE("0x",(DEC2HEX(IF(I117&lt;&gt;"",VLOOKUP(I117,Notes!$A$2:$B$37,2,FALSE)*1024,0) + J117*16 + IF(K117="",7,K117)*2 + IF(L117&gt;0, 1, 0))),","),"")</f>
        <v/>
      </c>
      <c r="Y117" s="21" t="str">
        <f>IF(Q117&gt;0,CONCATENATE("0x",(DEC2HEX(IF(P117&lt;&gt;"",VLOOKUP(P117,Notes!$A$2:$B$37,2,FALSE)*1024,0) + Q117*16 + IF(R117="",7,R117)*2 + IF(S117&gt;0, 1, 0))),","),"")</f>
        <v/>
      </c>
    </row>
    <row r="118" spans="2:25" x14ac:dyDescent="0.25">
      <c r="F118" s="18">
        <f t="shared" si="6"/>
        <v>0</v>
      </c>
      <c r="G118" s="1" t="str">
        <f t="shared" si="9"/>
        <v/>
      </c>
      <c r="M118" s="18">
        <f t="shared" si="7"/>
        <v>0</v>
      </c>
      <c r="N118" s="1" t="str">
        <f t="shared" si="10"/>
        <v/>
      </c>
      <c r="T118" s="18">
        <f t="shared" si="8"/>
        <v>0</v>
      </c>
      <c r="U118" s="1" t="str">
        <f t="shared" si="11"/>
        <v/>
      </c>
      <c r="W118" s="21" t="str">
        <f>IF(C118&gt;0,CONCATENATE("0x",(DEC2HEX(IF(B118&lt;&gt;"",VLOOKUP(B118,Notes!$A$2:$B$37,2,FALSE)*1024,0) + C118*16 + IF(D118="",7,D118)*2 + IF(E118&gt;0, 1, 0))),","),"")</f>
        <v/>
      </c>
      <c r="X118" s="21" t="str">
        <f>IF(J118&gt;0,CONCATENATE("0x",(DEC2HEX(IF(I118&lt;&gt;"",VLOOKUP(I118,Notes!$A$2:$B$37,2,FALSE)*1024,0) + J118*16 + IF(K118="",7,K118)*2 + IF(L118&gt;0, 1, 0))),","),"")</f>
        <v/>
      </c>
      <c r="Y118" s="21" t="str">
        <f>IF(Q118&gt;0,CONCATENATE("0x",(DEC2HEX(IF(P118&lt;&gt;"",VLOOKUP(P118,Notes!$A$2:$B$37,2,FALSE)*1024,0) + Q118*16 + IF(R118="",7,R118)*2 + IF(S118&gt;0, 1, 0))),","),"")</f>
        <v/>
      </c>
    </row>
    <row r="119" spans="2:25" x14ac:dyDescent="0.25">
      <c r="F119" s="18">
        <f t="shared" si="6"/>
        <v>0</v>
      </c>
      <c r="G119" s="1" t="str">
        <f t="shared" si="9"/>
        <v/>
      </c>
      <c r="M119" s="18">
        <f t="shared" si="7"/>
        <v>0</v>
      </c>
      <c r="N119" s="1" t="str">
        <f t="shared" si="10"/>
        <v/>
      </c>
      <c r="T119" s="18">
        <f t="shared" si="8"/>
        <v>0</v>
      </c>
      <c r="U119" s="1" t="str">
        <f t="shared" si="11"/>
        <v/>
      </c>
      <c r="W119" s="21" t="str">
        <f>IF(C119&gt;0,CONCATENATE("0x",(DEC2HEX(IF(B119&lt;&gt;"",VLOOKUP(B119,Notes!$A$2:$B$37,2,FALSE)*1024,0) + C119*16 + IF(D119="",7,D119)*2 + IF(E119&gt;0, 1, 0))),","),"")</f>
        <v/>
      </c>
      <c r="X119" s="21" t="str">
        <f>IF(J119&gt;0,CONCATENATE("0x",(DEC2HEX(IF(I119&lt;&gt;"",VLOOKUP(I119,Notes!$A$2:$B$37,2,FALSE)*1024,0) + J119*16 + IF(K119="",7,K119)*2 + IF(L119&gt;0, 1, 0))),","),"")</f>
        <v/>
      </c>
      <c r="Y119" s="21" t="str">
        <f>IF(Q119&gt;0,CONCATENATE("0x",(DEC2HEX(IF(P119&lt;&gt;"",VLOOKUP(P119,Notes!$A$2:$B$37,2,FALSE)*1024,0) + Q119*16 + IF(R119="",7,R119)*2 + IF(S119&gt;0, 1, 0))),","),"")</f>
        <v/>
      </c>
    </row>
    <row r="120" spans="2:25" x14ac:dyDescent="0.25">
      <c r="F120" s="18">
        <f t="shared" si="6"/>
        <v>0</v>
      </c>
      <c r="G120" s="1" t="str">
        <f t="shared" si="9"/>
        <v/>
      </c>
      <c r="M120" s="18">
        <f t="shared" si="7"/>
        <v>0</v>
      </c>
      <c r="N120" s="1" t="str">
        <f t="shared" si="10"/>
        <v/>
      </c>
      <c r="T120" s="18">
        <f t="shared" si="8"/>
        <v>0</v>
      </c>
      <c r="U120" s="1" t="str">
        <f t="shared" si="11"/>
        <v/>
      </c>
      <c r="W120" s="21" t="str">
        <f>IF(C120&gt;0,CONCATENATE("0x",(DEC2HEX(IF(B120&lt;&gt;"",VLOOKUP(B120,Notes!$A$2:$B$37,2,FALSE)*1024,0) + C120*16 + IF(D120="",7,D120)*2 + IF(E120&gt;0, 1, 0))),","),"")</f>
        <v/>
      </c>
      <c r="X120" s="21" t="str">
        <f>IF(J120&gt;0,CONCATENATE("0x",(DEC2HEX(IF(I120&lt;&gt;"",VLOOKUP(I120,Notes!$A$2:$B$37,2,FALSE)*1024,0) + J120*16 + IF(K120="",7,K120)*2 + IF(L120&gt;0, 1, 0))),","),"")</f>
        <v/>
      </c>
      <c r="Y120" s="21" t="str">
        <f>IF(Q120&gt;0,CONCATENATE("0x",(DEC2HEX(IF(P120&lt;&gt;"",VLOOKUP(P120,Notes!$A$2:$B$37,2,FALSE)*1024,0) + Q120*16 + IF(R120="",7,R120)*2 + IF(S120&gt;0, 1, 0))),","),"")</f>
        <v/>
      </c>
    </row>
    <row r="121" spans="2:25" x14ac:dyDescent="0.25">
      <c r="B121" s="12"/>
      <c r="C121" s="13"/>
      <c r="D121" s="13"/>
      <c r="E121" s="14"/>
      <c r="F121" s="18">
        <f t="shared" si="6"/>
        <v>0</v>
      </c>
      <c r="G121" s="1" t="str">
        <f t="shared" si="9"/>
        <v/>
      </c>
      <c r="I121" s="12"/>
      <c r="J121" s="13"/>
      <c r="K121" s="13"/>
      <c r="L121" s="14"/>
      <c r="M121" s="18">
        <f t="shared" si="7"/>
        <v>0</v>
      </c>
      <c r="N121" s="1" t="str">
        <f t="shared" si="10"/>
        <v/>
      </c>
      <c r="P121" s="12"/>
      <c r="Q121" s="13"/>
      <c r="R121" s="13"/>
      <c r="S121" s="14"/>
      <c r="T121" s="18">
        <f t="shared" si="8"/>
        <v>0</v>
      </c>
      <c r="U121" s="1" t="str">
        <f t="shared" si="11"/>
        <v/>
      </c>
      <c r="W121" s="21" t="str">
        <f>IF(C121&gt;0,CONCATENATE("0x",(DEC2HEX(IF(B121&lt;&gt;"",VLOOKUP(B121,Notes!$A$2:$B$37,2,FALSE)*1024,0) + C121*16 + IF(D121="",7,D121)*2 + IF(E121&gt;0, 1, 0))),","),"")</f>
        <v/>
      </c>
      <c r="X121" s="21" t="str">
        <f>IF(J121&gt;0,CONCATENATE("0x",(DEC2HEX(IF(I121&lt;&gt;"",VLOOKUP(I121,Notes!$A$2:$B$37,2,FALSE)*1024,0) + J121*16 + IF(K121="",7,K121)*2 + IF(L121&gt;0, 1, 0))),","),"")</f>
        <v/>
      </c>
      <c r="Y121" s="21" t="str">
        <f>IF(Q121&gt;0,CONCATENATE("0x",(DEC2HEX(IF(P121&lt;&gt;"",VLOOKUP(P121,Notes!$A$2:$B$37,2,FALSE)*1024,0) + Q121*16 + IF(R121="",7,R121)*2 + IF(S121&gt;0, 1, 0))),","),"")</f>
        <v/>
      </c>
    </row>
    <row r="122" spans="2:25" x14ac:dyDescent="0.25">
      <c r="F122" s="18">
        <f t="shared" si="6"/>
        <v>0</v>
      </c>
      <c r="G122" s="1" t="str">
        <f t="shared" si="9"/>
        <v/>
      </c>
      <c r="M122" s="18">
        <f t="shared" si="7"/>
        <v>0</v>
      </c>
      <c r="N122" s="1" t="str">
        <f t="shared" si="10"/>
        <v/>
      </c>
      <c r="T122" s="18">
        <f t="shared" si="8"/>
        <v>0</v>
      </c>
      <c r="U122" s="1" t="str">
        <f t="shared" si="11"/>
        <v/>
      </c>
      <c r="W122" s="21" t="str">
        <f>IF(C122&gt;0,CONCATENATE("0x",(DEC2HEX(IF(B122&lt;&gt;"",VLOOKUP(B122,Notes!$A$2:$B$37,2,FALSE)*1024,0) + C122*16 + IF(D122="",7,D122)*2 + IF(E122&gt;0, 1, 0))),","),"")</f>
        <v/>
      </c>
      <c r="X122" s="21" t="str">
        <f>IF(J122&gt;0,CONCATENATE("0x",(DEC2HEX(IF(I122&lt;&gt;"",VLOOKUP(I122,Notes!$A$2:$B$37,2,FALSE)*1024,0) + J122*16 + IF(K122="",7,K122)*2 + IF(L122&gt;0, 1, 0))),","),"")</f>
        <v/>
      </c>
      <c r="Y122" s="21" t="str">
        <f>IF(Q122&gt;0,CONCATENATE("0x",(DEC2HEX(IF(P122&lt;&gt;"",VLOOKUP(P122,Notes!$A$2:$B$37,2,FALSE)*1024,0) + Q122*16 + IF(R122="",7,R122)*2 + IF(S122&gt;0, 1, 0))),","),"")</f>
        <v/>
      </c>
    </row>
    <row r="123" spans="2:25" x14ac:dyDescent="0.25">
      <c r="F123" s="18">
        <f t="shared" si="6"/>
        <v>0</v>
      </c>
      <c r="G123" s="1" t="str">
        <f t="shared" si="9"/>
        <v/>
      </c>
      <c r="M123" s="18">
        <f t="shared" si="7"/>
        <v>0</v>
      </c>
      <c r="N123" s="1" t="str">
        <f t="shared" si="10"/>
        <v/>
      </c>
      <c r="T123" s="18">
        <f t="shared" si="8"/>
        <v>0</v>
      </c>
      <c r="U123" s="1" t="str">
        <f t="shared" si="11"/>
        <v/>
      </c>
      <c r="W123" s="21" t="str">
        <f>IF(C123&gt;0,CONCATENATE("0x",(DEC2HEX(IF(B123&lt;&gt;"",VLOOKUP(B123,Notes!$A$2:$B$37,2,FALSE)*1024,0) + C123*16 + IF(D123="",7,D123)*2 + IF(E123&gt;0, 1, 0))),","),"")</f>
        <v/>
      </c>
      <c r="X123" s="21" t="str">
        <f>IF(J123&gt;0,CONCATENATE("0x",(DEC2HEX(IF(I123&lt;&gt;"",VLOOKUP(I123,Notes!$A$2:$B$37,2,FALSE)*1024,0) + J123*16 + IF(K123="",7,K123)*2 + IF(L123&gt;0, 1, 0))),","),"")</f>
        <v/>
      </c>
      <c r="Y123" s="21" t="str">
        <f>IF(Q123&gt;0,CONCATENATE("0x",(DEC2HEX(IF(P123&lt;&gt;"",VLOOKUP(P123,Notes!$A$2:$B$37,2,FALSE)*1024,0) + Q123*16 + IF(R123="",7,R123)*2 + IF(S123&gt;0, 1, 0))),","),"")</f>
        <v/>
      </c>
    </row>
    <row r="124" spans="2:25" x14ac:dyDescent="0.25">
      <c r="F124" s="18">
        <f t="shared" si="6"/>
        <v>0</v>
      </c>
      <c r="G124" s="1" t="str">
        <f t="shared" si="9"/>
        <v/>
      </c>
      <c r="M124" s="18">
        <f t="shared" si="7"/>
        <v>0</v>
      </c>
      <c r="N124" s="1" t="str">
        <f t="shared" si="10"/>
        <v/>
      </c>
      <c r="T124" s="18">
        <f t="shared" si="8"/>
        <v>0</v>
      </c>
      <c r="U124" s="1" t="str">
        <f t="shared" si="11"/>
        <v/>
      </c>
      <c r="W124" s="21" t="str">
        <f>IF(C124&gt;0,CONCATENATE("0x",(DEC2HEX(IF(B124&lt;&gt;"",VLOOKUP(B124,Notes!$A$2:$B$37,2,FALSE)*1024,0) + C124*16 + IF(D124="",7,D124)*2 + IF(E124&gt;0, 1, 0))),","),"")</f>
        <v/>
      </c>
      <c r="X124" s="21" t="str">
        <f>IF(J124&gt;0,CONCATENATE("0x",(DEC2HEX(IF(I124&lt;&gt;"",VLOOKUP(I124,Notes!$A$2:$B$37,2,FALSE)*1024,0) + J124*16 + IF(K124="",7,K124)*2 + IF(L124&gt;0, 1, 0))),","),"")</f>
        <v/>
      </c>
      <c r="Y124" s="21" t="str">
        <f>IF(Q124&gt;0,CONCATENATE("0x",(DEC2HEX(IF(P124&lt;&gt;"",VLOOKUP(P124,Notes!$A$2:$B$37,2,FALSE)*1024,0) + Q124*16 + IF(R124="",7,R124)*2 + IF(S124&gt;0, 1, 0))),","),"")</f>
        <v/>
      </c>
    </row>
    <row r="125" spans="2:25" x14ac:dyDescent="0.25">
      <c r="F125" s="18">
        <f t="shared" si="6"/>
        <v>0</v>
      </c>
      <c r="G125" s="1" t="str">
        <f t="shared" si="9"/>
        <v/>
      </c>
      <c r="M125" s="18">
        <f t="shared" si="7"/>
        <v>0</v>
      </c>
      <c r="N125" s="1" t="str">
        <f t="shared" si="10"/>
        <v/>
      </c>
      <c r="T125" s="18">
        <f t="shared" si="8"/>
        <v>0</v>
      </c>
      <c r="U125" s="1" t="str">
        <f t="shared" si="11"/>
        <v/>
      </c>
      <c r="W125" s="21" t="str">
        <f>IF(C125&gt;0,CONCATENATE("0x",(DEC2HEX(IF(B125&lt;&gt;"",VLOOKUP(B125,Notes!$A$2:$B$37,2,FALSE)*1024,0) + C125*16 + IF(D125="",7,D125)*2 + IF(E125&gt;0, 1, 0))),","),"")</f>
        <v/>
      </c>
      <c r="X125" s="21" t="str">
        <f>IF(J125&gt;0,CONCATENATE("0x",(DEC2HEX(IF(I125&lt;&gt;"",VLOOKUP(I125,Notes!$A$2:$B$37,2,FALSE)*1024,0) + J125*16 + IF(K125="",7,K125)*2 + IF(L125&gt;0, 1, 0))),","),"")</f>
        <v/>
      </c>
      <c r="Y125" s="21" t="str">
        <f>IF(Q125&gt;0,CONCATENATE("0x",(DEC2HEX(IF(P125&lt;&gt;"",VLOOKUP(P125,Notes!$A$2:$B$37,2,FALSE)*1024,0) + Q125*16 + IF(R125="",7,R125)*2 + IF(S125&gt;0, 1, 0))),","),"")</f>
        <v/>
      </c>
    </row>
    <row r="126" spans="2:25" x14ac:dyDescent="0.25">
      <c r="F126" s="18">
        <f t="shared" si="6"/>
        <v>0</v>
      </c>
      <c r="G126" s="1" t="str">
        <f t="shared" si="9"/>
        <v/>
      </c>
      <c r="M126" s="18">
        <f t="shared" si="7"/>
        <v>0</v>
      </c>
      <c r="N126" s="1" t="str">
        <f t="shared" si="10"/>
        <v/>
      </c>
      <c r="T126" s="18">
        <f t="shared" si="8"/>
        <v>0</v>
      </c>
      <c r="U126" s="1" t="str">
        <f t="shared" si="11"/>
        <v/>
      </c>
      <c r="W126" s="21" t="str">
        <f>IF(C126&gt;0,CONCATENATE("0x",(DEC2HEX(IF(B126&lt;&gt;"",VLOOKUP(B126,Notes!$A$2:$B$37,2,FALSE)*1024,0) + C126*16 + IF(D126="",7,D126)*2 + IF(E126&gt;0, 1, 0))),","),"")</f>
        <v/>
      </c>
      <c r="X126" s="21" t="str">
        <f>IF(J126&gt;0,CONCATENATE("0x",(DEC2HEX(IF(I126&lt;&gt;"",VLOOKUP(I126,Notes!$A$2:$B$37,2,FALSE)*1024,0) + J126*16 + IF(K126="",7,K126)*2 + IF(L126&gt;0, 1, 0))),","),"")</f>
        <v/>
      </c>
      <c r="Y126" s="21" t="str">
        <f>IF(Q126&gt;0,CONCATENATE("0x",(DEC2HEX(IF(P126&lt;&gt;"",VLOOKUP(P126,Notes!$A$2:$B$37,2,FALSE)*1024,0) + Q126*16 + IF(R126="",7,R126)*2 + IF(S126&gt;0, 1, 0))),","),"")</f>
        <v/>
      </c>
    </row>
    <row r="127" spans="2:25" x14ac:dyDescent="0.25">
      <c r="F127" s="18">
        <f t="shared" si="6"/>
        <v>0</v>
      </c>
      <c r="G127" s="1" t="str">
        <f t="shared" si="9"/>
        <v/>
      </c>
      <c r="M127" s="18">
        <f t="shared" si="7"/>
        <v>0</v>
      </c>
      <c r="N127" s="1" t="str">
        <f t="shared" si="10"/>
        <v/>
      </c>
      <c r="T127" s="18">
        <f t="shared" si="8"/>
        <v>0</v>
      </c>
      <c r="U127" s="1" t="str">
        <f t="shared" si="11"/>
        <v/>
      </c>
      <c r="W127" s="21" t="str">
        <f>IF(C127&gt;0,CONCATENATE("0x",(DEC2HEX(IF(B127&lt;&gt;"",VLOOKUP(B127,Notes!$A$2:$B$37,2,FALSE)*1024,0) + C127*16 + IF(D127="",7,D127)*2 + IF(E127&gt;0, 1, 0))),","),"")</f>
        <v/>
      </c>
      <c r="X127" s="21" t="str">
        <f>IF(J127&gt;0,CONCATENATE("0x",(DEC2HEX(IF(I127&lt;&gt;"",VLOOKUP(I127,Notes!$A$2:$B$37,2,FALSE)*1024,0) + J127*16 + IF(K127="",7,K127)*2 + IF(L127&gt;0, 1, 0))),","),"")</f>
        <v/>
      </c>
      <c r="Y127" s="21" t="str">
        <f>IF(Q127&gt;0,CONCATENATE("0x",(DEC2HEX(IF(P127&lt;&gt;"",VLOOKUP(P127,Notes!$A$2:$B$37,2,FALSE)*1024,0) + Q127*16 + IF(R127="",7,R127)*2 + IF(S127&gt;0, 1, 0))),","),"")</f>
        <v/>
      </c>
    </row>
    <row r="128" spans="2:25" x14ac:dyDescent="0.25">
      <c r="F128" s="18">
        <f t="shared" si="6"/>
        <v>0</v>
      </c>
      <c r="G128" s="1" t="str">
        <f t="shared" si="9"/>
        <v/>
      </c>
      <c r="M128" s="18">
        <f t="shared" si="7"/>
        <v>0</v>
      </c>
      <c r="N128" s="1" t="str">
        <f t="shared" si="10"/>
        <v/>
      </c>
      <c r="T128" s="18">
        <f t="shared" si="8"/>
        <v>0</v>
      </c>
      <c r="U128" s="1" t="str">
        <f t="shared" si="11"/>
        <v/>
      </c>
      <c r="W128" s="21" t="str">
        <f>IF(C128&gt;0,CONCATENATE("0x",(DEC2HEX(IF(B128&lt;&gt;"",VLOOKUP(B128,Notes!$A$2:$B$37,2,FALSE)*1024,0) + C128*16 + IF(D128="",7,D128)*2 + IF(E128&gt;0, 1, 0))),","),"")</f>
        <v/>
      </c>
      <c r="X128" s="21" t="str">
        <f>IF(J128&gt;0,CONCATENATE("0x",(DEC2HEX(IF(I128&lt;&gt;"",VLOOKUP(I128,Notes!$A$2:$B$37,2,FALSE)*1024,0) + J128*16 + IF(K128="",7,K128)*2 + IF(L128&gt;0, 1, 0))),","),"")</f>
        <v/>
      </c>
      <c r="Y128" s="21" t="str">
        <f>IF(Q128&gt;0,CONCATENATE("0x",(DEC2HEX(IF(P128&lt;&gt;"",VLOOKUP(P128,Notes!$A$2:$B$37,2,FALSE)*1024,0) + Q128*16 + IF(R128="",7,R128)*2 + IF(S128&gt;0, 1, 0))),","),"")</f>
        <v/>
      </c>
    </row>
    <row r="129" spans="1:25" ht="16.5" thickBot="1" x14ac:dyDescent="0.3">
      <c r="B129" s="15"/>
      <c r="C129" s="16"/>
      <c r="D129" s="16"/>
      <c r="E129" s="17"/>
      <c r="F129" s="18">
        <f t="shared" si="6"/>
        <v>0</v>
      </c>
      <c r="G129" s="1" t="str">
        <f t="shared" si="9"/>
        <v/>
      </c>
      <c r="I129" s="15"/>
      <c r="J129" s="16"/>
      <c r="K129" s="16"/>
      <c r="L129" s="17"/>
      <c r="M129" s="18">
        <f t="shared" si="7"/>
        <v>0</v>
      </c>
      <c r="N129" s="1" t="str">
        <f t="shared" si="10"/>
        <v/>
      </c>
      <c r="P129" s="15"/>
      <c r="Q129" s="16"/>
      <c r="R129" s="16"/>
      <c r="S129" s="17"/>
      <c r="T129" s="18">
        <f t="shared" si="8"/>
        <v>0</v>
      </c>
      <c r="U129" s="1" t="str">
        <f t="shared" si="11"/>
        <v/>
      </c>
      <c r="W129" s="21" t="str">
        <f>IF(C129&gt;0,CONCATENATE("0x",(DEC2HEX(IF(B129&lt;&gt;"",VLOOKUP(B129,Notes!$A$2:$B$37,2,FALSE)*1024,0) + C129*16 + IF(D129="",7,D129)*2 + IF(E129&gt;0, 1, 0))),","),"")</f>
        <v/>
      </c>
      <c r="X129" s="21" t="str">
        <f>IF(J129&gt;0,CONCATENATE("0x",(DEC2HEX(IF(I129&lt;&gt;"",VLOOKUP(I129,Notes!$A$2:$B$37,2,FALSE)*1024,0) + J129*16 + IF(K129="",7,K129)*2 + IF(L129&gt;0, 1, 0))),","),"")</f>
        <v/>
      </c>
      <c r="Y129" s="21" t="str">
        <f>IF(Q129&gt;0,CONCATENATE("0x",(DEC2HEX(IF(P129&lt;&gt;"",VLOOKUP(P129,Notes!$A$2:$B$37,2,FALSE)*1024,0) + Q129*16 + IF(R129="",7,R129)*2 + IF(S129&gt;0, 1, 0))),","),"")</f>
        <v/>
      </c>
    </row>
    <row r="130" spans="1:25" ht="16.5" thickTop="1" x14ac:dyDescent="0.25">
      <c r="A130" s="1">
        <v>5</v>
      </c>
      <c r="F130" s="18">
        <f t="shared" si="6"/>
        <v>0</v>
      </c>
      <c r="G130" s="1" t="str">
        <f t="shared" si="9"/>
        <v/>
      </c>
      <c r="M130" s="18">
        <f t="shared" si="7"/>
        <v>0</v>
      </c>
      <c r="N130" s="1" t="str">
        <f t="shared" si="10"/>
        <v/>
      </c>
      <c r="T130" s="18">
        <f t="shared" si="8"/>
        <v>0</v>
      </c>
      <c r="U130" s="1" t="str">
        <f t="shared" si="11"/>
        <v/>
      </c>
      <c r="W130" s="21" t="str">
        <f>IF(C130&gt;0,CONCATENATE("0x",(DEC2HEX(IF(B130&lt;&gt;"",VLOOKUP(B130,Notes!$A$2:$B$37,2,FALSE)*1024,0) + C130*16 + IF(D130="",7,D130)*2 + IF(E130&gt;0, 1, 0))),","),"")</f>
        <v/>
      </c>
      <c r="X130" s="21" t="str">
        <f>IF(J130&gt;0,CONCATENATE("0x",(DEC2HEX(IF(I130&lt;&gt;"",VLOOKUP(I130,Notes!$A$2:$B$37,2,FALSE)*1024,0) + J130*16 + IF(K130="",7,K130)*2 + IF(L130&gt;0, 1, 0))),","),"")</f>
        <v/>
      </c>
      <c r="Y130" s="21" t="str">
        <f>IF(Q130&gt;0,CONCATENATE("0x",(DEC2HEX(IF(P130&lt;&gt;"",VLOOKUP(P130,Notes!$A$2:$B$37,2,FALSE)*1024,0) + Q130*16 + IF(R130="",7,R130)*2 + IF(S130&gt;0, 1, 0))),","),"")</f>
        <v/>
      </c>
    </row>
    <row r="131" spans="1:25" x14ac:dyDescent="0.25">
      <c r="F131" s="18">
        <f t="shared" ref="F131:F194" si="12">IF(C131&gt;0, C131, MAX(F130-1,0))</f>
        <v>0</v>
      </c>
      <c r="G131" s="1" t="str">
        <f t="shared" si="9"/>
        <v/>
      </c>
      <c r="M131" s="18">
        <f t="shared" ref="M131:M194" si="13">IF(J131&gt;0, J131, MAX(M130-1,0))</f>
        <v>0</v>
      </c>
      <c r="N131" s="1" t="str">
        <f t="shared" si="10"/>
        <v/>
      </c>
      <c r="T131" s="18">
        <f t="shared" ref="T131:T194" si="14">IF(Q131&gt;0, Q131, MAX(T130-1,0))</f>
        <v>0</v>
      </c>
      <c r="U131" s="1" t="str">
        <f t="shared" si="11"/>
        <v/>
      </c>
      <c r="W131" s="21" t="str">
        <f>IF(C131&gt;0,CONCATENATE("0x",(DEC2HEX(IF(B131&lt;&gt;"",VLOOKUP(B131,Notes!$A$2:$B$37,2,FALSE)*1024,0) + C131*16 + IF(D131="",7,D131)*2 + IF(E131&gt;0, 1, 0))),","),"")</f>
        <v/>
      </c>
      <c r="X131" s="21" t="str">
        <f>IF(J131&gt;0,CONCATENATE("0x",(DEC2HEX(IF(I131&lt;&gt;"",VLOOKUP(I131,Notes!$A$2:$B$37,2,FALSE)*1024,0) + J131*16 + IF(K131="",7,K131)*2 + IF(L131&gt;0, 1, 0))),","),"")</f>
        <v/>
      </c>
      <c r="Y131" s="21" t="str">
        <f>IF(Q131&gt;0,CONCATENATE("0x",(DEC2HEX(IF(P131&lt;&gt;"",VLOOKUP(P131,Notes!$A$2:$B$37,2,FALSE)*1024,0) + Q131*16 + IF(R131="",7,R131)*2 + IF(S131&gt;0, 1, 0))),","),"")</f>
        <v/>
      </c>
    </row>
    <row r="132" spans="1:25" x14ac:dyDescent="0.25">
      <c r="F132" s="18">
        <f t="shared" si="12"/>
        <v>0</v>
      </c>
      <c r="G132" s="1" t="str">
        <f t="shared" ref="G132:G195" si="15">IF(AND(F131&gt;1,C132&gt;0), "OVERLAPPING","")</f>
        <v/>
      </c>
      <c r="M132" s="18">
        <f t="shared" si="13"/>
        <v>0</v>
      </c>
      <c r="N132" s="1" t="str">
        <f t="shared" ref="N132:N195" si="16">IF(AND(M131&gt;1,J132&gt;0), "OVERLAPPING","")</f>
        <v/>
      </c>
      <c r="T132" s="18">
        <f t="shared" si="14"/>
        <v>0</v>
      </c>
      <c r="U132" s="1" t="str">
        <f t="shared" ref="U132:U195" si="17">IF(AND(T131&gt;1,Q132&gt;0), "OVERLAPPING","")</f>
        <v/>
      </c>
      <c r="W132" s="21" t="str">
        <f>IF(C132&gt;0,CONCATENATE("0x",(DEC2HEX(IF(B132&lt;&gt;"",VLOOKUP(B132,Notes!$A$2:$B$37,2,FALSE)*1024,0) + C132*16 + IF(D132="",7,D132)*2 + IF(E132&gt;0, 1, 0))),","),"")</f>
        <v/>
      </c>
      <c r="X132" s="21" t="str">
        <f>IF(J132&gt;0,CONCATENATE("0x",(DEC2HEX(IF(I132&lt;&gt;"",VLOOKUP(I132,Notes!$A$2:$B$37,2,FALSE)*1024,0) + J132*16 + IF(K132="",7,K132)*2 + IF(L132&gt;0, 1, 0))),","),"")</f>
        <v/>
      </c>
      <c r="Y132" s="21" t="str">
        <f>IF(Q132&gt;0,CONCATENATE("0x",(DEC2HEX(IF(P132&lt;&gt;"",VLOOKUP(P132,Notes!$A$2:$B$37,2,FALSE)*1024,0) + Q132*16 + IF(R132="",7,R132)*2 + IF(S132&gt;0, 1, 0))),","),"")</f>
        <v/>
      </c>
    </row>
    <row r="133" spans="1:25" x14ac:dyDescent="0.25">
      <c r="F133" s="18">
        <f t="shared" si="12"/>
        <v>0</v>
      </c>
      <c r="G133" s="1" t="str">
        <f t="shared" si="15"/>
        <v/>
      </c>
      <c r="M133" s="18">
        <f t="shared" si="13"/>
        <v>0</v>
      </c>
      <c r="N133" s="1" t="str">
        <f t="shared" si="16"/>
        <v/>
      </c>
      <c r="T133" s="18">
        <f t="shared" si="14"/>
        <v>0</v>
      </c>
      <c r="U133" s="1" t="str">
        <f t="shared" si="17"/>
        <v/>
      </c>
      <c r="W133" s="21" t="str">
        <f>IF(C133&gt;0,CONCATENATE("0x",(DEC2HEX(IF(B133&lt;&gt;"",VLOOKUP(B133,Notes!$A$2:$B$37,2,FALSE)*1024,0) + C133*16 + IF(D133="",7,D133)*2 + IF(E133&gt;0, 1, 0))),","),"")</f>
        <v/>
      </c>
      <c r="X133" s="21" t="str">
        <f>IF(J133&gt;0,CONCATENATE("0x",(DEC2HEX(IF(I133&lt;&gt;"",VLOOKUP(I133,Notes!$A$2:$B$37,2,FALSE)*1024,0) + J133*16 + IF(K133="",7,K133)*2 + IF(L133&gt;0, 1, 0))),","),"")</f>
        <v/>
      </c>
      <c r="Y133" s="21" t="str">
        <f>IF(Q133&gt;0,CONCATENATE("0x",(DEC2HEX(IF(P133&lt;&gt;"",VLOOKUP(P133,Notes!$A$2:$B$37,2,FALSE)*1024,0) + Q133*16 + IF(R133="",7,R133)*2 + IF(S133&gt;0, 1, 0))),","),"")</f>
        <v/>
      </c>
    </row>
    <row r="134" spans="1:25" x14ac:dyDescent="0.25">
      <c r="F134" s="18">
        <f t="shared" si="12"/>
        <v>0</v>
      </c>
      <c r="G134" s="1" t="str">
        <f t="shared" si="15"/>
        <v/>
      </c>
      <c r="M134" s="18">
        <f t="shared" si="13"/>
        <v>0</v>
      </c>
      <c r="N134" s="1" t="str">
        <f t="shared" si="16"/>
        <v/>
      </c>
      <c r="T134" s="18">
        <f t="shared" si="14"/>
        <v>0</v>
      </c>
      <c r="U134" s="1" t="str">
        <f t="shared" si="17"/>
        <v/>
      </c>
      <c r="W134" s="21" t="str">
        <f>IF(C134&gt;0,CONCATENATE("0x",(DEC2HEX(IF(B134&lt;&gt;"",VLOOKUP(B134,Notes!$A$2:$B$37,2,FALSE)*1024,0) + C134*16 + IF(D134="",7,D134)*2 + IF(E134&gt;0, 1, 0))),","),"")</f>
        <v/>
      </c>
      <c r="X134" s="21" t="str">
        <f>IF(J134&gt;0,CONCATENATE("0x",(DEC2HEX(IF(I134&lt;&gt;"",VLOOKUP(I134,Notes!$A$2:$B$37,2,FALSE)*1024,0) + J134*16 + IF(K134="",7,K134)*2 + IF(L134&gt;0, 1, 0))),","),"")</f>
        <v/>
      </c>
      <c r="Y134" s="21" t="str">
        <f>IF(Q134&gt;0,CONCATENATE("0x",(DEC2HEX(IF(P134&lt;&gt;"",VLOOKUP(P134,Notes!$A$2:$B$37,2,FALSE)*1024,0) + Q134*16 + IF(R134="",7,R134)*2 + IF(S134&gt;0, 1, 0))),","),"")</f>
        <v/>
      </c>
    </row>
    <row r="135" spans="1:25" x14ac:dyDescent="0.25">
      <c r="F135" s="18">
        <f t="shared" si="12"/>
        <v>0</v>
      </c>
      <c r="G135" s="1" t="str">
        <f t="shared" si="15"/>
        <v/>
      </c>
      <c r="M135" s="18">
        <f t="shared" si="13"/>
        <v>0</v>
      </c>
      <c r="N135" s="1" t="str">
        <f t="shared" si="16"/>
        <v/>
      </c>
      <c r="T135" s="18">
        <f t="shared" si="14"/>
        <v>0</v>
      </c>
      <c r="U135" s="1" t="str">
        <f t="shared" si="17"/>
        <v/>
      </c>
      <c r="W135" s="21" t="str">
        <f>IF(C135&gt;0,CONCATENATE("0x",(DEC2HEX(IF(B135&lt;&gt;"",VLOOKUP(B135,Notes!$A$2:$B$37,2,FALSE)*1024,0) + C135*16 + IF(D135="",7,D135)*2 + IF(E135&gt;0, 1, 0))),","),"")</f>
        <v/>
      </c>
      <c r="X135" s="21" t="str">
        <f>IF(J135&gt;0,CONCATENATE("0x",(DEC2HEX(IF(I135&lt;&gt;"",VLOOKUP(I135,Notes!$A$2:$B$37,2,FALSE)*1024,0) + J135*16 + IF(K135="",7,K135)*2 + IF(L135&gt;0, 1, 0))),","),"")</f>
        <v/>
      </c>
      <c r="Y135" s="21" t="str">
        <f>IF(Q135&gt;0,CONCATENATE("0x",(DEC2HEX(IF(P135&lt;&gt;"",VLOOKUP(P135,Notes!$A$2:$B$37,2,FALSE)*1024,0) + Q135*16 + IF(R135="",7,R135)*2 + IF(S135&gt;0, 1, 0))),","),"")</f>
        <v/>
      </c>
    </row>
    <row r="136" spans="1:25" x14ac:dyDescent="0.25">
      <c r="F136" s="18">
        <f t="shared" si="12"/>
        <v>0</v>
      </c>
      <c r="G136" s="1" t="str">
        <f t="shared" si="15"/>
        <v/>
      </c>
      <c r="M136" s="18">
        <f t="shared" si="13"/>
        <v>0</v>
      </c>
      <c r="N136" s="1" t="str">
        <f t="shared" si="16"/>
        <v/>
      </c>
      <c r="T136" s="18">
        <f t="shared" si="14"/>
        <v>0</v>
      </c>
      <c r="U136" s="1" t="str">
        <f t="shared" si="17"/>
        <v/>
      </c>
      <c r="W136" s="21" t="str">
        <f>IF(C136&gt;0,CONCATENATE("0x",(DEC2HEX(IF(B136&lt;&gt;"",VLOOKUP(B136,Notes!$A$2:$B$37,2,FALSE)*1024,0) + C136*16 + IF(D136="",7,D136)*2 + IF(E136&gt;0, 1, 0))),","),"")</f>
        <v/>
      </c>
      <c r="X136" s="21" t="str">
        <f>IF(J136&gt;0,CONCATENATE("0x",(DEC2HEX(IF(I136&lt;&gt;"",VLOOKUP(I136,Notes!$A$2:$B$37,2,FALSE)*1024,0) + J136*16 + IF(K136="",7,K136)*2 + IF(L136&gt;0, 1, 0))),","),"")</f>
        <v/>
      </c>
      <c r="Y136" s="21" t="str">
        <f>IF(Q136&gt;0,CONCATENATE("0x",(DEC2HEX(IF(P136&lt;&gt;"",VLOOKUP(P136,Notes!$A$2:$B$37,2,FALSE)*1024,0) + Q136*16 + IF(R136="",7,R136)*2 + IF(S136&gt;0, 1, 0))),","),"")</f>
        <v/>
      </c>
    </row>
    <row r="137" spans="1:25" x14ac:dyDescent="0.25">
      <c r="B137" s="12"/>
      <c r="C137" s="13"/>
      <c r="D137" s="13"/>
      <c r="E137" s="14"/>
      <c r="F137" s="18">
        <f t="shared" si="12"/>
        <v>0</v>
      </c>
      <c r="G137" s="1" t="str">
        <f t="shared" si="15"/>
        <v/>
      </c>
      <c r="I137" s="12"/>
      <c r="J137" s="13"/>
      <c r="K137" s="13"/>
      <c r="L137" s="14"/>
      <c r="M137" s="18">
        <f t="shared" si="13"/>
        <v>0</v>
      </c>
      <c r="N137" s="1" t="str">
        <f t="shared" si="16"/>
        <v/>
      </c>
      <c r="P137" s="12"/>
      <c r="Q137" s="13"/>
      <c r="R137" s="13"/>
      <c r="S137" s="14"/>
      <c r="T137" s="18">
        <f t="shared" si="14"/>
        <v>0</v>
      </c>
      <c r="U137" s="1" t="str">
        <f t="shared" si="17"/>
        <v/>
      </c>
      <c r="W137" s="21" t="str">
        <f>IF(C137&gt;0,CONCATENATE("0x",(DEC2HEX(IF(B137&lt;&gt;"",VLOOKUP(B137,Notes!$A$2:$B$37,2,FALSE)*1024,0) + C137*16 + IF(D137="",7,D137)*2 + IF(E137&gt;0, 1, 0))),","),"")</f>
        <v/>
      </c>
      <c r="X137" s="21" t="str">
        <f>IF(J137&gt;0,CONCATENATE("0x",(DEC2HEX(IF(I137&lt;&gt;"",VLOOKUP(I137,Notes!$A$2:$B$37,2,FALSE)*1024,0) + J137*16 + IF(K137="",7,K137)*2 + IF(L137&gt;0, 1, 0))),","),"")</f>
        <v/>
      </c>
      <c r="Y137" s="21" t="str">
        <f>IF(Q137&gt;0,CONCATENATE("0x",(DEC2HEX(IF(P137&lt;&gt;"",VLOOKUP(P137,Notes!$A$2:$B$37,2,FALSE)*1024,0) + Q137*16 + IF(R137="",7,R137)*2 + IF(S137&gt;0, 1, 0))),","),"")</f>
        <v/>
      </c>
    </row>
    <row r="138" spans="1:25" x14ac:dyDescent="0.25">
      <c r="F138" s="18">
        <f t="shared" si="12"/>
        <v>0</v>
      </c>
      <c r="G138" s="1" t="str">
        <f t="shared" si="15"/>
        <v/>
      </c>
      <c r="M138" s="18">
        <f t="shared" si="13"/>
        <v>0</v>
      </c>
      <c r="N138" s="1" t="str">
        <f t="shared" si="16"/>
        <v/>
      </c>
      <c r="T138" s="18">
        <f t="shared" si="14"/>
        <v>0</v>
      </c>
      <c r="U138" s="1" t="str">
        <f t="shared" si="17"/>
        <v/>
      </c>
      <c r="W138" s="21" t="str">
        <f>IF(C138&gt;0,CONCATENATE("0x",(DEC2HEX(IF(B138&lt;&gt;"",VLOOKUP(B138,Notes!$A$2:$B$37,2,FALSE)*1024,0) + C138*16 + IF(D138="",7,D138)*2 + IF(E138&gt;0, 1, 0))),","),"")</f>
        <v/>
      </c>
      <c r="X138" s="21" t="str">
        <f>IF(J138&gt;0,CONCATENATE("0x",(DEC2HEX(IF(I138&lt;&gt;"",VLOOKUP(I138,Notes!$A$2:$B$37,2,FALSE)*1024,0) + J138*16 + IF(K138="",7,K138)*2 + IF(L138&gt;0, 1, 0))),","),"")</f>
        <v/>
      </c>
      <c r="Y138" s="21" t="str">
        <f>IF(Q138&gt;0,CONCATENATE("0x",(DEC2HEX(IF(P138&lt;&gt;"",VLOOKUP(P138,Notes!$A$2:$B$37,2,FALSE)*1024,0) + Q138*16 + IF(R138="",7,R138)*2 + IF(S138&gt;0, 1, 0))),","),"")</f>
        <v/>
      </c>
    </row>
    <row r="139" spans="1:25" x14ac:dyDescent="0.25">
      <c r="F139" s="18">
        <f t="shared" si="12"/>
        <v>0</v>
      </c>
      <c r="G139" s="1" t="str">
        <f t="shared" si="15"/>
        <v/>
      </c>
      <c r="M139" s="18">
        <f t="shared" si="13"/>
        <v>0</v>
      </c>
      <c r="N139" s="1" t="str">
        <f t="shared" si="16"/>
        <v/>
      </c>
      <c r="T139" s="18">
        <f t="shared" si="14"/>
        <v>0</v>
      </c>
      <c r="U139" s="1" t="str">
        <f t="shared" si="17"/>
        <v/>
      </c>
      <c r="W139" s="21" t="str">
        <f>IF(C139&gt;0,CONCATENATE("0x",(DEC2HEX(IF(B139&lt;&gt;"",VLOOKUP(B139,Notes!$A$2:$B$37,2,FALSE)*1024,0) + C139*16 + IF(D139="",7,D139)*2 + IF(E139&gt;0, 1, 0))),","),"")</f>
        <v/>
      </c>
      <c r="X139" s="21" t="str">
        <f>IF(J139&gt;0,CONCATENATE("0x",(DEC2HEX(IF(I139&lt;&gt;"",VLOOKUP(I139,Notes!$A$2:$B$37,2,FALSE)*1024,0) + J139*16 + IF(K139="",7,K139)*2 + IF(L139&gt;0, 1, 0))),","),"")</f>
        <v/>
      </c>
      <c r="Y139" s="21" t="str">
        <f>IF(Q139&gt;0,CONCATENATE("0x",(DEC2HEX(IF(P139&lt;&gt;"",VLOOKUP(P139,Notes!$A$2:$B$37,2,FALSE)*1024,0) + Q139*16 + IF(R139="",7,R139)*2 + IF(S139&gt;0, 1, 0))),","),"")</f>
        <v/>
      </c>
    </row>
    <row r="140" spans="1:25" x14ac:dyDescent="0.25">
      <c r="F140" s="18">
        <f t="shared" si="12"/>
        <v>0</v>
      </c>
      <c r="G140" s="1" t="str">
        <f t="shared" si="15"/>
        <v/>
      </c>
      <c r="M140" s="18">
        <f t="shared" si="13"/>
        <v>0</v>
      </c>
      <c r="N140" s="1" t="str">
        <f t="shared" si="16"/>
        <v/>
      </c>
      <c r="T140" s="18">
        <f t="shared" si="14"/>
        <v>0</v>
      </c>
      <c r="U140" s="1" t="str">
        <f t="shared" si="17"/>
        <v/>
      </c>
      <c r="W140" s="21" t="str">
        <f>IF(C140&gt;0,CONCATENATE("0x",(DEC2HEX(IF(B140&lt;&gt;"",VLOOKUP(B140,Notes!$A$2:$B$37,2,FALSE)*1024,0) + C140*16 + IF(D140="",7,D140)*2 + IF(E140&gt;0, 1, 0))),","),"")</f>
        <v/>
      </c>
      <c r="X140" s="21" t="str">
        <f>IF(J140&gt;0,CONCATENATE("0x",(DEC2HEX(IF(I140&lt;&gt;"",VLOOKUP(I140,Notes!$A$2:$B$37,2,FALSE)*1024,0) + J140*16 + IF(K140="",7,K140)*2 + IF(L140&gt;0, 1, 0))),","),"")</f>
        <v/>
      </c>
      <c r="Y140" s="21" t="str">
        <f>IF(Q140&gt;0,CONCATENATE("0x",(DEC2HEX(IF(P140&lt;&gt;"",VLOOKUP(P140,Notes!$A$2:$B$37,2,FALSE)*1024,0) + Q140*16 + IF(R140="",7,R140)*2 + IF(S140&gt;0, 1, 0))),","),"")</f>
        <v/>
      </c>
    </row>
    <row r="141" spans="1:25" x14ac:dyDescent="0.25">
      <c r="F141" s="18">
        <f t="shared" si="12"/>
        <v>0</v>
      </c>
      <c r="G141" s="1" t="str">
        <f t="shared" si="15"/>
        <v/>
      </c>
      <c r="M141" s="18">
        <f t="shared" si="13"/>
        <v>0</v>
      </c>
      <c r="N141" s="1" t="str">
        <f t="shared" si="16"/>
        <v/>
      </c>
      <c r="T141" s="18">
        <f t="shared" si="14"/>
        <v>0</v>
      </c>
      <c r="U141" s="1" t="str">
        <f t="shared" si="17"/>
        <v/>
      </c>
      <c r="W141" s="21" t="str">
        <f>IF(C141&gt;0,CONCATENATE("0x",(DEC2HEX(IF(B141&lt;&gt;"",VLOOKUP(B141,Notes!$A$2:$B$37,2,FALSE)*1024,0) + C141*16 + IF(D141="",7,D141)*2 + IF(E141&gt;0, 1, 0))),","),"")</f>
        <v/>
      </c>
      <c r="X141" s="21" t="str">
        <f>IF(J141&gt;0,CONCATENATE("0x",(DEC2HEX(IF(I141&lt;&gt;"",VLOOKUP(I141,Notes!$A$2:$B$37,2,FALSE)*1024,0) + J141*16 + IF(K141="",7,K141)*2 + IF(L141&gt;0, 1, 0))),","),"")</f>
        <v/>
      </c>
      <c r="Y141" s="21" t="str">
        <f>IF(Q141&gt;0,CONCATENATE("0x",(DEC2HEX(IF(P141&lt;&gt;"",VLOOKUP(P141,Notes!$A$2:$B$37,2,FALSE)*1024,0) + Q141*16 + IF(R141="",7,R141)*2 + IF(S141&gt;0, 1, 0))),","),"")</f>
        <v/>
      </c>
    </row>
    <row r="142" spans="1:25" x14ac:dyDescent="0.25">
      <c r="F142" s="18">
        <f t="shared" si="12"/>
        <v>0</v>
      </c>
      <c r="G142" s="1" t="str">
        <f t="shared" si="15"/>
        <v/>
      </c>
      <c r="M142" s="18">
        <f t="shared" si="13"/>
        <v>0</v>
      </c>
      <c r="N142" s="1" t="str">
        <f t="shared" si="16"/>
        <v/>
      </c>
      <c r="T142" s="18">
        <f t="shared" si="14"/>
        <v>0</v>
      </c>
      <c r="U142" s="1" t="str">
        <f t="shared" si="17"/>
        <v/>
      </c>
      <c r="W142" s="21" t="str">
        <f>IF(C142&gt;0,CONCATENATE("0x",(DEC2HEX(IF(B142&lt;&gt;"",VLOOKUP(B142,Notes!$A$2:$B$37,2,FALSE)*1024,0) + C142*16 + IF(D142="",7,D142)*2 + IF(E142&gt;0, 1, 0))),","),"")</f>
        <v/>
      </c>
      <c r="X142" s="21" t="str">
        <f>IF(J142&gt;0,CONCATENATE("0x",(DEC2HEX(IF(I142&lt;&gt;"",VLOOKUP(I142,Notes!$A$2:$B$37,2,FALSE)*1024,0) + J142*16 + IF(K142="",7,K142)*2 + IF(L142&gt;0, 1, 0))),","),"")</f>
        <v/>
      </c>
      <c r="Y142" s="21" t="str">
        <f>IF(Q142&gt;0,CONCATENATE("0x",(DEC2HEX(IF(P142&lt;&gt;"",VLOOKUP(P142,Notes!$A$2:$B$37,2,FALSE)*1024,0) + Q142*16 + IF(R142="",7,R142)*2 + IF(S142&gt;0, 1, 0))),","),"")</f>
        <v/>
      </c>
    </row>
    <row r="143" spans="1:25" x14ac:dyDescent="0.25">
      <c r="F143" s="18">
        <f t="shared" si="12"/>
        <v>0</v>
      </c>
      <c r="G143" s="1" t="str">
        <f t="shared" si="15"/>
        <v/>
      </c>
      <c r="M143" s="18">
        <f t="shared" si="13"/>
        <v>0</v>
      </c>
      <c r="N143" s="1" t="str">
        <f t="shared" si="16"/>
        <v/>
      </c>
      <c r="T143" s="18">
        <f t="shared" si="14"/>
        <v>0</v>
      </c>
      <c r="U143" s="1" t="str">
        <f t="shared" si="17"/>
        <v/>
      </c>
      <c r="W143" s="21" t="str">
        <f>IF(C143&gt;0,CONCATENATE("0x",(DEC2HEX(IF(B143&lt;&gt;"",VLOOKUP(B143,Notes!$A$2:$B$37,2,FALSE)*1024,0) + C143*16 + IF(D143="",7,D143)*2 + IF(E143&gt;0, 1, 0))),","),"")</f>
        <v/>
      </c>
      <c r="X143" s="21" t="str">
        <f>IF(J143&gt;0,CONCATENATE("0x",(DEC2HEX(IF(I143&lt;&gt;"",VLOOKUP(I143,Notes!$A$2:$B$37,2,FALSE)*1024,0) + J143*16 + IF(K143="",7,K143)*2 + IF(L143&gt;0, 1, 0))),","),"")</f>
        <v/>
      </c>
      <c r="Y143" s="21" t="str">
        <f>IF(Q143&gt;0,CONCATENATE("0x",(DEC2HEX(IF(P143&lt;&gt;"",VLOOKUP(P143,Notes!$A$2:$B$37,2,FALSE)*1024,0) + Q143*16 + IF(R143="",7,R143)*2 + IF(S143&gt;0, 1, 0))),","),"")</f>
        <v/>
      </c>
    </row>
    <row r="144" spans="1:25" x14ac:dyDescent="0.25">
      <c r="F144" s="18">
        <f t="shared" si="12"/>
        <v>0</v>
      </c>
      <c r="G144" s="1" t="str">
        <f t="shared" si="15"/>
        <v/>
      </c>
      <c r="M144" s="18">
        <f t="shared" si="13"/>
        <v>0</v>
      </c>
      <c r="N144" s="1" t="str">
        <f t="shared" si="16"/>
        <v/>
      </c>
      <c r="T144" s="18">
        <f t="shared" si="14"/>
        <v>0</v>
      </c>
      <c r="U144" s="1" t="str">
        <f t="shared" si="17"/>
        <v/>
      </c>
      <c r="W144" s="21" t="str">
        <f>IF(C144&gt;0,CONCATENATE("0x",(DEC2HEX(IF(B144&lt;&gt;"",VLOOKUP(B144,Notes!$A$2:$B$37,2,FALSE)*1024,0) + C144*16 + IF(D144="",7,D144)*2 + IF(E144&gt;0, 1, 0))),","),"")</f>
        <v/>
      </c>
      <c r="X144" s="21" t="str">
        <f>IF(J144&gt;0,CONCATENATE("0x",(DEC2HEX(IF(I144&lt;&gt;"",VLOOKUP(I144,Notes!$A$2:$B$37,2,FALSE)*1024,0) + J144*16 + IF(K144="",7,K144)*2 + IF(L144&gt;0, 1, 0))),","),"")</f>
        <v/>
      </c>
      <c r="Y144" s="21" t="str">
        <f>IF(Q144&gt;0,CONCATENATE("0x",(DEC2HEX(IF(P144&lt;&gt;"",VLOOKUP(P144,Notes!$A$2:$B$37,2,FALSE)*1024,0) + Q144*16 + IF(R144="",7,R144)*2 + IF(S144&gt;0, 1, 0))),","),"")</f>
        <v/>
      </c>
    </row>
    <row r="145" spans="2:25" x14ac:dyDescent="0.25">
      <c r="B145" s="12"/>
      <c r="C145" s="13"/>
      <c r="D145" s="13"/>
      <c r="E145" s="14"/>
      <c r="F145" s="18">
        <f t="shared" si="12"/>
        <v>0</v>
      </c>
      <c r="G145" s="1" t="str">
        <f t="shared" si="15"/>
        <v/>
      </c>
      <c r="I145" s="12"/>
      <c r="J145" s="13"/>
      <c r="K145" s="13"/>
      <c r="L145" s="14"/>
      <c r="M145" s="18">
        <f t="shared" si="13"/>
        <v>0</v>
      </c>
      <c r="N145" s="1" t="str">
        <f t="shared" si="16"/>
        <v/>
      </c>
      <c r="P145" s="12"/>
      <c r="Q145" s="13"/>
      <c r="R145" s="13"/>
      <c r="S145" s="14"/>
      <c r="T145" s="18">
        <f t="shared" si="14"/>
        <v>0</v>
      </c>
      <c r="U145" s="1" t="str">
        <f t="shared" si="17"/>
        <v/>
      </c>
      <c r="W145" s="21" t="str">
        <f>IF(C145&gt;0,CONCATENATE("0x",(DEC2HEX(IF(B145&lt;&gt;"",VLOOKUP(B145,Notes!$A$2:$B$37,2,FALSE)*1024,0) + C145*16 + IF(D145="",7,D145)*2 + IF(E145&gt;0, 1, 0))),","),"")</f>
        <v/>
      </c>
      <c r="X145" s="21" t="str">
        <f>IF(J145&gt;0,CONCATENATE("0x",(DEC2HEX(IF(I145&lt;&gt;"",VLOOKUP(I145,Notes!$A$2:$B$37,2,FALSE)*1024,0) + J145*16 + IF(K145="",7,K145)*2 + IF(L145&gt;0, 1, 0))),","),"")</f>
        <v/>
      </c>
      <c r="Y145" s="21" t="str">
        <f>IF(Q145&gt;0,CONCATENATE("0x",(DEC2HEX(IF(P145&lt;&gt;"",VLOOKUP(P145,Notes!$A$2:$B$37,2,FALSE)*1024,0) + Q145*16 + IF(R145="",7,R145)*2 + IF(S145&gt;0, 1, 0))),","),"")</f>
        <v/>
      </c>
    </row>
    <row r="146" spans="2:25" x14ac:dyDescent="0.25">
      <c r="F146" s="18">
        <f t="shared" si="12"/>
        <v>0</v>
      </c>
      <c r="G146" s="1" t="str">
        <f t="shared" si="15"/>
        <v/>
      </c>
      <c r="M146" s="18">
        <f t="shared" si="13"/>
        <v>0</v>
      </c>
      <c r="N146" s="1" t="str">
        <f t="shared" si="16"/>
        <v/>
      </c>
      <c r="T146" s="18">
        <f t="shared" si="14"/>
        <v>0</v>
      </c>
      <c r="U146" s="1" t="str">
        <f t="shared" si="17"/>
        <v/>
      </c>
      <c r="W146" s="21" t="str">
        <f>IF(C146&gt;0,CONCATENATE("0x",(DEC2HEX(IF(B146&lt;&gt;"",VLOOKUP(B146,Notes!$A$2:$B$37,2,FALSE)*1024,0) + C146*16 + IF(D146="",7,D146)*2 + IF(E146&gt;0, 1, 0))),","),"")</f>
        <v/>
      </c>
      <c r="X146" s="21" t="str">
        <f>IF(J146&gt;0,CONCATENATE("0x",(DEC2HEX(IF(I146&lt;&gt;"",VLOOKUP(I146,Notes!$A$2:$B$37,2,FALSE)*1024,0) + J146*16 + IF(K146="",7,K146)*2 + IF(L146&gt;0, 1, 0))),","),"")</f>
        <v/>
      </c>
      <c r="Y146" s="21" t="str">
        <f>IF(Q146&gt;0,CONCATENATE("0x",(DEC2HEX(IF(P146&lt;&gt;"",VLOOKUP(P146,Notes!$A$2:$B$37,2,FALSE)*1024,0) + Q146*16 + IF(R146="",7,R146)*2 + IF(S146&gt;0, 1, 0))),","),"")</f>
        <v/>
      </c>
    </row>
    <row r="147" spans="2:25" x14ac:dyDescent="0.25">
      <c r="F147" s="18">
        <f t="shared" si="12"/>
        <v>0</v>
      </c>
      <c r="G147" s="1" t="str">
        <f t="shared" si="15"/>
        <v/>
      </c>
      <c r="M147" s="18">
        <f t="shared" si="13"/>
        <v>0</v>
      </c>
      <c r="N147" s="1" t="str">
        <f t="shared" si="16"/>
        <v/>
      </c>
      <c r="T147" s="18">
        <f t="shared" si="14"/>
        <v>0</v>
      </c>
      <c r="U147" s="1" t="str">
        <f t="shared" si="17"/>
        <v/>
      </c>
      <c r="W147" s="21" t="str">
        <f>IF(C147&gt;0,CONCATENATE("0x",(DEC2HEX(IF(B147&lt;&gt;"",VLOOKUP(B147,Notes!$A$2:$B$37,2,FALSE)*1024,0) + C147*16 + IF(D147="",7,D147)*2 + IF(E147&gt;0, 1, 0))),","),"")</f>
        <v/>
      </c>
      <c r="X147" s="21" t="str">
        <f>IF(J147&gt;0,CONCATENATE("0x",(DEC2HEX(IF(I147&lt;&gt;"",VLOOKUP(I147,Notes!$A$2:$B$37,2,FALSE)*1024,0) + J147*16 + IF(K147="",7,K147)*2 + IF(L147&gt;0, 1, 0))),","),"")</f>
        <v/>
      </c>
      <c r="Y147" s="21" t="str">
        <f>IF(Q147&gt;0,CONCATENATE("0x",(DEC2HEX(IF(P147&lt;&gt;"",VLOOKUP(P147,Notes!$A$2:$B$37,2,FALSE)*1024,0) + Q147*16 + IF(R147="",7,R147)*2 + IF(S147&gt;0, 1, 0))),","),"")</f>
        <v/>
      </c>
    </row>
    <row r="148" spans="2:25" x14ac:dyDescent="0.25">
      <c r="F148" s="18">
        <f t="shared" si="12"/>
        <v>0</v>
      </c>
      <c r="G148" s="1" t="str">
        <f t="shared" si="15"/>
        <v/>
      </c>
      <c r="M148" s="18">
        <f t="shared" si="13"/>
        <v>0</v>
      </c>
      <c r="N148" s="1" t="str">
        <f t="shared" si="16"/>
        <v/>
      </c>
      <c r="T148" s="18">
        <f t="shared" si="14"/>
        <v>0</v>
      </c>
      <c r="U148" s="1" t="str">
        <f t="shared" si="17"/>
        <v/>
      </c>
      <c r="W148" s="21" t="str">
        <f>IF(C148&gt;0,CONCATENATE("0x",(DEC2HEX(IF(B148&lt;&gt;"",VLOOKUP(B148,Notes!$A$2:$B$37,2,FALSE)*1024,0) + C148*16 + IF(D148="",7,D148)*2 + IF(E148&gt;0, 1, 0))),","),"")</f>
        <v/>
      </c>
      <c r="X148" s="21" t="str">
        <f>IF(J148&gt;0,CONCATENATE("0x",(DEC2HEX(IF(I148&lt;&gt;"",VLOOKUP(I148,Notes!$A$2:$B$37,2,FALSE)*1024,0) + J148*16 + IF(K148="",7,K148)*2 + IF(L148&gt;0, 1, 0))),","),"")</f>
        <v/>
      </c>
      <c r="Y148" s="21" t="str">
        <f>IF(Q148&gt;0,CONCATENATE("0x",(DEC2HEX(IF(P148&lt;&gt;"",VLOOKUP(P148,Notes!$A$2:$B$37,2,FALSE)*1024,0) + Q148*16 + IF(R148="",7,R148)*2 + IF(S148&gt;0, 1, 0))),","),"")</f>
        <v/>
      </c>
    </row>
    <row r="149" spans="2:25" x14ac:dyDescent="0.25">
      <c r="F149" s="18">
        <f t="shared" si="12"/>
        <v>0</v>
      </c>
      <c r="G149" s="1" t="str">
        <f t="shared" si="15"/>
        <v/>
      </c>
      <c r="M149" s="18">
        <f t="shared" si="13"/>
        <v>0</v>
      </c>
      <c r="N149" s="1" t="str">
        <f t="shared" si="16"/>
        <v/>
      </c>
      <c r="T149" s="18">
        <f t="shared" si="14"/>
        <v>0</v>
      </c>
      <c r="U149" s="1" t="str">
        <f t="shared" si="17"/>
        <v/>
      </c>
      <c r="W149" s="21" t="str">
        <f>IF(C149&gt;0,CONCATENATE("0x",(DEC2HEX(IF(B149&lt;&gt;"",VLOOKUP(B149,Notes!$A$2:$B$37,2,FALSE)*1024,0) + C149*16 + IF(D149="",7,D149)*2 + IF(E149&gt;0, 1, 0))),","),"")</f>
        <v/>
      </c>
      <c r="X149" s="21" t="str">
        <f>IF(J149&gt;0,CONCATENATE("0x",(DEC2HEX(IF(I149&lt;&gt;"",VLOOKUP(I149,Notes!$A$2:$B$37,2,FALSE)*1024,0) + J149*16 + IF(K149="",7,K149)*2 + IF(L149&gt;0, 1, 0))),","),"")</f>
        <v/>
      </c>
      <c r="Y149" s="21" t="str">
        <f>IF(Q149&gt;0,CONCATENATE("0x",(DEC2HEX(IF(P149&lt;&gt;"",VLOOKUP(P149,Notes!$A$2:$B$37,2,FALSE)*1024,0) + Q149*16 + IF(R149="",7,R149)*2 + IF(S149&gt;0, 1, 0))),","),"")</f>
        <v/>
      </c>
    </row>
    <row r="150" spans="2:25" x14ac:dyDescent="0.25">
      <c r="F150" s="18">
        <f t="shared" si="12"/>
        <v>0</v>
      </c>
      <c r="G150" s="1" t="str">
        <f t="shared" si="15"/>
        <v/>
      </c>
      <c r="M150" s="18">
        <f t="shared" si="13"/>
        <v>0</v>
      </c>
      <c r="N150" s="1" t="str">
        <f t="shared" si="16"/>
        <v/>
      </c>
      <c r="T150" s="18">
        <f t="shared" si="14"/>
        <v>0</v>
      </c>
      <c r="U150" s="1" t="str">
        <f t="shared" si="17"/>
        <v/>
      </c>
      <c r="W150" s="21" t="str">
        <f>IF(C150&gt;0,CONCATENATE("0x",(DEC2HEX(IF(B150&lt;&gt;"",VLOOKUP(B150,Notes!$A$2:$B$37,2,FALSE)*1024,0) + C150*16 + IF(D150="",7,D150)*2 + IF(E150&gt;0, 1, 0))),","),"")</f>
        <v/>
      </c>
      <c r="X150" s="21" t="str">
        <f>IF(J150&gt;0,CONCATENATE("0x",(DEC2HEX(IF(I150&lt;&gt;"",VLOOKUP(I150,Notes!$A$2:$B$37,2,FALSE)*1024,0) + J150*16 + IF(K150="",7,K150)*2 + IF(L150&gt;0, 1, 0))),","),"")</f>
        <v/>
      </c>
      <c r="Y150" s="21" t="str">
        <f>IF(Q150&gt;0,CONCATENATE("0x",(DEC2HEX(IF(P150&lt;&gt;"",VLOOKUP(P150,Notes!$A$2:$B$37,2,FALSE)*1024,0) + Q150*16 + IF(R150="",7,R150)*2 + IF(S150&gt;0, 1, 0))),","),"")</f>
        <v/>
      </c>
    </row>
    <row r="151" spans="2:25" x14ac:dyDescent="0.25">
      <c r="F151" s="18">
        <f t="shared" si="12"/>
        <v>0</v>
      </c>
      <c r="G151" s="1" t="str">
        <f t="shared" si="15"/>
        <v/>
      </c>
      <c r="M151" s="18">
        <f t="shared" si="13"/>
        <v>0</v>
      </c>
      <c r="N151" s="1" t="str">
        <f t="shared" si="16"/>
        <v/>
      </c>
      <c r="T151" s="18">
        <f t="shared" si="14"/>
        <v>0</v>
      </c>
      <c r="U151" s="1" t="str">
        <f t="shared" si="17"/>
        <v/>
      </c>
      <c r="W151" s="21" t="str">
        <f>IF(C151&gt;0,CONCATENATE("0x",(DEC2HEX(IF(B151&lt;&gt;"",VLOOKUP(B151,Notes!$A$2:$B$37,2,FALSE)*1024,0) + C151*16 + IF(D151="",7,D151)*2 + IF(E151&gt;0, 1, 0))),","),"")</f>
        <v/>
      </c>
      <c r="X151" s="21" t="str">
        <f>IF(J151&gt;0,CONCATENATE("0x",(DEC2HEX(IF(I151&lt;&gt;"",VLOOKUP(I151,Notes!$A$2:$B$37,2,FALSE)*1024,0) + J151*16 + IF(K151="",7,K151)*2 + IF(L151&gt;0, 1, 0))),","),"")</f>
        <v/>
      </c>
      <c r="Y151" s="21" t="str">
        <f>IF(Q151&gt;0,CONCATENATE("0x",(DEC2HEX(IF(P151&lt;&gt;"",VLOOKUP(P151,Notes!$A$2:$B$37,2,FALSE)*1024,0) + Q151*16 + IF(R151="",7,R151)*2 + IF(S151&gt;0, 1, 0))),","),"")</f>
        <v/>
      </c>
    </row>
    <row r="152" spans="2:25" x14ac:dyDescent="0.25">
      <c r="F152" s="18">
        <f t="shared" si="12"/>
        <v>0</v>
      </c>
      <c r="G152" s="1" t="str">
        <f t="shared" si="15"/>
        <v/>
      </c>
      <c r="M152" s="18">
        <f t="shared" si="13"/>
        <v>0</v>
      </c>
      <c r="N152" s="1" t="str">
        <f t="shared" si="16"/>
        <v/>
      </c>
      <c r="T152" s="18">
        <f t="shared" si="14"/>
        <v>0</v>
      </c>
      <c r="U152" s="1" t="str">
        <f t="shared" si="17"/>
        <v/>
      </c>
      <c r="W152" s="21" t="str">
        <f>IF(C152&gt;0,CONCATENATE("0x",(DEC2HEX(IF(B152&lt;&gt;"",VLOOKUP(B152,Notes!$A$2:$B$37,2,FALSE)*1024,0) + C152*16 + IF(D152="",7,D152)*2 + IF(E152&gt;0, 1, 0))),","),"")</f>
        <v/>
      </c>
      <c r="X152" s="21" t="str">
        <f>IF(J152&gt;0,CONCATENATE("0x",(DEC2HEX(IF(I152&lt;&gt;"",VLOOKUP(I152,Notes!$A$2:$B$37,2,FALSE)*1024,0) + J152*16 + IF(K152="",7,K152)*2 + IF(L152&gt;0, 1, 0))),","),"")</f>
        <v/>
      </c>
      <c r="Y152" s="21" t="str">
        <f>IF(Q152&gt;0,CONCATENATE("0x",(DEC2HEX(IF(P152&lt;&gt;"",VLOOKUP(P152,Notes!$A$2:$B$37,2,FALSE)*1024,0) + Q152*16 + IF(R152="",7,R152)*2 + IF(S152&gt;0, 1, 0))),","),"")</f>
        <v/>
      </c>
    </row>
    <row r="153" spans="2:25" x14ac:dyDescent="0.25">
      <c r="B153" s="12"/>
      <c r="C153" s="13"/>
      <c r="D153" s="13"/>
      <c r="E153" s="14"/>
      <c r="F153" s="18">
        <f t="shared" si="12"/>
        <v>0</v>
      </c>
      <c r="G153" s="1" t="str">
        <f t="shared" si="15"/>
        <v/>
      </c>
      <c r="I153" s="12"/>
      <c r="J153" s="13"/>
      <c r="K153" s="13"/>
      <c r="L153" s="14"/>
      <c r="M153" s="18">
        <f t="shared" si="13"/>
        <v>0</v>
      </c>
      <c r="N153" s="1" t="str">
        <f t="shared" si="16"/>
        <v/>
      </c>
      <c r="P153" s="12"/>
      <c r="Q153" s="13"/>
      <c r="R153" s="13"/>
      <c r="S153" s="14"/>
      <c r="T153" s="18">
        <f t="shared" si="14"/>
        <v>0</v>
      </c>
      <c r="U153" s="1" t="str">
        <f t="shared" si="17"/>
        <v/>
      </c>
      <c r="W153" s="21" t="str">
        <f>IF(C153&gt;0,CONCATENATE("0x",(DEC2HEX(IF(B153&lt;&gt;"",VLOOKUP(B153,Notes!$A$2:$B$37,2,FALSE)*1024,0) + C153*16 + IF(D153="",7,D153)*2 + IF(E153&gt;0, 1, 0))),","),"")</f>
        <v/>
      </c>
      <c r="X153" s="21" t="str">
        <f>IF(J153&gt;0,CONCATENATE("0x",(DEC2HEX(IF(I153&lt;&gt;"",VLOOKUP(I153,Notes!$A$2:$B$37,2,FALSE)*1024,0) + J153*16 + IF(K153="",7,K153)*2 + IF(L153&gt;0, 1, 0))),","),"")</f>
        <v/>
      </c>
      <c r="Y153" s="21" t="str">
        <f>IF(Q153&gt;0,CONCATENATE("0x",(DEC2HEX(IF(P153&lt;&gt;"",VLOOKUP(P153,Notes!$A$2:$B$37,2,FALSE)*1024,0) + Q153*16 + IF(R153="",7,R153)*2 + IF(S153&gt;0, 1, 0))),","),"")</f>
        <v/>
      </c>
    </row>
    <row r="154" spans="2:25" x14ac:dyDescent="0.25">
      <c r="F154" s="18">
        <f t="shared" si="12"/>
        <v>0</v>
      </c>
      <c r="G154" s="1" t="str">
        <f t="shared" si="15"/>
        <v/>
      </c>
      <c r="M154" s="18">
        <f t="shared" si="13"/>
        <v>0</v>
      </c>
      <c r="N154" s="1" t="str">
        <f t="shared" si="16"/>
        <v/>
      </c>
      <c r="T154" s="18">
        <f t="shared" si="14"/>
        <v>0</v>
      </c>
      <c r="U154" s="1" t="str">
        <f t="shared" si="17"/>
        <v/>
      </c>
      <c r="W154" s="21" t="str">
        <f>IF(C154&gt;0,CONCATENATE("0x",(DEC2HEX(IF(B154&lt;&gt;"",VLOOKUP(B154,Notes!$A$2:$B$37,2,FALSE)*1024,0) + C154*16 + IF(D154="",7,D154)*2 + IF(E154&gt;0, 1, 0))),","),"")</f>
        <v/>
      </c>
      <c r="X154" s="21" t="str">
        <f>IF(J154&gt;0,CONCATENATE("0x",(DEC2HEX(IF(I154&lt;&gt;"",VLOOKUP(I154,Notes!$A$2:$B$37,2,FALSE)*1024,0) + J154*16 + IF(K154="",7,K154)*2 + IF(L154&gt;0, 1, 0))),","),"")</f>
        <v/>
      </c>
      <c r="Y154" s="21" t="str">
        <f>IF(Q154&gt;0,CONCATENATE("0x",(DEC2HEX(IF(P154&lt;&gt;"",VLOOKUP(P154,Notes!$A$2:$B$37,2,FALSE)*1024,0) + Q154*16 + IF(R154="",7,R154)*2 + IF(S154&gt;0, 1, 0))),","),"")</f>
        <v/>
      </c>
    </row>
    <row r="155" spans="2:25" x14ac:dyDescent="0.25">
      <c r="F155" s="18">
        <f t="shared" si="12"/>
        <v>0</v>
      </c>
      <c r="G155" s="1" t="str">
        <f t="shared" si="15"/>
        <v/>
      </c>
      <c r="M155" s="18">
        <f t="shared" si="13"/>
        <v>0</v>
      </c>
      <c r="N155" s="1" t="str">
        <f t="shared" si="16"/>
        <v/>
      </c>
      <c r="T155" s="18">
        <f t="shared" si="14"/>
        <v>0</v>
      </c>
      <c r="U155" s="1" t="str">
        <f t="shared" si="17"/>
        <v/>
      </c>
      <c r="W155" s="21" t="str">
        <f>IF(C155&gt;0,CONCATENATE("0x",(DEC2HEX(IF(B155&lt;&gt;"",VLOOKUP(B155,Notes!$A$2:$B$37,2,FALSE)*1024,0) + C155*16 + IF(D155="",7,D155)*2 + IF(E155&gt;0, 1, 0))),","),"")</f>
        <v/>
      </c>
      <c r="X155" s="21" t="str">
        <f>IF(J155&gt;0,CONCATENATE("0x",(DEC2HEX(IF(I155&lt;&gt;"",VLOOKUP(I155,Notes!$A$2:$B$37,2,FALSE)*1024,0) + J155*16 + IF(K155="",7,K155)*2 + IF(L155&gt;0, 1, 0))),","),"")</f>
        <v/>
      </c>
      <c r="Y155" s="21" t="str">
        <f>IF(Q155&gt;0,CONCATENATE("0x",(DEC2HEX(IF(P155&lt;&gt;"",VLOOKUP(P155,Notes!$A$2:$B$37,2,FALSE)*1024,0) + Q155*16 + IF(R155="",7,R155)*2 + IF(S155&gt;0, 1, 0))),","),"")</f>
        <v/>
      </c>
    </row>
    <row r="156" spans="2:25" x14ac:dyDescent="0.25">
      <c r="F156" s="18">
        <f t="shared" si="12"/>
        <v>0</v>
      </c>
      <c r="G156" s="1" t="str">
        <f t="shared" si="15"/>
        <v/>
      </c>
      <c r="M156" s="18">
        <f t="shared" si="13"/>
        <v>0</v>
      </c>
      <c r="N156" s="1" t="str">
        <f t="shared" si="16"/>
        <v/>
      </c>
      <c r="T156" s="18">
        <f t="shared" si="14"/>
        <v>0</v>
      </c>
      <c r="U156" s="1" t="str">
        <f t="shared" si="17"/>
        <v/>
      </c>
      <c r="W156" s="21" t="str">
        <f>IF(C156&gt;0,CONCATENATE("0x",(DEC2HEX(IF(B156&lt;&gt;"",VLOOKUP(B156,Notes!$A$2:$B$37,2,FALSE)*1024,0) + C156*16 + IF(D156="",7,D156)*2 + IF(E156&gt;0, 1, 0))),","),"")</f>
        <v/>
      </c>
      <c r="X156" s="21" t="str">
        <f>IF(J156&gt;0,CONCATENATE("0x",(DEC2HEX(IF(I156&lt;&gt;"",VLOOKUP(I156,Notes!$A$2:$B$37,2,FALSE)*1024,0) + J156*16 + IF(K156="",7,K156)*2 + IF(L156&gt;0, 1, 0))),","),"")</f>
        <v/>
      </c>
      <c r="Y156" s="21" t="str">
        <f>IF(Q156&gt;0,CONCATENATE("0x",(DEC2HEX(IF(P156&lt;&gt;"",VLOOKUP(P156,Notes!$A$2:$B$37,2,FALSE)*1024,0) + Q156*16 + IF(R156="",7,R156)*2 + IF(S156&gt;0, 1, 0))),","),"")</f>
        <v/>
      </c>
    </row>
    <row r="157" spans="2:25" x14ac:dyDescent="0.25">
      <c r="F157" s="18">
        <f t="shared" si="12"/>
        <v>0</v>
      </c>
      <c r="G157" s="1" t="str">
        <f t="shared" si="15"/>
        <v/>
      </c>
      <c r="M157" s="18">
        <f t="shared" si="13"/>
        <v>0</v>
      </c>
      <c r="N157" s="1" t="str">
        <f t="shared" si="16"/>
        <v/>
      </c>
      <c r="T157" s="18">
        <f t="shared" si="14"/>
        <v>0</v>
      </c>
      <c r="U157" s="1" t="str">
        <f t="shared" si="17"/>
        <v/>
      </c>
      <c r="W157" s="21" t="str">
        <f>IF(C157&gt;0,CONCATENATE("0x",(DEC2HEX(IF(B157&lt;&gt;"",VLOOKUP(B157,Notes!$A$2:$B$37,2,FALSE)*1024,0) + C157*16 + IF(D157="",7,D157)*2 + IF(E157&gt;0, 1, 0))),","),"")</f>
        <v/>
      </c>
      <c r="X157" s="21" t="str">
        <f>IF(J157&gt;0,CONCATENATE("0x",(DEC2HEX(IF(I157&lt;&gt;"",VLOOKUP(I157,Notes!$A$2:$B$37,2,FALSE)*1024,0) + J157*16 + IF(K157="",7,K157)*2 + IF(L157&gt;0, 1, 0))),","),"")</f>
        <v/>
      </c>
      <c r="Y157" s="21" t="str">
        <f>IF(Q157&gt;0,CONCATENATE("0x",(DEC2HEX(IF(P157&lt;&gt;"",VLOOKUP(P157,Notes!$A$2:$B$37,2,FALSE)*1024,0) + Q157*16 + IF(R157="",7,R157)*2 + IF(S157&gt;0, 1, 0))),","),"")</f>
        <v/>
      </c>
    </row>
    <row r="158" spans="2:25" x14ac:dyDescent="0.25">
      <c r="F158" s="18">
        <f t="shared" si="12"/>
        <v>0</v>
      </c>
      <c r="G158" s="1" t="str">
        <f t="shared" si="15"/>
        <v/>
      </c>
      <c r="M158" s="18">
        <f t="shared" si="13"/>
        <v>0</v>
      </c>
      <c r="N158" s="1" t="str">
        <f t="shared" si="16"/>
        <v/>
      </c>
      <c r="T158" s="18">
        <f t="shared" si="14"/>
        <v>0</v>
      </c>
      <c r="U158" s="1" t="str">
        <f t="shared" si="17"/>
        <v/>
      </c>
      <c r="W158" s="21" t="str">
        <f>IF(C158&gt;0,CONCATENATE("0x",(DEC2HEX(IF(B158&lt;&gt;"",VLOOKUP(B158,Notes!$A$2:$B$37,2,FALSE)*1024,0) + C158*16 + IF(D158="",7,D158)*2 + IF(E158&gt;0, 1, 0))),","),"")</f>
        <v/>
      </c>
      <c r="X158" s="21" t="str">
        <f>IF(J158&gt;0,CONCATENATE("0x",(DEC2HEX(IF(I158&lt;&gt;"",VLOOKUP(I158,Notes!$A$2:$B$37,2,FALSE)*1024,0) + J158*16 + IF(K158="",7,K158)*2 + IF(L158&gt;0, 1, 0))),","),"")</f>
        <v/>
      </c>
      <c r="Y158" s="21" t="str">
        <f>IF(Q158&gt;0,CONCATENATE("0x",(DEC2HEX(IF(P158&lt;&gt;"",VLOOKUP(P158,Notes!$A$2:$B$37,2,FALSE)*1024,0) + Q158*16 + IF(R158="",7,R158)*2 + IF(S158&gt;0, 1, 0))),","),"")</f>
        <v/>
      </c>
    </row>
    <row r="159" spans="2:25" x14ac:dyDescent="0.25">
      <c r="F159" s="18">
        <f t="shared" si="12"/>
        <v>0</v>
      </c>
      <c r="G159" s="1" t="str">
        <f t="shared" si="15"/>
        <v/>
      </c>
      <c r="M159" s="18">
        <f t="shared" si="13"/>
        <v>0</v>
      </c>
      <c r="N159" s="1" t="str">
        <f t="shared" si="16"/>
        <v/>
      </c>
      <c r="T159" s="18">
        <f t="shared" si="14"/>
        <v>0</v>
      </c>
      <c r="U159" s="1" t="str">
        <f t="shared" si="17"/>
        <v/>
      </c>
      <c r="W159" s="21" t="str">
        <f>IF(C159&gt;0,CONCATENATE("0x",(DEC2HEX(IF(B159&lt;&gt;"",VLOOKUP(B159,Notes!$A$2:$B$37,2,FALSE)*1024,0) + C159*16 + IF(D159="",7,D159)*2 + IF(E159&gt;0, 1, 0))),","),"")</f>
        <v/>
      </c>
      <c r="X159" s="21" t="str">
        <f>IF(J159&gt;0,CONCATENATE("0x",(DEC2HEX(IF(I159&lt;&gt;"",VLOOKUP(I159,Notes!$A$2:$B$37,2,FALSE)*1024,0) + J159*16 + IF(K159="",7,K159)*2 + IF(L159&gt;0, 1, 0))),","),"")</f>
        <v/>
      </c>
      <c r="Y159" s="21" t="str">
        <f>IF(Q159&gt;0,CONCATENATE("0x",(DEC2HEX(IF(P159&lt;&gt;"",VLOOKUP(P159,Notes!$A$2:$B$37,2,FALSE)*1024,0) + Q159*16 + IF(R159="",7,R159)*2 + IF(S159&gt;0, 1, 0))),","),"")</f>
        <v/>
      </c>
    </row>
    <row r="160" spans="2:25" x14ac:dyDescent="0.25">
      <c r="F160" s="18">
        <f t="shared" si="12"/>
        <v>0</v>
      </c>
      <c r="G160" s="1" t="str">
        <f t="shared" si="15"/>
        <v/>
      </c>
      <c r="M160" s="18">
        <f t="shared" si="13"/>
        <v>0</v>
      </c>
      <c r="N160" s="1" t="str">
        <f t="shared" si="16"/>
        <v/>
      </c>
      <c r="T160" s="18">
        <f t="shared" si="14"/>
        <v>0</v>
      </c>
      <c r="U160" s="1" t="str">
        <f t="shared" si="17"/>
        <v/>
      </c>
      <c r="W160" s="21" t="str">
        <f>IF(C160&gt;0,CONCATENATE("0x",(DEC2HEX(IF(B160&lt;&gt;"",VLOOKUP(B160,Notes!$A$2:$B$37,2,FALSE)*1024,0) + C160*16 + IF(D160="",7,D160)*2 + IF(E160&gt;0, 1, 0))),","),"")</f>
        <v/>
      </c>
      <c r="X160" s="21" t="str">
        <f>IF(J160&gt;0,CONCATENATE("0x",(DEC2HEX(IF(I160&lt;&gt;"",VLOOKUP(I160,Notes!$A$2:$B$37,2,FALSE)*1024,0) + J160*16 + IF(K160="",7,K160)*2 + IF(L160&gt;0, 1, 0))),","),"")</f>
        <v/>
      </c>
      <c r="Y160" s="21" t="str">
        <f>IF(Q160&gt;0,CONCATENATE("0x",(DEC2HEX(IF(P160&lt;&gt;"",VLOOKUP(P160,Notes!$A$2:$B$37,2,FALSE)*1024,0) + Q160*16 + IF(R160="",7,R160)*2 + IF(S160&gt;0, 1, 0))),","),"")</f>
        <v/>
      </c>
    </row>
    <row r="161" spans="1:25" ht="16.5" thickBot="1" x14ac:dyDescent="0.3">
      <c r="B161" s="15"/>
      <c r="C161" s="16"/>
      <c r="D161" s="16"/>
      <c r="E161" s="17"/>
      <c r="F161" s="18">
        <f t="shared" si="12"/>
        <v>0</v>
      </c>
      <c r="G161" s="1" t="str">
        <f t="shared" si="15"/>
        <v/>
      </c>
      <c r="I161" s="15"/>
      <c r="J161" s="16"/>
      <c r="K161" s="16"/>
      <c r="L161" s="17"/>
      <c r="M161" s="18">
        <f t="shared" si="13"/>
        <v>0</v>
      </c>
      <c r="N161" s="1" t="str">
        <f t="shared" si="16"/>
        <v/>
      </c>
      <c r="P161" s="15"/>
      <c r="Q161" s="16"/>
      <c r="R161" s="16"/>
      <c r="S161" s="17"/>
      <c r="T161" s="18">
        <f t="shared" si="14"/>
        <v>0</v>
      </c>
      <c r="U161" s="1" t="str">
        <f t="shared" si="17"/>
        <v/>
      </c>
      <c r="W161" s="21" t="str">
        <f>IF(C161&gt;0,CONCATENATE("0x",(DEC2HEX(IF(B161&lt;&gt;"",VLOOKUP(B161,Notes!$A$2:$B$37,2,FALSE)*1024,0) + C161*16 + IF(D161="",7,D161)*2 + IF(E161&gt;0, 1, 0))),","),"")</f>
        <v/>
      </c>
      <c r="X161" s="21" t="str">
        <f>IF(J161&gt;0,CONCATENATE("0x",(DEC2HEX(IF(I161&lt;&gt;"",VLOOKUP(I161,Notes!$A$2:$B$37,2,FALSE)*1024,0) + J161*16 + IF(K161="",7,K161)*2 + IF(L161&gt;0, 1, 0))),","),"")</f>
        <v/>
      </c>
      <c r="Y161" s="21" t="str">
        <f>IF(Q161&gt;0,CONCATENATE("0x",(DEC2HEX(IF(P161&lt;&gt;"",VLOOKUP(P161,Notes!$A$2:$B$37,2,FALSE)*1024,0) + Q161*16 + IF(R161="",7,R161)*2 + IF(S161&gt;0, 1, 0))),","),"")</f>
        <v/>
      </c>
    </row>
    <row r="162" spans="1:25" ht="16.5" thickTop="1" x14ac:dyDescent="0.25">
      <c r="A162" s="1">
        <v>6</v>
      </c>
      <c r="F162" s="18">
        <f t="shared" si="12"/>
        <v>0</v>
      </c>
      <c r="G162" s="1" t="str">
        <f t="shared" si="15"/>
        <v/>
      </c>
      <c r="M162" s="18">
        <f t="shared" si="13"/>
        <v>0</v>
      </c>
      <c r="N162" s="1" t="str">
        <f t="shared" si="16"/>
        <v/>
      </c>
      <c r="T162" s="18">
        <f t="shared" si="14"/>
        <v>0</v>
      </c>
      <c r="U162" s="1" t="str">
        <f t="shared" si="17"/>
        <v/>
      </c>
      <c r="W162" s="21" t="str">
        <f>IF(C162&gt;0,CONCATENATE("0x",(DEC2HEX(IF(B162&lt;&gt;"",VLOOKUP(B162,Notes!$A$2:$B$37,2,FALSE)*1024,0) + C162*16 + IF(D162="",7,D162)*2 + IF(E162&gt;0, 1, 0))),","),"")</f>
        <v/>
      </c>
      <c r="X162" s="21" t="str">
        <f>IF(J162&gt;0,CONCATENATE("0x",(DEC2HEX(IF(I162&lt;&gt;"",VLOOKUP(I162,Notes!$A$2:$B$37,2,FALSE)*1024,0) + J162*16 + IF(K162="",7,K162)*2 + IF(L162&gt;0, 1, 0))),","),"")</f>
        <v/>
      </c>
      <c r="Y162" s="21" t="str">
        <f>IF(Q162&gt;0,CONCATENATE("0x",(DEC2HEX(IF(P162&lt;&gt;"",VLOOKUP(P162,Notes!$A$2:$B$37,2,FALSE)*1024,0) + Q162*16 + IF(R162="",7,R162)*2 + IF(S162&gt;0, 1, 0))),","),"")</f>
        <v/>
      </c>
    </row>
    <row r="163" spans="1:25" x14ac:dyDescent="0.25">
      <c r="F163" s="18">
        <f t="shared" si="12"/>
        <v>0</v>
      </c>
      <c r="G163" s="1" t="str">
        <f t="shared" si="15"/>
        <v/>
      </c>
      <c r="M163" s="18">
        <f t="shared" si="13"/>
        <v>0</v>
      </c>
      <c r="N163" s="1" t="str">
        <f t="shared" si="16"/>
        <v/>
      </c>
      <c r="T163" s="18">
        <f t="shared" si="14"/>
        <v>0</v>
      </c>
      <c r="U163" s="1" t="str">
        <f t="shared" si="17"/>
        <v/>
      </c>
      <c r="W163" s="21" t="str">
        <f>IF(C163&gt;0,CONCATENATE("0x",(DEC2HEX(IF(B163&lt;&gt;"",VLOOKUP(B163,Notes!$A$2:$B$37,2,FALSE)*1024,0) + C163*16 + IF(D163="",7,D163)*2 + IF(E163&gt;0, 1, 0))),","),"")</f>
        <v/>
      </c>
      <c r="X163" s="21" t="str">
        <f>IF(J163&gt;0,CONCATENATE("0x",(DEC2HEX(IF(I163&lt;&gt;"",VLOOKUP(I163,Notes!$A$2:$B$37,2,FALSE)*1024,0) + J163*16 + IF(K163="",7,K163)*2 + IF(L163&gt;0, 1, 0))),","),"")</f>
        <v/>
      </c>
      <c r="Y163" s="21" t="str">
        <f>IF(Q163&gt;0,CONCATENATE("0x",(DEC2HEX(IF(P163&lt;&gt;"",VLOOKUP(P163,Notes!$A$2:$B$37,2,FALSE)*1024,0) + Q163*16 + IF(R163="",7,R163)*2 + IF(S163&gt;0, 1, 0))),","),"")</f>
        <v/>
      </c>
    </row>
    <row r="164" spans="1:25" x14ac:dyDescent="0.25">
      <c r="F164" s="18">
        <f t="shared" si="12"/>
        <v>0</v>
      </c>
      <c r="G164" s="1" t="str">
        <f t="shared" si="15"/>
        <v/>
      </c>
      <c r="M164" s="18">
        <f t="shared" si="13"/>
        <v>0</v>
      </c>
      <c r="N164" s="1" t="str">
        <f t="shared" si="16"/>
        <v/>
      </c>
      <c r="T164" s="18">
        <f t="shared" si="14"/>
        <v>0</v>
      </c>
      <c r="U164" s="1" t="str">
        <f t="shared" si="17"/>
        <v/>
      </c>
      <c r="W164" s="21" t="str">
        <f>IF(C164&gt;0,CONCATENATE("0x",(DEC2HEX(IF(B164&lt;&gt;"",VLOOKUP(B164,Notes!$A$2:$B$37,2,FALSE)*1024,0) + C164*16 + IF(D164="",7,D164)*2 + IF(E164&gt;0, 1, 0))),","),"")</f>
        <v/>
      </c>
      <c r="X164" s="21" t="str">
        <f>IF(J164&gt;0,CONCATENATE("0x",(DEC2HEX(IF(I164&lt;&gt;"",VLOOKUP(I164,Notes!$A$2:$B$37,2,FALSE)*1024,0) + J164*16 + IF(K164="",7,K164)*2 + IF(L164&gt;0, 1, 0))),","),"")</f>
        <v/>
      </c>
      <c r="Y164" s="21" t="str">
        <f>IF(Q164&gt;0,CONCATENATE("0x",(DEC2HEX(IF(P164&lt;&gt;"",VLOOKUP(P164,Notes!$A$2:$B$37,2,FALSE)*1024,0) + Q164*16 + IF(R164="",7,R164)*2 + IF(S164&gt;0, 1, 0))),","),"")</f>
        <v/>
      </c>
    </row>
    <row r="165" spans="1:25" x14ac:dyDescent="0.25">
      <c r="F165" s="18">
        <f t="shared" si="12"/>
        <v>0</v>
      </c>
      <c r="G165" s="1" t="str">
        <f t="shared" si="15"/>
        <v/>
      </c>
      <c r="M165" s="18">
        <f t="shared" si="13"/>
        <v>0</v>
      </c>
      <c r="N165" s="1" t="str">
        <f t="shared" si="16"/>
        <v/>
      </c>
      <c r="T165" s="18">
        <f t="shared" si="14"/>
        <v>0</v>
      </c>
      <c r="U165" s="1" t="str">
        <f t="shared" si="17"/>
        <v/>
      </c>
      <c r="W165" s="21" t="str">
        <f>IF(C165&gt;0,CONCATENATE("0x",(DEC2HEX(IF(B165&lt;&gt;"",VLOOKUP(B165,Notes!$A$2:$B$37,2,FALSE)*1024,0) + C165*16 + IF(D165="",7,D165)*2 + IF(E165&gt;0, 1, 0))),","),"")</f>
        <v/>
      </c>
      <c r="X165" s="21" t="str">
        <f>IF(J165&gt;0,CONCATENATE("0x",(DEC2HEX(IF(I165&lt;&gt;"",VLOOKUP(I165,Notes!$A$2:$B$37,2,FALSE)*1024,0) + J165*16 + IF(K165="",7,K165)*2 + IF(L165&gt;0, 1, 0))),","),"")</f>
        <v/>
      </c>
      <c r="Y165" s="21" t="str">
        <f>IF(Q165&gt;0,CONCATENATE("0x",(DEC2HEX(IF(P165&lt;&gt;"",VLOOKUP(P165,Notes!$A$2:$B$37,2,FALSE)*1024,0) + Q165*16 + IF(R165="",7,R165)*2 + IF(S165&gt;0, 1, 0))),","),"")</f>
        <v/>
      </c>
    </row>
    <row r="166" spans="1:25" x14ac:dyDescent="0.25">
      <c r="F166" s="18">
        <f t="shared" si="12"/>
        <v>0</v>
      </c>
      <c r="G166" s="1" t="str">
        <f t="shared" si="15"/>
        <v/>
      </c>
      <c r="M166" s="18">
        <f t="shared" si="13"/>
        <v>0</v>
      </c>
      <c r="N166" s="1" t="str">
        <f t="shared" si="16"/>
        <v/>
      </c>
      <c r="T166" s="18">
        <f t="shared" si="14"/>
        <v>0</v>
      </c>
      <c r="U166" s="1" t="str">
        <f t="shared" si="17"/>
        <v/>
      </c>
      <c r="W166" s="21" t="str">
        <f>IF(C166&gt;0,CONCATENATE("0x",(DEC2HEX(IF(B166&lt;&gt;"",VLOOKUP(B166,Notes!$A$2:$B$37,2,FALSE)*1024,0) + C166*16 + IF(D166="",7,D166)*2 + IF(E166&gt;0, 1, 0))),","),"")</f>
        <v/>
      </c>
      <c r="X166" s="21" t="str">
        <f>IF(J166&gt;0,CONCATENATE("0x",(DEC2HEX(IF(I166&lt;&gt;"",VLOOKUP(I166,Notes!$A$2:$B$37,2,FALSE)*1024,0) + J166*16 + IF(K166="",7,K166)*2 + IF(L166&gt;0, 1, 0))),","),"")</f>
        <v/>
      </c>
      <c r="Y166" s="21" t="str">
        <f>IF(Q166&gt;0,CONCATENATE("0x",(DEC2HEX(IF(P166&lt;&gt;"",VLOOKUP(P166,Notes!$A$2:$B$37,2,FALSE)*1024,0) + Q166*16 + IF(R166="",7,R166)*2 + IF(S166&gt;0, 1, 0))),","),"")</f>
        <v/>
      </c>
    </row>
    <row r="167" spans="1:25" x14ac:dyDescent="0.25">
      <c r="F167" s="18">
        <f t="shared" si="12"/>
        <v>0</v>
      </c>
      <c r="G167" s="1" t="str">
        <f t="shared" si="15"/>
        <v/>
      </c>
      <c r="M167" s="18">
        <f t="shared" si="13"/>
        <v>0</v>
      </c>
      <c r="N167" s="1" t="str">
        <f t="shared" si="16"/>
        <v/>
      </c>
      <c r="T167" s="18">
        <f t="shared" si="14"/>
        <v>0</v>
      </c>
      <c r="U167" s="1" t="str">
        <f t="shared" si="17"/>
        <v/>
      </c>
      <c r="W167" s="21" t="str">
        <f>IF(C167&gt;0,CONCATENATE("0x",(DEC2HEX(IF(B167&lt;&gt;"",VLOOKUP(B167,Notes!$A$2:$B$37,2,FALSE)*1024,0) + C167*16 + IF(D167="",7,D167)*2 + IF(E167&gt;0, 1, 0))),","),"")</f>
        <v/>
      </c>
      <c r="X167" s="21" t="str">
        <f>IF(J167&gt;0,CONCATENATE("0x",(DEC2HEX(IF(I167&lt;&gt;"",VLOOKUP(I167,Notes!$A$2:$B$37,2,FALSE)*1024,0) + J167*16 + IF(K167="",7,K167)*2 + IF(L167&gt;0, 1, 0))),","),"")</f>
        <v/>
      </c>
      <c r="Y167" s="21" t="str">
        <f>IF(Q167&gt;0,CONCATENATE("0x",(DEC2HEX(IF(P167&lt;&gt;"",VLOOKUP(P167,Notes!$A$2:$B$37,2,FALSE)*1024,0) + Q167*16 + IF(R167="",7,R167)*2 + IF(S167&gt;0, 1, 0))),","),"")</f>
        <v/>
      </c>
    </row>
    <row r="168" spans="1:25" x14ac:dyDescent="0.25">
      <c r="F168" s="18">
        <f t="shared" si="12"/>
        <v>0</v>
      </c>
      <c r="G168" s="1" t="str">
        <f t="shared" si="15"/>
        <v/>
      </c>
      <c r="M168" s="18">
        <f t="shared" si="13"/>
        <v>0</v>
      </c>
      <c r="N168" s="1" t="str">
        <f t="shared" si="16"/>
        <v/>
      </c>
      <c r="T168" s="18">
        <f t="shared" si="14"/>
        <v>0</v>
      </c>
      <c r="U168" s="1" t="str">
        <f t="shared" si="17"/>
        <v/>
      </c>
      <c r="W168" s="21" t="str">
        <f>IF(C168&gt;0,CONCATENATE("0x",(DEC2HEX(IF(B168&lt;&gt;"",VLOOKUP(B168,Notes!$A$2:$B$37,2,FALSE)*1024,0) + C168*16 + IF(D168="",7,D168)*2 + IF(E168&gt;0, 1, 0))),","),"")</f>
        <v/>
      </c>
      <c r="X168" s="21" t="str">
        <f>IF(J168&gt;0,CONCATENATE("0x",(DEC2HEX(IF(I168&lt;&gt;"",VLOOKUP(I168,Notes!$A$2:$B$37,2,FALSE)*1024,0) + J168*16 + IF(K168="",7,K168)*2 + IF(L168&gt;0, 1, 0))),","),"")</f>
        <v/>
      </c>
      <c r="Y168" s="21" t="str">
        <f>IF(Q168&gt;0,CONCATENATE("0x",(DEC2HEX(IF(P168&lt;&gt;"",VLOOKUP(P168,Notes!$A$2:$B$37,2,FALSE)*1024,0) + Q168*16 + IF(R168="",7,R168)*2 + IF(S168&gt;0, 1, 0))),","),"")</f>
        <v/>
      </c>
    </row>
    <row r="169" spans="1:25" x14ac:dyDescent="0.25">
      <c r="B169" s="12"/>
      <c r="C169" s="13"/>
      <c r="D169" s="13"/>
      <c r="E169" s="14"/>
      <c r="F169" s="18">
        <f t="shared" si="12"/>
        <v>0</v>
      </c>
      <c r="G169" s="1" t="str">
        <f t="shared" si="15"/>
        <v/>
      </c>
      <c r="I169" s="12"/>
      <c r="J169" s="13"/>
      <c r="K169" s="13"/>
      <c r="L169" s="14"/>
      <c r="M169" s="18">
        <f t="shared" si="13"/>
        <v>0</v>
      </c>
      <c r="N169" s="1" t="str">
        <f t="shared" si="16"/>
        <v/>
      </c>
      <c r="P169" s="12"/>
      <c r="Q169" s="13"/>
      <c r="R169" s="13"/>
      <c r="S169" s="14"/>
      <c r="T169" s="18">
        <f t="shared" si="14"/>
        <v>0</v>
      </c>
      <c r="U169" s="1" t="str">
        <f t="shared" si="17"/>
        <v/>
      </c>
      <c r="W169" s="21" t="str">
        <f>IF(C169&gt;0,CONCATENATE("0x",(DEC2HEX(IF(B169&lt;&gt;"",VLOOKUP(B169,Notes!$A$2:$B$37,2,FALSE)*1024,0) + C169*16 + IF(D169="",7,D169)*2 + IF(E169&gt;0, 1, 0))),","),"")</f>
        <v/>
      </c>
      <c r="X169" s="21" t="str">
        <f>IF(J169&gt;0,CONCATENATE("0x",(DEC2HEX(IF(I169&lt;&gt;"",VLOOKUP(I169,Notes!$A$2:$B$37,2,FALSE)*1024,0) + J169*16 + IF(K169="",7,K169)*2 + IF(L169&gt;0, 1, 0))),","),"")</f>
        <v/>
      </c>
      <c r="Y169" s="21" t="str">
        <f>IF(Q169&gt;0,CONCATENATE("0x",(DEC2HEX(IF(P169&lt;&gt;"",VLOOKUP(P169,Notes!$A$2:$B$37,2,FALSE)*1024,0) + Q169*16 + IF(R169="",7,R169)*2 + IF(S169&gt;0, 1, 0))),","),"")</f>
        <v/>
      </c>
    </row>
    <row r="170" spans="1:25" x14ac:dyDescent="0.25">
      <c r="F170" s="18">
        <f t="shared" si="12"/>
        <v>0</v>
      </c>
      <c r="G170" s="1" t="str">
        <f t="shared" si="15"/>
        <v/>
      </c>
      <c r="M170" s="18">
        <f t="shared" si="13"/>
        <v>0</v>
      </c>
      <c r="N170" s="1" t="str">
        <f t="shared" si="16"/>
        <v/>
      </c>
      <c r="T170" s="18">
        <f t="shared" si="14"/>
        <v>0</v>
      </c>
      <c r="U170" s="1" t="str">
        <f t="shared" si="17"/>
        <v/>
      </c>
      <c r="W170" s="21" t="str">
        <f>IF(C170&gt;0,CONCATENATE("0x",(DEC2HEX(IF(B170&lt;&gt;"",VLOOKUP(B170,Notes!$A$2:$B$37,2,FALSE)*1024,0) + C170*16 + IF(D170="",7,D170)*2 + IF(E170&gt;0, 1, 0))),","),"")</f>
        <v/>
      </c>
      <c r="X170" s="21" t="str">
        <f>IF(J170&gt;0,CONCATENATE("0x",(DEC2HEX(IF(I170&lt;&gt;"",VLOOKUP(I170,Notes!$A$2:$B$37,2,FALSE)*1024,0) + J170*16 + IF(K170="",7,K170)*2 + IF(L170&gt;0, 1, 0))),","),"")</f>
        <v/>
      </c>
      <c r="Y170" s="21" t="str">
        <f>IF(Q170&gt;0,CONCATENATE("0x",(DEC2HEX(IF(P170&lt;&gt;"",VLOOKUP(P170,Notes!$A$2:$B$37,2,FALSE)*1024,0) + Q170*16 + IF(R170="",7,R170)*2 + IF(S170&gt;0, 1, 0))),","),"")</f>
        <v/>
      </c>
    </row>
    <row r="171" spans="1:25" x14ac:dyDescent="0.25">
      <c r="F171" s="18">
        <f t="shared" si="12"/>
        <v>0</v>
      </c>
      <c r="G171" s="1" t="str">
        <f t="shared" si="15"/>
        <v/>
      </c>
      <c r="M171" s="18">
        <f t="shared" si="13"/>
        <v>0</v>
      </c>
      <c r="N171" s="1" t="str">
        <f t="shared" si="16"/>
        <v/>
      </c>
      <c r="T171" s="18">
        <f t="shared" si="14"/>
        <v>0</v>
      </c>
      <c r="U171" s="1" t="str">
        <f t="shared" si="17"/>
        <v/>
      </c>
      <c r="W171" s="21" t="str">
        <f>IF(C171&gt;0,CONCATENATE("0x",(DEC2HEX(IF(B171&lt;&gt;"",VLOOKUP(B171,Notes!$A$2:$B$37,2,FALSE)*1024,0) + C171*16 + IF(D171="",7,D171)*2 + IF(E171&gt;0, 1, 0))),","),"")</f>
        <v/>
      </c>
      <c r="X171" s="21" t="str">
        <f>IF(J171&gt;0,CONCATENATE("0x",(DEC2HEX(IF(I171&lt;&gt;"",VLOOKUP(I171,Notes!$A$2:$B$37,2,FALSE)*1024,0) + J171*16 + IF(K171="",7,K171)*2 + IF(L171&gt;0, 1, 0))),","),"")</f>
        <v/>
      </c>
      <c r="Y171" s="21" t="str">
        <f>IF(Q171&gt;0,CONCATENATE("0x",(DEC2HEX(IF(P171&lt;&gt;"",VLOOKUP(P171,Notes!$A$2:$B$37,2,FALSE)*1024,0) + Q171*16 + IF(R171="",7,R171)*2 + IF(S171&gt;0, 1, 0))),","),"")</f>
        <v/>
      </c>
    </row>
    <row r="172" spans="1:25" x14ac:dyDescent="0.25">
      <c r="F172" s="18">
        <f t="shared" si="12"/>
        <v>0</v>
      </c>
      <c r="G172" s="1" t="str">
        <f t="shared" si="15"/>
        <v/>
      </c>
      <c r="M172" s="18">
        <f t="shared" si="13"/>
        <v>0</v>
      </c>
      <c r="N172" s="1" t="str">
        <f t="shared" si="16"/>
        <v/>
      </c>
      <c r="T172" s="18">
        <f t="shared" si="14"/>
        <v>0</v>
      </c>
      <c r="U172" s="1" t="str">
        <f t="shared" si="17"/>
        <v/>
      </c>
      <c r="W172" s="21" t="str">
        <f>IF(C172&gt;0,CONCATENATE("0x",(DEC2HEX(IF(B172&lt;&gt;"",VLOOKUP(B172,Notes!$A$2:$B$37,2,FALSE)*1024,0) + C172*16 + IF(D172="",7,D172)*2 + IF(E172&gt;0, 1, 0))),","),"")</f>
        <v/>
      </c>
      <c r="X172" s="21" t="str">
        <f>IF(J172&gt;0,CONCATENATE("0x",(DEC2HEX(IF(I172&lt;&gt;"",VLOOKUP(I172,Notes!$A$2:$B$37,2,FALSE)*1024,0) + J172*16 + IF(K172="",7,K172)*2 + IF(L172&gt;0, 1, 0))),","),"")</f>
        <v/>
      </c>
      <c r="Y172" s="21" t="str">
        <f>IF(Q172&gt;0,CONCATENATE("0x",(DEC2HEX(IF(P172&lt;&gt;"",VLOOKUP(P172,Notes!$A$2:$B$37,2,FALSE)*1024,0) + Q172*16 + IF(R172="",7,R172)*2 + IF(S172&gt;0, 1, 0))),","),"")</f>
        <v/>
      </c>
    </row>
    <row r="173" spans="1:25" x14ac:dyDescent="0.25">
      <c r="F173" s="18">
        <f t="shared" si="12"/>
        <v>0</v>
      </c>
      <c r="G173" s="1" t="str">
        <f t="shared" si="15"/>
        <v/>
      </c>
      <c r="M173" s="18">
        <f t="shared" si="13"/>
        <v>0</v>
      </c>
      <c r="N173" s="1" t="str">
        <f t="shared" si="16"/>
        <v/>
      </c>
      <c r="T173" s="18">
        <f t="shared" si="14"/>
        <v>0</v>
      </c>
      <c r="U173" s="1" t="str">
        <f t="shared" si="17"/>
        <v/>
      </c>
      <c r="W173" s="21" t="str">
        <f>IF(C173&gt;0,CONCATENATE("0x",(DEC2HEX(IF(B173&lt;&gt;"",VLOOKUP(B173,Notes!$A$2:$B$37,2,FALSE)*1024,0) + C173*16 + IF(D173="",7,D173)*2 + IF(E173&gt;0, 1, 0))),","),"")</f>
        <v/>
      </c>
      <c r="X173" s="21" t="str">
        <f>IF(J173&gt;0,CONCATENATE("0x",(DEC2HEX(IF(I173&lt;&gt;"",VLOOKUP(I173,Notes!$A$2:$B$37,2,FALSE)*1024,0) + J173*16 + IF(K173="",7,K173)*2 + IF(L173&gt;0, 1, 0))),","),"")</f>
        <v/>
      </c>
      <c r="Y173" s="21" t="str">
        <f>IF(Q173&gt;0,CONCATENATE("0x",(DEC2HEX(IF(P173&lt;&gt;"",VLOOKUP(P173,Notes!$A$2:$B$37,2,FALSE)*1024,0) + Q173*16 + IF(R173="",7,R173)*2 + IF(S173&gt;0, 1, 0))),","),"")</f>
        <v/>
      </c>
    </row>
    <row r="174" spans="1:25" x14ac:dyDescent="0.25">
      <c r="F174" s="18">
        <f t="shared" si="12"/>
        <v>0</v>
      </c>
      <c r="G174" s="1" t="str">
        <f t="shared" si="15"/>
        <v/>
      </c>
      <c r="M174" s="18">
        <f t="shared" si="13"/>
        <v>0</v>
      </c>
      <c r="N174" s="1" t="str">
        <f t="shared" si="16"/>
        <v/>
      </c>
      <c r="T174" s="18">
        <f t="shared" si="14"/>
        <v>0</v>
      </c>
      <c r="U174" s="1" t="str">
        <f t="shared" si="17"/>
        <v/>
      </c>
      <c r="W174" s="21" t="str">
        <f>IF(C174&gt;0,CONCATENATE("0x",(DEC2HEX(IF(B174&lt;&gt;"",VLOOKUP(B174,Notes!$A$2:$B$37,2,FALSE)*1024,0) + C174*16 + IF(D174="",7,D174)*2 + IF(E174&gt;0, 1, 0))),","),"")</f>
        <v/>
      </c>
      <c r="X174" s="21" t="str">
        <f>IF(J174&gt;0,CONCATENATE("0x",(DEC2HEX(IF(I174&lt;&gt;"",VLOOKUP(I174,Notes!$A$2:$B$37,2,FALSE)*1024,0) + J174*16 + IF(K174="",7,K174)*2 + IF(L174&gt;0, 1, 0))),","),"")</f>
        <v/>
      </c>
      <c r="Y174" s="21" t="str">
        <f>IF(Q174&gt;0,CONCATENATE("0x",(DEC2HEX(IF(P174&lt;&gt;"",VLOOKUP(P174,Notes!$A$2:$B$37,2,FALSE)*1024,0) + Q174*16 + IF(R174="",7,R174)*2 + IF(S174&gt;0, 1, 0))),","),"")</f>
        <v/>
      </c>
    </row>
    <row r="175" spans="1:25" x14ac:dyDescent="0.25">
      <c r="F175" s="18">
        <f t="shared" si="12"/>
        <v>0</v>
      </c>
      <c r="G175" s="1" t="str">
        <f t="shared" si="15"/>
        <v/>
      </c>
      <c r="M175" s="18">
        <f t="shared" si="13"/>
        <v>0</v>
      </c>
      <c r="N175" s="1" t="str">
        <f t="shared" si="16"/>
        <v/>
      </c>
      <c r="T175" s="18">
        <f t="shared" si="14"/>
        <v>0</v>
      </c>
      <c r="U175" s="1" t="str">
        <f t="shared" si="17"/>
        <v/>
      </c>
      <c r="W175" s="21" t="str">
        <f>IF(C175&gt;0,CONCATENATE("0x",(DEC2HEX(IF(B175&lt;&gt;"",VLOOKUP(B175,Notes!$A$2:$B$37,2,FALSE)*1024,0) + C175*16 + IF(D175="",7,D175)*2 + IF(E175&gt;0, 1, 0))),","),"")</f>
        <v/>
      </c>
      <c r="X175" s="21" t="str">
        <f>IF(J175&gt;0,CONCATENATE("0x",(DEC2HEX(IF(I175&lt;&gt;"",VLOOKUP(I175,Notes!$A$2:$B$37,2,FALSE)*1024,0) + J175*16 + IF(K175="",7,K175)*2 + IF(L175&gt;0, 1, 0))),","),"")</f>
        <v/>
      </c>
      <c r="Y175" s="21" t="str">
        <f>IF(Q175&gt;0,CONCATENATE("0x",(DEC2HEX(IF(P175&lt;&gt;"",VLOOKUP(P175,Notes!$A$2:$B$37,2,FALSE)*1024,0) + Q175*16 + IF(R175="",7,R175)*2 + IF(S175&gt;0, 1, 0))),","),"")</f>
        <v/>
      </c>
    </row>
    <row r="176" spans="1:25" x14ac:dyDescent="0.25">
      <c r="F176" s="18">
        <f t="shared" si="12"/>
        <v>0</v>
      </c>
      <c r="G176" s="1" t="str">
        <f t="shared" si="15"/>
        <v/>
      </c>
      <c r="M176" s="18">
        <f t="shared" si="13"/>
        <v>0</v>
      </c>
      <c r="N176" s="1" t="str">
        <f t="shared" si="16"/>
        <v/>
      </c>
      <c r="T176" s="18">
        <f t="shared" si="14"/>
        <v>0</v>
      </c>
      <c r="U176" s="1" t="str">
        <f t="shared" si="17"/>
        <v/>
      </c>
      <c r="W176" s="21" t="str">
        <f>IF(C176&gt;0,CONCATENATE("0x",(DEC2HEX(IF(B176&lt;&gt;"",VLOOKUP(B176,Notes!$A$2:$B$37,2,FALSE)*1024,0) + C176*16 + IF(D176="",7,D176)*2 + IF(E176&gt;0, 1, 0))),","),"")</f>
        <v/>
      </c>
      <c r="X176" s="21" t="str">
        <f>IF(J176&gt;0,CONCATENATE("0x",(DEC2HEX(IF(I176&lt;&gt;"",VLOOKUP(I176,Notes!$A$2:$B$37,2,FALSE)*1024,0) + J176*16 + IF(K176="",7,K176)*2 + IF(L176&gt;0, 1, 0))),","),"")</f>
        <v/>
      </c>
      <c r="Y176" s="21" t="str">
        <f>IF(Q176&gt;0,CONCATENATE("0x",(DEC2HEX(IF(P176&lt;&gt;"",VLOOKUP(P176,Notes!$A$2:$B$37,2,FALSE)*1024,0) + Q176*16 + IF(R176="",7,R176)*2 + IF(S176&gt;0, 1, 0))),","),"")</f>
        <v/>
      </c>
    </row>
    <row r="177" spans="2:25" x14ac:dyDescent="0.25">
      <c r="B177" s="12"/>
      <c r="C177" s="13"/>
      <c r="D177" s="13"/>
      <c r="E177" s="14"/>
      <c r="F177" s="18">
        <f t="shared" si="12"/>
        <v>0</v>
      </c>
      <c r="G177" s="1" t="str">
        <f t="shared" si="15"/>
        <v/>
      </c>
      <c r="I177" s="12"/>
      <c r="J177" s="13"/>
      <c r="K177" s="13"/>
      <c r="L177" s="14"/>
      <c r="M177" s="18">
        <f t="shared" si="13"/>
        <v>0</v>
      </c>
      <c r="N177" s="1" t="str">
        <f t="shared" si="16"/>
        <v/>
      </c>
      <c r="P177" s="12"/>
      <c r="Q177" s="13"/>
      <c r="R177" s="13"/>
      <c r="S177" s="14"/>
      <c r="T177" s="18">
        <f t="shared" si="14"/>
        <v>0</v>
      </c>
      <c r="U177" s="1" t="str">
        <f t="shared" si="17"/>
        <v/>
      </c>
      <c r="W177" s="21" t="str">
        <f>IF(C177&gt;0,CONCATENATE("0x",(DEC2HEX(IF(B177&lt;&gt;"",VLOOKUP(B177,Notes!$A$2:$B$37,2,FALSE)*1024,0) + C177*16 + IF(D177="",7,D177)*2 + IF(E177&gt;0, 1, 0))),","),"")</f>
        <v/>
      </c>
      <c r="X177" s="21" t="str">
        <f>IF(J177&gt;0,CONCATENATE("0x",(DEC2HEX(IF(I177&lt;&gt;"",VLOOKUP(I177,Notes!$A$2:$B$37,2,FALSE)*1024,0) + J177*16 + IF(K177="",7,K177)*2 + IF(L177&gt;0, 1, 0))),","),"")</f>
        <v/>
      </c>
      <c r="Y177" s="21" t="str">
        <f>IF(Q177&gt;0,CONCATENATE("0x",(DEC2HEX(IF(P177&lt;&gt;"",VLOOKUP(P177,Notes!$A$2:$B$37,2,FALSE)*1024,0) + Q177*16 + IF(R177="",7,R177)*2 + IF(S177&gt;0, 1, 0))),","),"")</f>
        <v/>
      </c>
    </row>
    <row r="178" spans="2:25" x14ac:dyDescent="0.25">
      <c r="F178" s="18">
        <f t="shared" si="12"/>
        <v>0</v>
      </c>
      <c r="G178" s="1" t="str">
        <f t="shared" si="15"/>
        <v/>
      </c>
      <c r="M178" s="18">
        <f t="shared" si="13"/>
        <v>0</v>
      </c>
      <c r="N178" s="1" t="str">
        <f t="shared" si="16"/>
        <v/>
      </c>
      <c r="T178" s="18">
        <f t="shared" si="14"/>
        <v>0</v>
      </c>
      <c r="U178" s="1" t="str">
        <f t="shared" si="17"/>
        <v/>
      </c>
      <c r="W178" s="21" t="str">
        <f>IF(C178&gt;0,CONCATENATE("0x",(DEC2HEX(IF(B178&lt;&gt;"",VLOOKUP(B178,Notes!$A$2:$B$37,2,FALSE)*1024,0) + C178*16 + IF(D178="",7,D178)*2 + IF(E178&gt;0, 1, 0))),","),"")</f>
        <v/>
      </c>
      <c r="X178" s="21" t="str">
        <f>IF(J178&gt;0,CONCATENATE("0x",(DEC2HEX(IF(I178&lt;&gt;"",VLOOKUP(I178,Notes!$A$2:$B$37,2,FALSE)*1024,0) + J178*16 + IF(K178="",7,K178)*2 + IF(L178&gt;0, 1, 0))),","),"")</f>
        <v/>
      </c>
      <c r="Y178" s="21" t="str">
        <f>IF(Q178&gt;0,CONCATENATE("0x",(DEC2HEX(IF(P178&lt;&gt;"",VLOOKUP(P178,Notes!$A$2:$B$37,2,FALSE)*1024,0) + Q178*16 + IF(R178="",7,R178)*2 + IF(S178&gt;0, 1, 0))),","),"")</f>
        <v/>
      </c>
    </row>
    <row r="179" spans="2:25" x14ac:dyDescent="0.25">
      <c r="F179" s="18">
        <f t="shared" si="12"/>
        <v>0</v>
      </c>
      <c r="G179" s="1" t="str">
        <f t="shared" si="15"/>
        <v/>
      </c>
      <c r="M179" s="18">
        <f t="shared" si="13"/>
        <v>0</v>
      </c>
      <c r="N179" s="1" t="str">
        <f t="shared" si="16"/>
        <v/>
      </c>
      <c r="T179" s="18">
        <f t="shared" si="14"/>
        <v>0</v>
      </c>
      <c r="U179" s="1" t="str">
        <f t="shared" si="17"/>
        <v/>
      </c>
      <c r="W179" s="21" t="str">
        <f>IF(C179&gt;0,CONCATENATE("0x",(DEC2HEX(IF(B179&lt;&gt;"",VLOOKUP(B179,Notes!$A$2:$B$37,2,FALSE)*1024,0) + C179*16 + IF(D179="",7,D179)*2 + IF(E179&gt;0, 1, 0))),","),"")</f>
        <v/>
      </c>
      <c r="X179" s="21" t="str">
        <f>IF(J179&gt;0,CONCATENATE("0x",(DEC2HEX(IF(I179&lt;&gt;"",VLOOKUP(I179,Notes!$A$2:$B$37,2,FALSE)*1024,0) + J179*16 + IF(K179="",7,K179)*2 + IF(L179&gt;0, 1, 0))),","),"")</f>
        <v/>
      </c>
      <c r="Y179" s="21" t="str">
        <f>IF(Q179&gt;0,CONCATENATE("0x",(DEC2HEX(IF(P179&lt;&gt;"",VLOOKUP(P179,Notes!$A$2:$B$37,2,FALSE)*1024,0) + Q179*16 + IF(R179="",7,R179)*2 + IF(S179&gt;0, 1, 0))),","),"")</f>
        <v/>
      </c>
    </row>
    <row r="180" spans="2:25" x14ac:dyDescent="0.25">
      <c r="F180" s="18">
        <f t="shared" si="12"/>
        <v>0</v>
      </c>
      <c r="G180" s="1" t="str">
        <f t="shared" si="15"/>
        <v/>
      </c>
      <c r="M180" s="18">
        <f t="shared" si="13"/>
        <v>0</v>
      </c>
      <c r="N180" s="1" t="str">
        <f t="shared" si="16"/>
        <v/>
      </c>
      <c r="T180" s="18">
        <f t="shared" si="14"/>
        <v>0</v>
      </c>
      <c r="U180" s="1" t="str">
        <f t="shared" si="17"/>
        <v/>
      </c>
      <c r="W180" s="21" t="str">
        <f>IF(C180&gt;0,CONCATENATE("0x",(DEC2HEX(IF(B180&lt;&gt;"",VLOOKUP(B180,Notes!$A$2:$B$37,2,FALSE)*1024,0) + C180*16 + IF(D180="",7,D180)*2 + IF(E180&gt;0, 1, 0))),","),"")</f>
        <v/>
      </c>
      <c r="X180" s="21" t="str">
        <f>IF(J180&gt;0,CONCATENATE("0x",(DEC2HEX(IF(I180&lt;&gt;"",VLOOKUP(I180,Notes!$A$2:$B$37,2,FALSE)*1024,0) + J180*16 + IF(K180="",7,K180)*2 + IF(L180&gt;0, 1, 0))),","),"")</f>
        <v/>
      </c>
      <c r="Y180" s="21" t="str">
        <f>IF(Q180&gt;0,CONCATENATE("0x",(DEC2HEX(IF(P180&lt;&gt;"",VLOOKUP(P180,Notes!$A$2:$B$37,2,FALSE)*1024,0) + Q180*16 + IF(R180="",7,R180)*2 + IF(S180&gt;0, 1, 0))),","),"")</f>
        <v/>
      </c>
    </row>
    <row r="181" spans="2:25" x14ac:dyDescent="0.25">
      <c r="F181" s="18">
        <f t="shared" si="12"/>
        <v>0</v>
      </c>
      <c r="G181" s="1" t="str">
        <f t="shared" si="15"/>
        <v/>
      </c>
      <c r="M181" s="18">
        <f t="shared" si="13"/>
        <v>0</v>
      </c>
      <c r="N181" s="1" t="str">
        <f t="shared" si="16"/>
        <v/>
      </c>
      <c r="T181" s="18">
        <f t="shared" si="14"/>
        <v>0</v>
      </c>
      <c r="U181" s="1" t="str">
        <f t="shared" si="17"/>
        <v/>
      </c>
      <c r="W181" s="21" t="str">
        <f>IF(C181&gt;0,CONCATENATE("0x",(DEC2HEX(IF(B181&lt;&gt;"",VLOOKUP(B181,Notes!$A$2:$B$37,2,FALSE)*1024,0) + C181*16 + IF(D181="",7,D181)*2 + IF(E181&gt;0, 1, 0))),","),"")</f>
        <v/>
      </c>
      <c r="X181" s="21" t="str">
        <f>IF(J181&gt;0,CONCATENATE("0x",(DEC2HEX(IF(I181&lt;&gt;"",VLOOKUP(I181,Notes!$A$2:$B$37,2,FALSE)*1024,0) + J181*16 + IF(K181="",7,K181)*2 + IF(L181&gt;0, 1, 0))),","),"")</f>
        <v/>
      </c>
      <c r="Y181" s="21" t="str">
        <f>IF(Q181&gt;0,CONCATENATE("0x",(DEC2HEX(IF(P181&lt;&gt;"",VLOOKUP(P181,Notes!$A$2:$B$37,2,FALSE)*1024,0) + Q181*16 + IF(R181="",7,R181)*2 + IF(S181&gt;0, 1, 0))),","),"")</f>
        <v/>
      </c>
    </row>
    <row r="182" spans="2:25" x14ac:dyDescent="0.25">
      <c r="F182" s="18">
        <f t="shared" si="12"/>
        <v>0</v>
      </c>
      <c r="G182" s="1" t="str">
        <f t="shared" si="15"/>
        <v/>
      </c>
      <c r="M182" s="18">
        <f t="shared" si="13"/>
        <v>0</v>
      </c>
      <c r="N182" s="1" t="str">
        <f t="shared" si="16"/>
        <v/>
      </c>
      <c r="T182" s="18">
        <f t="shared" si="14"/>
        <v>0</v>
      </c>
      <c r="U182" s="1" t="str">
        <f t="shared" si="17"/>
        <v/>
      </c>
      <c r="W182" s="21" t="str">
        <f>IF(C182&gt;0,CONCATENATE("0x",(DEC2HEX(IF(B182&lt;&gt;"",VLOOKUP(B182,Notes!$A$2:$B$37,2,FALSE)*1024,0) + C182*16 + IF(D182="",7,D182)*2 + IF(E182&gt;0, 1, 0))),","),"")</f>
        <v/>
      </c>
      <c r="X182" s="21" t="str">
        <f>IF(J182&gt;0,CONCATENATE("0x",(DEC2HEX(IF(I182&lt;&gt;"",VLOOKUP(I182,Notes!$A$2:$B$37,2,FALSE)*1024,0) + J182*16 + IF(K182="",7,K182)*2 + IF(L182&gt;0, 1, 0))),","),"")</f>
        <v/>
      </c>
      <c r="Y182" s="21" t="str">
        <f>IF(Q182&gt;0,CONCATENATE("0x",(DEC2HEX(IF(P182&lt;&gt;"",VLOOKUP(P182,Notes!$A$2:$B$37,2,FALSE)*1024,0) + Q182*16 + IF(R182="",7,R182)*2 + IF(S182&gt;0, 1, 0))),","),"")</f>
        <v/>
      </c>
    </row>
    <row r="183" spans="2:25" x14ac:dyDescent="0.25">
      <c r="F183" s="18">
        <f t="shared" si="12"/>
        <v>0</v>
      </c>
      <c r="G183" s="1" t="str">
        <f t="shared" si="15"/>
        <v/>
      </c>
      <c r="M183" s="18">
        <f t="shared" si="13"/>
        <v>0</v>
      </c>
      <c r="N183" s="1" t="str">
        <f t="shared" si="16"/>
        <v/>
      </c>
      <c r="T183" s="18">
        <f t="shared" si="14"/>
        <v>0</v>
      </c>
      <c r="U183" s="1" t="str">
        <f t="shared" si="17"/>
        <v/>
      </c>
      <c r="W183" s="21" t="str">
        <f>IF(C183&gt;0,CONCATENATE("0x",(DEC2HEX(IF(B183&lt;&gt;"",VLOOKUP(B183,Notes!$A$2:$B$37,2,FALSE)*1024,0) + C183*16 + IF(D183="",7,D183)*2 + IF(E183&gt;0, 1, 0))),","),"")</f>
        <v/>
      </c>
      <c r="X183" s="21" t="str">
        <f>IF(J183&gt;0,CONCATENATE("0x",(DEC2HEX(IF(I183&lt;&gt;"",VLOOKUP(I183,Notes!$A$2:$B$37,2,FALSE)*1024,0) + J183*16 + IF(K183="",7,K183)*2 + IF(L183&gt;0, 1, 0))),","),"")</f>
        <v/>
      </c>
      <c r="Y183" s="21" t="str">
        <f>IF(Q183&gt;0,CONCATENATE("0x",(DEC2HEX(IF(P183&lt;&gt;"",VLOOKUP(P183,Notes!$A$2:$B$37,2,FALSE)*1024,0) + Q183*16 + IF(R183="",7,R183)*2 + IF(S183&gt;0, 1, 0))),","),"")</f>
        <v/>
      </c>
    </row>
    <row r="184" spans="2:25" x14ac:dyDescent="0.25">
      <c r="F184" s="18">
        <f t="shared" si="12"/>
        <v>0</v>
      </c>
      <c r="G184" s="1" t="str">
        <f t="shared" si="15"/>
        <v/>
      </c>
      <c r="M184" s="18">
        <f t="shared" si="13"/>
        <v>0</v>
      </c>
      <c r="N184" s="1" t="str">
        <f t="shared" si="16"/>
        <v/>
      </c>
      <c r="T184" s="18">
        <f t="shared" si="14"/>
        <v>0</v>
      </c>
      <c r="U184" s="1" t="str">
        <f t="shared" si="17"/>
        <v/>
      </c>
      <c r="W184" s="21" t="str">
        <f>IF(C184&gt;0,CONCATENATE("0x",(DEC2HEX(IF(B184&lt;&gt;"",VLOOKUP(B184,Notes!$A$2:$B$37,2,FALSE)*1024,0) + C184*16 + IF(D184="",7,D184)*2 + IF(E184&gt;0, 1, 0))),","),"")</f>
        <v/>
      </c>
      <c r="X184" s="21" t="str">
        <f>IF(J184&gt;0,CONCATENATE("0x",(DEC2HEX(IF(I184&lt;&gt;"",VLOOKUP(I184,Notes!$A$2:$B$37,2,FALSE)*1024,0) + J184*16 + IF(K184="",7,K184)*2 + IF(L184&gt;0, 1, 0))),","),"")</f>
        <v/>
      </c>
      <c r="Y184" s="21" t="str">
        <f>IF(Q184&gt;0,CONCATENATE("0x",(DEC2HEX(IF(P184&lt;&gt;"",VLOOKUP(P184,Notes!$A$2:$B$37,2,FALSE)*1024,0) + Q184*16 + IF(R184="",7,R184)*2 + IF(S184&gt;0, 1, 0))),","),"")</f>
        <v/>
      </c>
    </row>
    <row r="185" spans="2:25" x14ac:dyDescent="0.25">
      <c r="B185" s="12"/>
      <c r="C185" s="13"/>
      <c r="D185" s="13"/>
      <c r="E185" s="14"/>
      <c r="F185" s="18">
        <f t="shared" si="12"/>
        <v>0</v>
      </c>
      <c r="G185" s="1" t="str">
        <f t="shared" si="15"/>
        <v/>
      </c>
      <c r="I185" s="12"/>
      <c r="J185" s="13"/>
      <c r="K185" s="13"/>
      <c r="L185" s="14"/>
      <c r="M185" s="18">
        <f t="shared" si="13"/>
        <v>0</v>
      </c>
      <c r="N185" s="1" t="str">
        <f t="shared" si="16"/>
        <v/>
      </c>
      <c r="P185" s="12"/>
      <c r="Q185" s="13"/>
      <c r="R185" s="13"/>
      <c r="S185" s="14"/>
      <c r="T185" s="18">
        <f t="shared" si="14"/>
        <v>0</v>
      </c>
      <c r="U185" s="1" t="str">
        <f t="shared" si="17"/>
        <v/>
      </c>
      <c r="W185" s="21" t="str">
        <f>IF(C185&gt;0,CONCATENATE("0x",(DEC2HEX(IF(B185&lt;&gt;"",VLOOKUP(B185,Notes!$A$2:$B$37,2,FALSE)*1024,0) + C185*16 + IF(D185="",7,D185)*2 + IF(E185&gt;0, 1, 0))),","),"")</f>
        <v/>
      </c>
      <c r="X185" s="21" t="str">
        <f>IF(J185&gt;0,CONCATENATE("0x",(DEC2HEX(IF(I185&lt;&gt;"",VLOOKUP(I185,Notes!$A$2:$B$37,2,FALSE)*1024,0) + J185*16 + IF(K185="",7,K185)*2 + IF(L185&gt;0, 1, 0))),","),"")</f>
        <v/>
      </c>
      <c r="Y185" s="21" t="str">
        <f>IF(Q185&gt;0,CONCATENATE("0x",(DEC2HEX(IF(P185&lt;&gt;"",VLOOKUP(P185,Notes!$A$2:$B$37,2,FALSE)*1024,0) + Q185*16 + IF(R185="",7,R185)*2 + IF(S185&gt;0, 1, 0))),","),"")</f>
        <v/>
      </c>
    </row>
    <row r="186" spans="2:25" x14ac:dyDescent="0.25">
      <c r="F186" s="18">
        <f t="shared" si="12"/>
        <v>0</v>
      </c>
      <c r="G186" s="1" t="str">
        <f t="shared" si="15"/>
        <v/>
      </c>
      <c r="M186" s="18">
        <f t="shared" si="13"/>
        <v>0</v>
      </c>
      <c r="N186" s="1" t="str">
        <f t="shared" si="16"/>
        <v/>
      </c>
      <c r="T186" s="18">
        <f t="shared" si="14"/>
        <v>0</v>
      </c>
      <c r="U186" s="1" t="str">
        <f t="shared" si="17"/>
        <v/>
      </c>
      <c r="W186" s="21" t="str">
        <f>IF(C186&gt;0,CONCATENATE("0x",(DEC2HEX(IF(B186&lt;&gt;"",VLOOKUP(B186,Notes!$A$2:$B$37,2,FALSE)*1024,0) + C186*16 + IF(D186="",7,D186)*2 + IF(E186&gt;0, 1, 0))),","),"")</f>
        <v/>
      </c>
      <c r="X186" s="21" t="str">
        <f>IF(J186&gt;0,CONCATENATE("0x",(DEC2HEX(IF(I186&lt;&gt;"",VLOOKUP(I186,Notes!$A$2:$B$37,2,FALSE)*1024,0) + J186*16 + IF(K186="",7,K186)*2 + IF(L186&gt;0, 1, 0))),","),"")</f>
        <v/>
      </c>
      <c r="Y186" s="21" t="str">
        <f>IF(Q186&gt;0,CONCATENATE("0x",(DEC2HEX(IF(P186&lt;&gt;"",VLOOKUP(P186,Notes!$A$2:$B$37,2,FALSE)*1024,0) + Q186*16 + IF(R186="",7,R186)*2 + IF(S186&gt;0, 1, 0))),","),"")</f>
        <v/>
      </c>
    </row>
    <row r="187" spans="2:25" x14ac:dyDescent="0.25">
      <c r="F187" s="18">
        <f t="shared" si="12"/>
        <v>0</v>
      </c>
      <c r="G187" s="1" t="str">
        <f t="shared" si="15"/>
        <v/>
      </c>
      <c r="M187" s="18">
        <f t="shared" si="13"/>
        <v>0</v>
      </c>
      <c r="N187" s="1" t="str">
        <f t="shared" si="16"/>
        <v/>
      </c>
      <c r="T187" s="18">
        <f t="shared" si="14"/>
        <v>0</v>
      </c>
      <c r="U187" s="1" t="str">
        <f t="shared" si="17"/>
        <v/>
      </c>
      <c r="W187" s="21" t="str">
        <f>IF(C187&gt;0,CONCATENATE("0x",(DEC2HEX(IF(B187&lt;&gt;"",VLOOKUP(B187,Notes!$A$2:$B$37,2,FALSE)*1024,0) + C187*16 + IF(D187="",7,D187)*2 + IF(E187&gt;0, 1, 0))),","),"")</f>
        <v/>
      </c>
      <c r="X187" s="21" t="str">
        <f>IF(J187&gt;0,CONCATENATE("0x",(DEC2HEX(IF(I187&lt;&gt;"",VLOOKUP(I187,Notes!$A$2:$B$37,2,FALSE)*1024,0) + J187*16 + IF(K187="",7,K187)*2 + IF(L187&gt;0, 1, 0))),","),"")</f>
        <v/>
      </c>
      <c r="Y187" s="21" t="str">
        <f>IF(Q187&gt;0,CONCATENATE("0x",(DEC2HEX(IF(P187&lt;&gt;"",VLOOKUP(P187,Notes!$A$2:$B$37,2,FALSE)*1024,0) + Q187*16 + IF(R187="",7,R187)*2 + IF(S187&gt;0, 1, 0))),","),"")</f>
        <v/>
      </c>
    </row>
    <row r="188" spans="2:25" x14ac:dyDescent="0.25">
      <c r="F188" s="18">
        <f t="shared" si="12"/>
        <v>0</v>
      </c>
      <c r="G188" s="1" t="str">
        <f t="shared" si="15"/>
        <v/>
      </c>
      <c r="M188" s="18">
        <f t="shared" si="13"/>
        <v>0</v>
      </c>
      <c r="N188" s="1" t="str">
        <f t="shared" si="16"/>
        <v/>
      </c>
      <c r="T188" s="18">
        <f t="shared" si="14"/>
        <v>0</v>
      </c>
      <c r="U188" s="1" t="str">
        <f t="shared" si="17"/>
        <v/>
      </c>
      <c r="W188" s="21" t="str">
        <f>IF(C188&gt;0,CONCATENATE("0x",(DEC2HEX(IF(B188&lt;&gt;"",VLOOKUP(B188,Notes!$A$2:$B$37,2,FALSE)*1024,0) + C188*16 + IF(D188="",7,D188)*2 + IF(E188&gt;0, 1, 0))),","),"")</f>
        <v/>
      </c>
      <c r="X188" s="21" t="str">
        <f>IF(J188&gt;0,CONCATENATE("0x",(DEC2HEX(IF(I188&lt;&gt;"",VLOOKUP(I188,Notes!$A$2:$B$37,2,FALSE)*1024,0) + J188*16 + IF(K188="",7,K188)*2 + IF(L188&gt;0, 1, 0))),","),"")</f>
        <v/>
      </c>
      <c r="Y188" s="21" t="str">
        <f>IF(Q188&gt;0,CONCATENATE("0x",(DEC2HEX(IF(P188&lt;&gt;"",VLOOKUP(P188,Notes!$A$2:$B$37,2,FALSE)*1024,0) + Q188*16 + IF(R188="",7,R188)*2 + IF(S188&gt;0, 1, 0))),","),"")</f>
        <v/>
      </c>
    </row>
    <row r="189" spans="2:25" x14ac:dyDescent="0.25">
      <c r="F189" s="18">
        <f t="shared" si="12"/>
        <v>0</v>
      </c>
      <c r="G189" s="1" t="str">
        <f t="shared" si="15"/>
        <v/>
      </c>
      <c r="M189" s="18">
        <f t="shared" si="13"/>
        <v>0</v>
      </c>
      <c r="N189" s="1" t="str">
        <f t="shared" si="16"/>
        <v/>
      </c>
      <c r="T189" s="18">
        <f t="shared" si="14"/>
        <v>0</v>
      </c>
      <c r="U189" s="1" t="str">
        <f t="shared" si="17"/>
        <v/>
      </c>
      <c r="W189" s="21" t="str">
        <f>IF(C189&gt;0,CONCATENATE("0x",(DEC2HEX(IF(B189&lt;&gt;"",VLOOKUP(B189,Notes!$A$2:$B$37,2,FALSE)*1024,0) + C189*16 + IF(D189="",7,D189)*2 + IF(E189&gt;0, 1, 0))),","),"")</f>
        <v/>
      </c>
      <c r="X189" s="21" t="str">
        <f>IF(J189&gt;0,CONCATENATE("0x",(DEC2HEX(IF(I189&lt;&gt;"",VLOOKUP(I189,Notes!$A$2:$B$37,2,FALSE)*1024,0) + J189*16 + IF(K189="",7,K189)*2 + IF(L189&gt;0, 1, 0))),","),"")</f>
        <v/>
      </c>
      <c r="Y189" s="21" t="str">
        <f>IF(Q189&gt;0,CONCATENATE("0x",(DEC2HEX(IF(P189&lt;&gt;"",VLOOKUP(P189,Notes!$A$2:$B$37,2,FALSE)*1024,0) + Q189*16 + IF(R189="",7,R189)*2 + IF(S189&gt;0, 1, 0))),","),"")</f>
        <v/>
      </c>
    </row>
    <row r="190" spans="2:25" x14ac:dyDescent="0.25">
      <c r="F190" s="18">
        <f t="shared" si="12"/>
        <v>0</v>
      </c>
      <c r="G190" s="1" t="str">
        <f t="shared" si="15"/>
        <v/>
      </c>
      <c r="M190" s="18">
        <f t="shared" si="13"/>
        <v>0</v>
      </c>
      <c r="N190" s="1" t="str">
        <f t="shared" si="16"/>
        <v/>
      </c>
      <c r="T190" s="18">
        <f t="shared" si="14"/>
        <v>0</v>
      </c>
      <c r="U190" s="1" t="str">
        <f t="shared" si="17"/>
        <v/>
      </c>
      <c r="W190" s="21" t="str">
        <f>IF(C190&gt;0,CONCATENATE("0x",(DEC2HEX(IF(B190&lt;&gt;"",VLOOKUP(B190,Notes!$A$2:$B$37,2,FALSE)*1024,0) + C190*16 + IF(D190="",7,D190)*2 + IF(E190&gt;0, 1, 0))),","),"")</f>
        <v/>
      </c>
      <c r="X190" s="21" t="str">
        <f>IF(J190&gt;0,CONCATENATE("0x",(DEC2HEX(IF(I190&lt;&gt;"",VLOOKUP(I190,Notes!$A$2:$B$37,2,FALSE)*1024,0) + J190*16 + IF(K190="",7,K190)*2 + IF(L190&gt;0, 1, 0))),","),"")</f>
        <v/>
      </c>
      <c r="Y190" s="21" t="str">
        <f>IF(Q190&gt;0,CONCATENATE("0x",(DEC2HEX(IF(P190&lt;&gt;"",VLOOKUP(P190,Notes!$A$2:$B$37,2,FALSE)*1024,0) + Q190*16 + IF(R190="",7,R190)*2 + IF(S190&gt;0, 1, 0))),","),"")</f>
        <v/>
      </c>
    </row>
    <row r="191" spans="2:25" x14ac:dyDescent="0.25">
      <c r="F191" s="18">
        <f t="shared" si="12"/>
        <v>0</v>
      </c>
      <c r="G191" s="1" t="str">
        <f t="shared" si="15"/>
        <v/>
      </c>
      <c r="M191" s="18">
        <f t="shared" si="13"/>
        <v>0</v>
      </c>
      <c r="N191" s="1" t="str">
        <f t="shared" si="16"/>
        <v/>
      </c>
      <c r="T191" s="18">
        <f t="shared" si="14"/>
        <v>0</v>
      </c>
      <c r="U191" s="1" t="str">
        <f t="shared" si="17"/>
        <v/>
      </c>
      <c r="W191" s="21" t="str">
        <f>IF(C191&gt;0,CONCATENATE("0x",(DEC2HEX(IF(B191&lt;&gt;"",VLOOKUP(B191,Notes!$A$2:$B$37,2,FALSE)*1024,0) + C191*16 + IF(D191="",7,D191)*2 + IF(E191&gt;0, 1, 0))),","),"")</f>
        <v/>
      </c>
      <c r="X191" s="21" t="str">
        <f>IF(J191&gt;0,CONCATENATE("0x",(DEC2HEX(IF(I191&lt;&gt;"",VLOOKUP(I191,Notes!$A$2:$B$37,2,FALSE)*1024,0) + J191*16 + IF(K191="",7,K191)*2 + IF(L191&gt;0, 1, 0))),","),"")</f>
        <v/>
      </c>
      <c r="Y191" s="21" t="str">
        <f>IF(Q191&gt;0,CONCATENATE("0x",(DEC2HEX(IF(P191&lt;&gt;"",VLOOKUP(P191,Notes!$A$2:$B$37,2,FALSE)*1024,0) + Q191*16 + IF(R191="",7,R191)*2 + IF(S191&gt;0, 1, 0))),","),"")</f>
        <v/>
      </c>
    </row>
    <row r="192" spans="2:25" x14ac:dyDescent="0.25">
      <c r="F192" s="18">
        <f t="shared" si="12"/>
        <v>0</v>
      </c>
      <c r="G192" s="1" t="str">
        <f t="shared" si="15"/>
        <v/>
      </c>
      <c r="M192" s="18">
        <f t="shared" si="13"/>
        <v>0</v>
      </c>
      <c r="N192" s="1" t="str">
        <f t="shared" si="16"/>
        <v/>
      </c>
      <c r="T192" s="18">
        <f t="shared" si="14"/>
        <v>0</v>
      </c>
      <c r="U192" s="1" t="str">
        <f t="shared" si="17"/>
        <v/>
      </c>
      <c r="W192" s="21" t="str">
        <f>IF(C192&gt;0,CONCATENATE("0x",(DEC2HEX(IF(B192&lt;&gt;"",VLOOKUP(B192,Notes!$A$2:$B$37,2,FALSE)*1024,0) + C192*16 + IF(D192="",7,D192)*2 + IF(E192&gt;0, 1, 0))),","),"")</f>
        <v/>
      </c>
      <c r="X192" s="21" t="str">
        <f>IF(J192&gt;0,CONCATENATE("0x",(DEC2HEX(IF(I192&lt;&gt;"",VLOOKUP(I192,Notes!$A$2:$B$37,2,FALSE)*1024,0) + J192*16 + IF(K192="",7,K192)*2 + IF(L192&gt;0, 1, 0))),","),"")</f>
        <v/>
      </c>
      <c r="Y192" s="21" t="str">
        <f>IF(Q192&gt;0,CONCATENATE("0x",(DEC2HEX(IF(P192&lt;&gt;"",VLOOKUP(P192,Notes!$A$2:$B$37,2,FALSE)*1024,0) + Q192*16 + IF(R192="",7,R192)*2 + IF(S192&gt;0, 1, 0))),","),"")</f>
        <v/>
      </c>
    </row>
    <row r="193" spans="1:25" ht="16.5" thickBot="1" x14ac:dyDescent="0.3">
      <c r="B193" s="15"/>
      <c r="C193" s="16"/>
      <c r="D193" s="16"/>
      <c r="E193" s="17"/>
      <c r="F193" s="18">
        <f t="shared" si="12"/>
        <v>0</v>
      </c>
      <c r="G193" s="1" t="str">
        <f t="shared" si="15"/>
        <v/>
      </c>
      <c r="I193" s="15"/>
      <c r="J193" s="16"/>
      <c r="K193" s="16"/>
      <c r="L193" s="17"/>
      <c r="M193" s="18">
        <f t="shared" si="13"/>
        <v>0</v>
      </c>
      <c r="N193" s="1" t="str">
        <f t="shared" si="16"/>
        <v/>
      </c>
      <c r="P193" s="15"/>
      <c r="Q193" s="16"/>
      <c r="R193" s="16"/>
      <c r="S193" s="17"/>
      <c r="T193" s="18">
        <f t="shared" si="14"/>
        <v>0</v>
      </c>
      <c r="U193" s="1" t="str">
        <f t="shared" si="17"/>
        <v/>
      </c>
      <c r="W193" s="21" t="str">
        <f>IF(C193&gt;0,CONCATENATE("0x",(DEC2HEX(IF(B193&lt;&gt;"",VLOOKUP(B193,Notes!$A$2:$B$37,2,FALSE)*1024,0) + C193*16 + IF(D193="",7,D193)*2 + IF(E193&gt;0, 1, 0))),","),"")</f>
        <v/>
      </c>
      <c r="X193" s="21" t="str">
        <f>IF(J193&gt;0,CONCATENATE("0x",(DEC2HEX(IF(I193&lt;&gt;"",VLOOKUP(I193,Notes!$A$2:$B$37,2,FALSE)*1024,0) + J193*16 + IF(K193="",7,K193)*2 + IF(L193&gt;0, 1, 0))),","),"")</f>
        <v/>
      </c>
      <c r="Y193" s="21" t="str">
        <f>IF(Q193&gt;0,CONCATENATE("0x",(DEC2HEX(IF(P193&lt;&gt;"",VLOOKUP(P193,Notes!$A$2:$B$37,2,FALSE)*1024,0) + Q193*16 + IF(R193="",7,R193)*2 + IF(S193&gt;0, 1, 0))),","),"")</f>
        <v/>
      </c>
    </row>
    <row r="194" spans="1:25" ht="16.5" thickTop="1" x14ac:dyDescent="0.25">
      <c r="A194" s="1">
        <v>7</v>
      </c>
      <c r="F194" s="18">
        <f t="shared" si="12"/>
        <v>0</v>
      </c>
      <c r="G194" s="1" t="str">
        <f t="shared" si="15"/>
        <v/>
      </c>
      <c r="M194" s="18">
        <f t="shared" si="13"/>
        <v>0</v>
      </c>
      <c r="N194" s="1" t="str">
        <f t="shared" si="16"/>
        <v/>
      </c>
      <c r="T194" s="18">
        <f t="shared" si="14"/>
        <v>0</v>
      </c>
      <c r="U194" s="1" t="str">
        <f t="shared" si="17"/>
        <v/>
      </c>
      <c r="W194" s="21" t="str">
        <f>IF(C194&gt;0,CONCATENATE("0x",(DEC2HEX(IF(B194&lt;&gt;"",VLOOKUP(B194,Notes!$A$2:$B$37,2,FALSE)*1024,0) + C194*16 + IF(D194="",7,D194)*2 + IF(E194&gt;0, 1, 0))),","),"")</f>
        <v/>
      </c>
      <c r="X194" s="21" t="str">
        <f>IF(J194&gt;0,CONCATENATE("0x",(DEC2HEX(IF(I194&lt;&gt;"",VLOOKUP(I194,Notes!$A$2:$B$37,2,FALSE)*1024,0) + J194*16 + IF(K194="",7,K194)*2 + IF(L194&gt;0, 1, 0))),","),"")</f>
        <v/>
      </c>
      <c r="Y194" s="21" t="str">
        <f>IF(Q194&gt;0,CONCATENATE("0x",(DEC2HEX(IF(P194&lt;&gt;"",VLOOKUP(P194,Notes!$A$2:$B$37,2,FALSE)*1024,0) + Q194*16 + IF(R194="",7,R194)*2 + IF(S194&gt;0, 1, 0))),","),"")</f>
        <v/>
      </c>
    </row>
    <row r="195" spans="1:25" x14ac:dyDescent="0.25">
      <c r="F195" s="18">
        <f t="shared" ref="F195:F258" si="18">IF(C195&gt;0, C195, MAX(F194-1,0))</f>
        <v>0</v>
      </c>
      <c r="G195" s="1" t="str">
        <f t="shared" si="15"/>
        <v/>
      </c>
      <c r="M195" s="18">
        <f t="shared" ref="M195:M258" si="19">IF(J195&gt;0, J195, MAX(M194-1,0))</f>
        <v>0</v>
      </c>
      <c r="N195" s="1" t="str">
        <f t="shared" si="16"/>
        <v/>
      </c>
      <c r="T195" s="18">
        <f t="shared" ref="T195:T258" si="20">IF(Q195&gt;0, Q195, MAX(T194-1,0))</f>
        <v>0</v>
      </c>
      <c r="U195" s="1" t="str">
        <f t="shared" si="17"/>
        <v/>
      </c>
      <c r="W195" s="21" t="str">
        <f>IF(C195&gt;0,CONCATENATE("0x",(DEC2HEX(IF(B195&lt;&gt;"",VLOOKUP(B195,Notes!$A$2:$B$37,2,FALSE)*1024,0) + C195*16 + IF(D195="",7,D195)*2 + IF(E195&gt;0, 1, 0))),","),"")</f>
        <v/>
      </c>
      <c r="X195" s="21" t="str">
        <f>IF(J195&gt;0,CONCATENATE("0x",(DEC2HEX(IF(I195&lt;&gt;"",VLOOKUP(I195,Notes!$A$2:$B$37,2,FALSE)*1024,0) + J195*16 + IF(K195="",7,K195)*2 + IF(L195&gt;0, 1, 0))),","),"")</f>
        <v/>
      </c>
      <c r="Y195" s="21" t="str">
        <f>IF(Q195&gt;0,CONCATENATE("0x",(DEC2HEX(IF(P195&lt;&gt;"",VLOOKUP(P195,Notes!$A$2:$B$37,2,FALSE)*1024,0) + Q195*16 + IF(R195="",7,R195)*2 + IF(S195&gt;0, 1, 0))),","),"")</f>
        <v/>
      </c>
    </row>
    <row r="196" spans="1:25" x14ac:dyDescent="0.25">
      <c r="F196" s="18">
        <f t="shared" si="18"/>
        <v>0</v>
      </c>
      <c r="G196" s="1" t="str">
        <f t="shared" ref="G196:G259" si="21">IF(AND(F195&gt;1,C196&gt;0), "OVERLAPPING","")</f>
        <v/>
      </c>
      <c r="M196" s="18">
        <f t="shared" si="19"/>
        <v>0</v>
      </c>
      <c r="N196" s="1" t="str">
        <f t="shared" ref="N196:N259" si="22">IF(AND(M195&gt;1,J196&gt;0), "OVERLAPPING","")</f>
        <v/>
      </c>
      <c r="T196" s="18">
        <f t="shared" si="20"/>
        <v>0</v>
      </c>
      <c r="U196" s="1" t="str">
        <f t="shared" ref="U196:U259" si="23">IF(AND(T195&gt;1,Q196&gt;0), "OVERLAPPING","")</f>
        <v/>
      </c>
      <c r="W196" s="21" t="str">
        <f>IF(C196&gt;0,CONCATENATE("0x",(DEC2HEX(IF(B196&lt;&gt;"",VLOOKUP(B196,Notes!$A$2:$B$37,2,FALSE)*1024,0) + C196*16 + IF(D196="",7,D196)*2 + IF(E196&gt;0, 1, 0))),","),"")</f>
        <v/>
      </c>
      <c r="X196" s="21" t="str">
        <f>IF(J196&gt;0,CONCATENATE("0x",(DEC2HEX(IF(I196&lt;&gt;"",VLOOKUP(I196,Notes!$A$2:$B$37,2,FALSE)*1024,0) + J196*16 + IF(K196="",7,K196)*2 + IF(L196&gt;0, 1, 0))),","),"")</f>
        <v/>
      </c>
      <c r="Y196" s="21" t="str">
        <f>IF(Q196&gt;0,CONCATENATE("0x",(DEC2HEX(IF(P196&lt;&gt;"",VLOOKUP(P196,Notes!$A$2:$B$37,2,FALSE)*1024,0) + Q196*16 + IF(R196="",7,R196)*2 + IF(S196&gt;0, 1, 0))),","),"")</f>
        <v/>
      </c>
    </row>
    <row r="197" spans="1:25" x14ac:dyDescent="0.25">
      <c r="F197" s="18">
        <f t="shared" si="18"/>
        <v>0</v>
      </c>
      <c r="G197" s="1" t="str">
        <f t="shared" si="21"/>
        <v/>
      </c>
      <c r="M197" s="18">
        <f t="shared" si="19"/>
        <v>0</v>
      </c>
      <c r="N197" s="1" t="str">
        <f t="shared" si="22"/>
        <v/>
      </c>
      <c r="T197" s="18">
        <f t="shared" si="20"/>
        <v>0</v>
      </c>
      <c r="U197" s="1" t="str">
        <f t="shared" si="23"/>
        <v/>
      </c>
      <c r="W197" s="21" t="str">
        <f>IF(C197&gt;0,CONCATENATE("0x",(DEC2HEX(IF(B197&lt;&gt;"",VLOOKUP(B197,Notes!$A$2:$B$37,2,FALSE)*1024,0) + C197*16 + IF(D197="",7,D197)*2 + IF(E197&gt;0, 1, 0))),","),"")</f>
        <v/>
      </c>
      <c r="X197" s="21" t="str">
        <f>IF(J197&gt;0,CONCATENATE("0x",(DEC2HEX(IF(I197&lt;&gt;"",VLOOKUP(I197,Notes!$A$2:$B$37,2,FALSE)*1024,0) + J197*16 + IF(K197="",7,K197)*2 + IF(L197&gt;0, 1, 0))),","),"")</f>
        <v/>
      </c>
      <c r="Y197" s="21" t="str">
        <f>IF(Q197&gt;0,CONCATENATE("0x",(DEC2HEX(IF(P197&lt;&gt;"",VLOOKUP(P197,Notes!$A$2:$B$37,2,FALSE)*1024,0) + Q197*16 + IF(R197="",7,R197)*2 + IF(S197&gt;0, 1, 0))),","),"")</f>
        <v/>
      </c>
    </row>
    <row r="198" spans="1:25" x14ac:dyDescent="0.25">
      <c r="F198" s="18">
        <f t="shared" si="18"/>
        <v>0</v>
      </c>
      <c r="G198" s="1" t="str">
        <f t="shared" si="21"/>
        <v/>
      </c>
      <c r="M198" s="18">
        <f t="shared" si="19"/>
        <v>0</v>
      </c>
      <c r="N198" s="1" t="str">
        <f t="shared" si="22"/>
        <v/>
      </c>
      <c r="T198" s="18">
        <f t="shared" si="20"/>
        <v>0</v>
      </c>
      <c r="U198" s="1" t="str">
        <f t="shared" si="23"/>
        <v/>
      </c>
      <c r="W198" s="21" t="str">
        <f>IF(C198&gt;0,CONCATENATE("0x",(DEC2HEX(IF(B198&lt;&gt;"",VLOOKUP(B198,Notes!$A$2:$B$37,2,FALSE)*1024,0) + C198*16 + IF(D198="",7,D198)*2 + IF(E198&gt;0, 1, 0))),","),"")</f>
        <v/>
      </c>
      <c r="X198" s="21" t="str">
        <f>IF(J198&gt;0,CONCATENATE("0x",(DEC2HEX(IF(I198&lt;&gt;"",VLOOKUP(I198,Notes!$A$2:$B$37,2,FALSE)*1024,0) + J198*16 + IF(K198="",7,K198)*2 + IF(L198&gt;0, 1, 0))),","),"")</f>
        <v/>
      </c>
      <c r="Y198" s="21" t="str">
        <f>IF(Q198&gt;0,CONCATENATE("0x",(DEC2HEX(IF(P198&lt;&gt;"",VLOOKUP(P198,Notes!$A$2:$B$37,2,FALSE)*1024,0) + Q198*16 + IF(R198="",7,R198)*2 + IF(S198&gt;0, 1, 0))),","),"")</f>
        <v/>
      </c>
    </row>
    <row r="199" spans="1:25" x14ac:dyDescent="0.25">
      <c r="F199" s="18">
        <f t="shared" si="18"/>
        <v>0</v>
      </c>
      <c r="G199" s="1" t="str">
        <f t="shared" si="21"/>
        <v/>
      </c>
      <c r="M199" s="18">
        <f t="shared" si="19"/>
        <v>0</v>
      </c>
      <c r="N199" s="1" t="str">
        <f t="shared" si="22"/>
        <v/>
      </c>
      <c r="T199" s="18">
        <f t="shared" si="20"/>
        <v>0</v>
      </c>
      <c r="U199" s="1" t="str">
        <f t="shared" si="23"/>
        <v/>
      </c>
      <c r="W199" s="21" t="str">
        <f>IF(C199&gt;0,CONCATENATE("0x",(DEC2HEX(IF(B199&lt;&gt;"",VLOOKUP(B199,Notes!$A$2:$B$37,2,FALSE)*1024,0) + C199*16 + IF(D199="",7,D199)*2 + IF(E199&gt;0, 1, 0))),","),"")</f>
        <v/>
      </c>
      <c r="X199" s="21" t="str">
        <f>IF(J199&gt;0,CONCATENATE("0x",(DEC2HEX(IF(I199&lt;&gt;"",VLOOKUP(I199,Notes!$A$2:$B$37,2,FALSE)*1024,0) + J199*16 + IF(K199="",7,K199)*2 + IF(L199&gt;0, 1, 0))),","),"")</f>
        <v/>
      </c>
      <c r="Y199" s="21" t="str">
        <f>IF(Q199&gt;0,CONCATENATE("0x",(DEC2HEX(IF(P199&lt;&gt;"",VLOOKUP(P199,Notes!$A$2:$B$37,2,FALSE)*1024,0) + Q199*16 + IF(R199="",7,R199)*2 + IF(S199&gt;0, 1, 0))),","),"")</f>
        <v/>
      </c>
    </row>
    <row r="200" spans="1:25" x14ac:dyDescent="0.25">
      <c r="F200" s="18">
        <f t="shared" si="18"/>
        <v>0</v>
      </c>
      <c r="G200" s="1" t="str">
        <f t="shared" si="21"/>
        <v/>
      </c>
      <c r="M200" s="18">
        <f t="shared" si="19"/>
        <v>0</v>
      </c>
      <c r="N200" s="1" t="str">
        <f t="shared" si="22"/>
        <v/>
      </c>
      <c r="T200" s="18">
        <f t="shared" si="20"/>
        <v>0</v>
      </c>
      <c r="U200" s="1" t="str">
        <f t="shared" si="23"/>
        <v/>
      </c>
      <c r="W200" s="21" t="str">
        <f>IF(C200&gt;0,CONCATENATE("0x",(DEC2HEX(IF(B200&lt;&gt;"",VLOOKUP(B200,Notes!$A$2:$B$37,2,FALSE)*1024,0) + C200*16 + IF(D200="",7,D200)*2 + IF(E200&gt;0, 1, 0))),","),"")</f>
        <v/>
      </c>
      <c r="X200" s="21" t="str">
        <f>IF(J200&gt;0,CONCATENATE("0x",(DEC2HEX(IF(I200&lt;&gt;"",VLOOKUP(I200,Notes!$A$2:$B$37,2,FALSE)*1024,0) + J200*16 + IF(K200="",7,K200)*2 + IF(L200&gt;0, 1, 0))),","),"")</f>
        <v/>
      </c>
      <c r="Y200" s="21" t="str">
        <f>IF(Q200&gt;0,CONCATENATE("0x",(DEC2HEX(IF(P200&lt;&gt;"",VLOOKUP(P200,Notes!$A$2:$B$37,2,FALSE)*1024,0) + Q200*16 + IF(R200="",7,R200)*2 + IF(S200&gt;0, 1, 0))),","),"")</f>
        <v/>
      </c>
    </row>
    <row r="201" spans="1:25" x14ac:dyDescent="0.25">
      <c r="B201" s="12"/>
      <c r="C201" s="13"/>
      <c r="D201" s="13"/>
      <c r="E201" s="14"/>
      <c r="F201" s="18">
        <f t="shared" si="18"/>
        <v>0</v>
      </c>
      <c r="G201" s="1" t="str">
        <f t="shared" si="21"/>
        <v/>
      </c>
      <c r="I201" s="12"/>
      <c r="J201" s="13"/>
      <c r="K201" s="13"/>
      <c r="L201" s="14"/>
      <c r="M201" s="18">
        <f t="shared" si="19"/>
        <v>0</v>
      </c>
      <c r="N201" s="1" t="str">
        <f t="shared" si="22"/>
        <v/>
      </c>
      <c r="P201" s="12"/>
      <c r="Q201" s="13"/>
      <c r="R201" s="13"/>
      <c r="S201" s="14"/>
      <c r="T201" s="18">
        <f t="shared" si="20"/>
        <v>0</v>
      </c>
      <c r="U201" s="1" t="str">
        <f t="shared" si="23"/>
        <v/>
      </c>
      <c r="W201" s="21" t="str">
        <f>IF(C201&gt;0,CONCATENATE("0x",(DEC2HEX(IF(B201&lt;&gt;"",VLOOKUP(B201,Notes!$A$2:$B$37,2,FALSE)*1024,0) + C201*16 + IF(D201="",7,D201)*2 + IF(E201&gt;0, 1, 0))),","),"")</f>
        <v/>
      </c>
      <c r="X201" s="21" t="str">
        <f>IF(J201&gt;0,CONCATENATE("0x",(DEC2HEX(IF(I201&lt;&gt;"",VLOOKUP(I201,Notes!$A$2:$B$37,2,FALSE)*1024,0) + J201*16 + IF(K201="",7,K201)*2 + IF(L201&gt;0, 1, 0))),","),"")</f>
        <v/>
      </c>
      <c r="Y201" s="21" t="str">
        <f>IF(Q201&gt;0,CONCATENATE("0x",(DEC2HEX(IF(P201&lt;&gt;"",VLOOKUP(P201,Notes!$A$2:$B$37,2,FALSE)*1024,0) + Q201*16 + IF(R201="",7,R201)*2 + IF(S201&gt;0, 1, 0))),","),"")</f>
        <v/>
      </c>
    </row>
    <row r="202" spans="1:25" x14ac:dyDescent="0.25">
      <c r="F202" s="18">
        <f t="shared" si="18"/>
        <v>0</v>
      </c>
      <c r="G202" s="1" t="str">
        <f t="shared" si="21"/>
        <v/>
      </c>
      <c r="M202" s="18">
        <f t="shared" si="19"/>
        <v>0</v>
      </c>
      <c r="N202" s="1" t="str">
        <f t="shared" si="22"/>
        <v/>
      </c>
      <c r="T202" s="18">
        <f t="shared" si="20"/>
        <v>0</v>
      </c>
      <c r="U202" s="1" t="str">
        <f t="shared" si="23"/>
        <v/>
      </c>
      <c r="W202" s="21" t="str">
        <f>IF(C202&gt;0,CONCATENATE("0x",(DEC2HEX(IF(B202&lt;&gt;"",VLOOKUP(B202,Notes!$A$2:$B$37,2,FALSE)*1024,0) + C202*16 + IF(D202="",7,D202)*2 + IF(E202&gt;0, 1, 0))),","),"")</f>
        <v/>
      </c>
      <c r="X202" s="21" t="str">
        <f>IF(J202&gt;0,CONCATENATE("0x",(DEC2HEX(IF(I202&lt;&gt;"",VLOOKUP(I202,Notes!$A$2:$B$37,2,FALSE)*1024,0) + J202*16 + IF(K202="",7,K202)*2 + IF(L202&gt;0, 1, 0))),","),"")</f>
        <v/>
      </c>
      <c r="Y202" s="21" t="str">
        <f>IF(Q202&gt;0,CONCATENATE("0x",(DEC2HEX(IF(P202&lt;&gt;"",VLOOKUP(P202,Notes!$A$2:$B$37,2,FALSE)*1024,0) + Q202*16 + IF(R202="",7,R202)*2 + IF(S202&gt;0, 1, 0))),","),"")</f>
        <v/>
      </c>
    </row>
    <row r="203" spans="1:25" x14ac:dyDescent="0.25">
      <c r="F203" s="18">
        <f t="shared" si="18"/>
        <v>0</v>
      </c>
      <c r="G203" s="1" t="str">
        <f t="shared" si="21"/>
        <v/>
      </c>
      <c r="M203" s="18">
        <f t="shared" si="19"/>
        <v>0</v>
      </c>
      <c r="N203" s="1" t="str">
        <f t="shared" si="22"/>
        <v/>
      </c>
      <c r="T203" s="18">
        <f t="shared" si="20"/>
        <v>0</v>
      </c>
      <c r="U203" s="1" t="str">
        <f t="shared" si="23"/>
        <v/>
      </c>
      <c r="W203" s="21" t="str">
        <f>IF(C203&gt;0,CONCATENATE("0x",(DEC2HEX(IF(B203&lt;&gt;"",VLOOKUP(B203,Notes!$A$2:$B$37,2,FALSE)*1024,0) + C203*16 + IF(D203="",7,D203)*2 + IF(E203&gt;0, 1, 0))),","),"")</f>
        <v/>
      </c>
      <c r="X203" s="21" t="str">
        <f>IF(J203&gt;0,CONCATENATE("0x",(DEC2HEX(IF(I203&lt;&gt;"",VLOOKUP(I203,Notes!$A$2:$B$37,2,FALSE)*1024,0) + J203*16 + IF(K203="",7,K203)*2 + IF(L203&gt;0, 1, 0))),","),"")</f>
        <v/>
      </c>
      <c r="Y203" s="21" t="str">
        <f>IF(Q203&gt;0,CONCATENATE("0x",(DEC2HEX(IF(P203&lt;&gt;"",VLOOKUP(P203,Notes!$A$2:$B$37,2,FALSE)*1024,0) + Q203*16 + IF(R203="",7,R203)*2 + IF(S203&gt;0, 1, 0))),","),"")</f>
        <v/>
      </c>
    </row>
    <row r="204" spans="1:25" x14ac:dyDescent="0.25">
      <c r="F204" s="18">
        <f t="shared" si="18"/>
        <v>0</v>
      </c>
      <c r="G204" s="1" t="str">
        <f t="shared" si="21"/>
        <v/>
      </c>
      <c r="M204" s="18">
        <f t="shared" si="19"/>
        <v>0</v>
      </c>
      <c r="N204" s="1" t="str">
        <f t="shared" si="22"/>
        <v/>
      </c>
      <c r="T204" s="18">
        <f t="shared" si="20"/>
        <v>0</v>
      </c>
      <c r="U204" s="1" t="str">
        <f t="shared" si="23"/>
        <v/>
      </c>
      <c r="W204" s="21" t="str">
        <f>IF(C204&gt;0,CONCATENATE("0x",(DEC2HEX(IF(B204&lt;&gt;"",VLOOKUP(B204,Notes!$A$2:$B$37,2,FALSE)*1024,0) + C204*16 + IF(D204="",7,D204)*2 + IF(E204&gt;0, 1, 0))),","),"")</f>
        <v/>
      </c>
      <c r="X204" s="21" t="str">
        <f>IF(J204&gt;0,CONCATENATE("0x",(DEC2HEX(IF(I204&lt;&gt;"",VLOOKUP(I204,Notes!$A$2:$B$37,2,FALSE)*1024,0) + J204*16 + IF(K204="",7,K204)*2 + IF(L204&gt;0, 1, 0))),","),"")</f>
        <v/>
      </c>
      <c r="Y204" s="21" t="str">
        <f>IF(Q204&gt;0,CONCATENATE("0x",(DEC2HEX(IF(P204&lt;&gt;"",VLOOKUP(P204,Notes!$A$2:$B$37,2,FALSE)*1024,0) + Q204*16 + IF(R204="",7,R204)*2 + IF(S204&gt;0, 1, 0))),","),"")</f>
        <v/>
      </c>
    </row>
    <row r="205" spans="1:25" x14ac:dyDescent="0.25">
      <c r="F205" s="18">
        <f t="shared" si="18"/>
        <v>0</v>
      </c>
      <c r="G205" s="1" t="str">
        <f t="shared" si="21"/>
        <v/>
      </c>
      <c r="M205" s="18">
        <f t="shared" si="19"/>
        <v>0</v>
      </c>
      <c r="N205" s="1" t="str">
        <f t="shared" si="22"/>
        <v/>
      </c>
      <c r="T205" s="18">
        <f t="shared" si="20"/>
        <v>0</v>
      </c>
      <c r="U205" s="1" t="str">
        <f t="shared" si="23"/>
        <v/>
      </c>
      <c r="W205" s="21" t="str">
        <f>IF(C205&gt;0,CONCATENATE("0x",(DEC2HEX(IF(B205&lt;&gt;"",VLOOKUP(B205,Notes!$A$2:$B$37,2,FALSE)*1024,0) + C205*16 + IF(D205="",7,D205)*2 + IF(E205&gt;0, 1, 0))),","),"")</f>
        <v/>
      </c>
      <c r="X205" s="21" t="str">
        <f>IF(J205&gt;0,CONCATENATE("0x",(DEC2HEX(IF(I205&lt;&gt;"",VLOOKUP(I205,Notes!$A$2:$B$37,2,FALSE)*1024,0) + J205*16 + IF(K205="",7,K205)*2 + IF(L205&gt;0, 1, 0))),","),"")</f>
        <v/>
      </c>
      <c r="Y205" s="21" t="str">
        <f>IF(Q205&gt;0,CONCATENATE("0x",(DEC2HEX(IF(P205&lt;&gt;"",VLOOKUP(P205,Notes!$A$2:$B$37,2,FALSE)*1024,0) + Q205*16 + IF(R205="",7,R205)*2 + IF(S205&gt;0, 1, 0))),","),"")</f>
        <v/>
      </c>
    </row>
    <row r="206" spans="1:25" x14ac:dyDescent="0.25">
      <c r="F206" s="18">
        <f t="shared" si="18"/>
        <v>0</v>
      </c>
      <c r="G206" s="1" t="str">
        <f t="shared" si="21"/>
        <v/>
      </c>
      <c r="M206" s="18">
        <f t="shared" si="19"/>
        <v>0</v>
      </c>
      <c r="N206" s="1" t="str">
        <f t="shared" si="22"/>
        <v/>
      </c>
      <c r="T206" s="18">
        <f t="shared" si="20"/>
        <v>0</v>
      </c>
      <c r="U206" s="1" t="str">
        <f t="shared" si="23"/>
        <v/>
      </c>
      <c r="W206" s="21" t="str">
        <f>IF(C206&gt;0,CONCATENATE("0x",(DEC2HEX(IF(B206&lt;&gt;"",VLOOKUP(B206,Notes!$A$2:$B$37,2,FALSE)*1024,0) + C206*16 + IF(D206="",7,D206)*2 + IF(E206&gt;0, 1, 0))),","),"")</f>
        <v/>
      </c>
      <c r="X206" s="21" t="str">
        <f>IF(J206&gt;0,CONCATENATE("0x",(DEC2HEX(IF(I206&lt;&gt;"",VLOOKUP(I206,Notes!$A$2:$B$37,2,FALSE)*1024,0) + J206*16 + IF(K206="",7,K206)*2 + IF(L206&gt;0, 1, 0))),","),"")</f>
        <v/>
      </c>
      <c r="Y206" s="21" t="str">
        <f>IF(Q206&gt;0,CONCATENATE("0x",(DEC2HEX(IF(P206&lt;&gt;"",VLOOKUP(P206,Notes!$A$2:$B$37,2,FALSE)*1024,0) + Q206*16 + IF(R206="",7,R206)*2 + IF(S206&gt;0, 1, 0))),","),"")</f>
        <v/>
      </c>
    </row>
    <row r="207" spans="1:25" x14ac:dyDescent="0.25">
      <c r="F207" s="18">
        <f t="shared" si="18"/>
        <v>0</v>
      </c>
      <c r="G207" s="1" t="str">
        <f t="shared" si="21"/>
        <v/>
      </c>
      <c r="M207" s="18">
        <f t="shared" si="19"/>
        <v>0</v>
      </c>
      <c r="N207" s="1" t="str">
        <f t="shared" si="22"/>
        <v/>
      </c>
      <c r="T207" s="18">
        <f t="shared" si="20"/>
        <v>0</v>
      </c>
      <c r="U207" s="1" t="str">
        <f t="shared" si="23"/>
        <v/>
      </c>
      <c r="W207" s="21" t="str">
        <f>IF(C207&gt;0,CONCATENATE("0x",(DEC2HEX(IF(B207&lt;&gt;"",VLOOKUP(B207,Notes!$A$2:$B$37,2,FALSE)*1024,0) + C207*16 + IF(D207="",7,D207)*2 + IF(E207&gt;0, 1, 0))),","),"")</f>
        <v/>
      </c>
      <c r="X207" s="21" t="str">
        <f>IF(J207&gt;0,CONCATENATE("0x",(DEC2HEX(IF(I207&lt;&gt;"",VLOOKUP(I207,Notes!$A$2:$B$37,2,FALSE)*1024,0) + J207*16 + IF(K207="",7,K207)*2 + IF(L207&gt;0, 1, 0))),","),"")</f>
        <v/>
      </c>
      <c r="Y207" s="21" t="str">
        <f>IF(Q207&gt;0,CONCATENATE("0x",(DEC2HEX(IF(P207&lt;&gt;"",VLOOKUP(P207,Notes!$A$2:$B$37,2,FALSE)*1024,0) + Q207*16 + IF(R207="",7,R207)*2 + IF(S207&gt;0, 1, 0))),","),"")</f>
        <v/>
      </c>
    </row>
    <row r="208" spans="1:25" x14ac:dyDescent="0.25">
      <c r="F208" s="18">
        <f t="shared" si="18"/>
        <v>0</v>
      </c>
      <c r="G208" s="1" t="str">
        <f t="shared" si="21"/>
        <v/>
      </c>
      <c r="M208" s="18">
        <f t="shared" si="19"/>
        <v>0</v>
      </c>
      <c r="N208" s="1" t="str">
        <f t="shared" si="22"/>
        <v/>
      </c>
      <c r="T208" s="18">
        <f t="shared" si="20"/>
        <v>0</v>
      </c>
      <c r="U208" s="1" t="str">
        <f t="shared" si="23"/>
        <v/>
      </c>
      <c r="W208" s="21" t="str">
        <f>IF(C208&gt;0,CONCATENATE("0x",(DEC2HEX(IF(B208&lt;&gt;"",VLOOKUP(B208,Notes!$A$2:$B$37,2,FALSE)*1024,0) + C208*16 + IF(D208="",7,D208)*2 + IF(E208&gt;0, 1, 0))),","),"")</f>
        <v/>
      </c>
      <c r="X208" s="21" t="str">
        <f>IF(J208&gt;0,CONCATENATE("0x",(DEC2HEX(IF(I208&lt;&gt;"",VLOOKUP(I208,Notes!$A$2:$B$37,2,FALSE)*1024,0) + J208*16 + IF(K208="",7,K208)*2 + IF(L208&gt;0, 1, 0))),","),"")</f>
        <v/>
      </c>
      <c r="Y208" s="21" t="str">
        <f>IF(Q208&gt;0,CONCATENATE("0x",(DEC2HEX(IF(P208&lt;&gt;"",VLOOKUP(P208,Notes!$A$2:$B$37,2,FALSE)*1024,0) + Q208*16 + IF(R208="",7,R208)*2 + IF(S208&gt;0, 1, 0))),","),"")</f>
        <v/>
      </c>
    </row>
    <row r="209" spans="2:25" x14ac:dyDescent="0.25">
      <c r="B209" s="12"/>
      <c r="C209" s="13"/>
      <c r="D209" s="13"/>
      <c r="E209" s="14"/>
      <c r="F209" s="18">
        <f t="shared" si="18"/>
        <v>0</v>
      </c>
      <c r="G209" s="1" t="str">
        <f t="shared" si="21"/>
        <v/>
      </c>
      <c r="I209" s="12"/>
      <c r="J209" s="13"/>
      <c r="K209" s="13"/>
      <c r="L209" s="14"/>
      <c r="M209" s="18">
        <f t="shared" si="19"/>
        <v>0</v>
      </c>
      <c r="N209" s="1" t="str">
        <f t="shared" si="22"/>
        <v/>
      </c>
      <c r="P209" s="12"/>
      <c r="Q209" s="13"/>
      <c r="R209" s="13"/>
      <c r="S209" s="14"/>
      <c r="T209" s="18">
        <f t="shared" si="20"/>
        <v>0</v>
      </c>
      <c r="U209" s="1" t="str">
        <f t="shared" si="23"/>
        <v/>
      </c>
      <c r="W209" s="21" t="str">
        <f>IF(C209&gt;0,CONCATENATE("0x",(DEC2HEX(IF(B209&lt;&gt;"",VLOOKUP(B209,Notes!$A$2:$B$37,2,FALSE)*1024,0) + C209*16 + IF(D209="",7,D209)*2 + IF(E209&gt;0, 1, 0))),","),"")</f>
        <v/>
      </c>
      <c r="X209" s="21" t="str">
        <f>IF(J209&gt;0,CONCATENATE("0x",(DEC2HEX(IF(I209&lt;&gt;"",VLOOKUP(I209,Notes!$A$2:$B$37,2,FALSE)*1024,0) + J209*16 + IF(K209="",7,K209)*2 + IF(L209&gt;0, 1, 0))),","),"")</f>
        <v/>
      </c>
      <c r="Y209" s="21" t="str">
        <f>IF(Q209&gt;0,CONCATENATE("0x",(DEC2HEX(IF(P209&lt;&gt;"",VLOOKUP(P209,Notes!$A$2:$B$37,2,FALSE)*1024,0) + Q209*16 + IF(R209="",7,R209)*2 + IF(S209&gt;0, 1, 0))),","),"")</f>
        <v/>
      </c>
    </row>
    <row r="210" spans="2:25" x14ac:dyDescent="0.25">
      <c r="F210" s="18">
        <f t="shared" si="18"/>
        <v>0</v>
      </c>
      <c r="G210" s="1" t="str">
        <f t="shared" si="21"/>
        <v/>
      </c>
      <c r="M210" s="18">
        <f t="shared" si="19"/>
        <v>0</v>
      </c>
      <c r="N210" s="1" t="str">
        <f t="shared" si="22"/>
        <v/>
      </c>
      <c r="T210" s="18">
        <f t="shared" si="20"/>
        <v>0</v>
      </c>
      <c r="U210" s="1" t="str">
        <f t="shared" si="23"/>
        <v/>
      </c>
      <c r="W210" s="21" t="str">
        <f>IF(C210&gt;0,CONCATENATE("0x",(DEC2HEX(IF(B210&lt;&gt;"",VLOOKUP(B210,Notes!$A$2:$B$37,2,FALSE)*1024,0) + C210*16 + IF(D210="",7,D210)*2 + IF(E210&gt;0, 1, 0))),","),"")</f>
        <v/>
      </c>
      <c r="X210" s="21" t="str">
        <f>IF(J210&gt;0,CONCATENATE("0x",(DEC2HEX(IF(I210&lt;&gt;"",VLOOKUP(I210,Notes!$A$2:$B$37,2,FALSE)*1024,0) + J210*16 + IF(K210="",7,K210)*2 + IF(L210&gt;0, 1, 0))),","),"")</f>
        <v/>
      </c>
      <c r="Y210" s="21" t="str">
        <f>IF(Q210&gt;0,CONCATENATE("0x",(DEC2HEX(IF(P210&lt;&gt;"",VLOOKUP(P210,Notes!$A$2:$B$37,2,FALSE)*1024,0) + Q210*16 + IF(R210="",7,R210)*2 + IF(S210&gt;0, 1, 0))),","),"")</f>
        <v/>
      </c>
    </row>
    <row r="211" spans="2:25" x14ac:dyDescent="0.25">
      <c r="F211" s="18">
        <f t="shared" si="18"/>
        <v>0</v>
      </c>
      <c r="G211" s="1" t="str">
        <f t="shared" si="21"/>
        <v/>
      </c>
      <c r="M211" s="18">
        <f t="shared" si="19"/>
        <v>0</v>
      </c>
      <c r="N211" s="1" t="str">
        <f t="shared" si="22"/>
        <v/>
      </c>
      <c r="T211" s="18">
        <f t="shared" si="20"/>
        <v>0</v>
      </c>
      <c r="U211" s="1" t="str">
        <f t="shared" si="23"/>
        <v/>
      </c>
      <c r="W211" s="21" t="str">
        <f>IF(C211&gt;0,CONCATENATE("0x",(DEC2HEX(IF(B211&lt;&gt;"",VLOOKUP(B211,Notes!$A$2:$B$37,2,FALSE)*1024,0) + C211*16 + IF(D211="",7,D211)*2 + IF(E211&gt;0, 1, 0))),","),"")</f>
        <v/>
      </c>
      <c r="X211" s="21" t="str">
        <f>IF(J211&gt;0,CONCATENATE("0x",(DEC2HEX(IF(I211&lt;&gt;"",VLOOKUP(I211,Notes!$A$2:$B$37,2,FALSE)*1024,0) + J211*16 + IF(K211="",7,K211)*2 + IF(L211&gt;0, 1, 0))),","),"")</f>
        <v/>
      </c>
      <c r="Y211" s="21" t="str">
        <f>IF(Q211&gt;0,CONCATENATE("0x",(DEC2HEX(IF(P211&lt;&gt;"",VLOOKUP(P211,Notes!$A$2:$B$37,2,FALSE)*1024,0) + Q211*16 + IF(R211="",7,R211)*2 + IF(S211&gt;0, 1, 0))),","),"")</f>
        <v/>
      </c>
    </row>
    <row r="212" spans="2:25" x14ac:dyDescent="0.25">
      <c r="F212" s="18">
        <f t="shared" si="18"/>
        <v>0</v>
      </c>
      <c r="G212" s="1" t="str">
        <f t="shared" si="21"/>
        <v/>
      </c>
      <c r="M212" s="18">
        <f t="shared" si="19"/>
        <v>0</v>
      </c>
      <c r="N212" s="1" t="str">
        <f t="shared" si="22"/>
        <v/>
      </c>
      <c r="T212" s="18">
        <f t="shared" si="20"/>
        <v>0</v>
      </c>
      <c r="U212" s="1" t="str">
        <f t="shared" si="23"/>
        <v/>
      </c>
      <c r="W212" s="21" t="str">
        <f>IF(C212&gt;0,CONCATENATE("0x",(DEC2HEX(IF(B212&lt;&gt;"",VLOOKUP(B212,Notes!$A$2:$B$37,2,FALSE)*1024,0) + C212*16 + IF(D212="",7,D212)*2 + IF(E212&gt;0, 1, 0))),","),"")</f>
        <v/>
      </c>
      <c r="X212" s="21" t="str">
        <f>IF(J212&gt;0,CONCATENATE("0x",(DEC2HEX(IF(I212&lt;&gt;"",VLOOKUP(I212,Notes!$A$2:$B$37,2,FALSE)*1024,0) + J212*16 + IF(K212="",7,K212)*2 + IF(L212&gt;0, 1, 0))),","),"")</f>
        <v/>
      </c>
      <c r="Y212" s="21" t="str">
        <f>IF(Q212&gt;0,CONCATENATE("0x",(DEC2HEX(IF(P212&lt;&gt;"",VLOOKUP(P212,Notes!$A$2:$B$37,2,FALSE)*1024,0) + Q212*16 + IF(R212="",7,R212)*2 + IF(S212&gt;0, 1, 0))),","),"")</f>
        <v/>
      </c>
    </row>
    <row r="213" spans="2:25" x14ac:dyDescent="0.25">
      <c r="F213" s="18">
        <f t="shared" si="18"/>
        <v>0</v>
      </c>
      <c r="G213" s="1" t="str">
        <f t="shared" si="21"/>
        <v/>
      </c>
      <c r="M213" s="18">
        <f t="shared" si="19"/>
        <v>0</v>
      </c>
      <c r="N213" s="1" t="str">
        <f t="shared" si="22"/>
        <v/>
      </c>
      <c r="T213" s="18">
        <f t="shared" si="20"/>
        <v>0</v>
      </c>
      <c r="U213" s="1" t="str">
        <f t="shared" si="23"/>
        <v/>
      </c>
      <c r="W213" s="21" t="str">
        <f>IF(C213&gt;0,CONCATENATE("0x",(DEC2HEX(IF(B213&lt;&gt;"",VLOOKUP(B213,Notes!$A$2:$B$37,2,FALSE)*1024,0) + C213*16 + IF(D213="",7,D213)*2 + IF(E213&gt;0, 1, 0))),","),"")</f>
        <v/>
      </c>
      <c r="X213" s="21" t="str">
        <f>IF(J213&gt;0,CONCATENATE("0x",(DEC2HEX(IF(I213&lt;&gt;"",VLOOKUP(I213,Notes!$A$2:$B$37,2,FALSE)*1024,0) + J213*16 + IF(K213="",7,K213)*2 + IF(L213&gt;0, 1, 0))),","),"")</f>
        <v/>
      </c>
      <c r="Y213" s="21" t="str">
        <f>IF(Q213&gt;0,CONCATENATE("0x",(DEC2HEX(IF(P213&lt;&gt;"",VLOOKUP(P213,Notes!$A$2:$B$37,2,FALSE)*1024,0) + Q213*16 + IF(R213="",7,R213)*2 + IF(S213&gt;0, 1, 0))),","),"")</f>
        <v/>
      </c>
    </row>
    <row r="214" spans="2:25" x14ac:dyDescent="0.25">
      <c r="F214" s="18">
        <f t="shared" si="18"/>
        <v>0</v>
      </c>
      <c r="G214" s="1" t="str">
        <f t="shared" si="21"/>
        <v/>
      </c>
      <c r="M214" s="18">
        <f t="shared" si="19"/>
        <v>0</v>
      </c>
      <c r="N214" s="1" t="str">
        <f t="shared" si="22"/>
        <v/>
      </c>
      <c r="T214" s="18">
        <f t="shared" si="20"/>
        <v>0</v>
      </c>
      <c r="U214" s="1" t="str">
        <f t="shared" si="23"/>
        <v/>
      </c>
      <c r="W214" s="21" t="str">
        <f>IF(C214&gt;0,CONCATENATE("0x",(DEC2HEX(IF(B214&lt;&gt;"",VLOOKUP(B214,Notes!$A$2:$B$37,2,FALSE)*1024,0) + C214*16 + IF(D214="",7,D214)*2 + IF(E214&gt;0, 1, 0))),","),"")</f>
        <v/>
      </c>
      <c r="X214" s="21" t="str">
        <f>IF(J214&gt;0,CONCATENATE("0x",(DEC2HEX(IF(I214&lt;&gt;"",VLOOKUP(I214,Notes!$A$2:$B$37,2,FALSE)*1024,0) + J214*16 + IF(K214="",7,K214)*2 + IF(L214&gt;0, 1, 0))),","),"")</f>
        <v/>
      </c>
      <c r="Y214" s="21" t="str">
        <f>IF(Q214&gt;0,CONCATENATE("0x",(DEC2HEX(IF(P214&lt;&gt;"",VLOOKUP(P214,Notes!$A$2:$B$37,2,FALSE)*1024,0) + Q214*16 + IF(R214="",7,R214)*2 + IF(S214&gt;0, 1, 0))),","),"")</f>
        <v/>
      </c>
    </row>
    <row r="215" spans="2:25" x14ac:dyDescent="0.25">
      <c r="F215" s="18">
        <f t="shared" si="18"/>
        <v>0</v>
      </c>
      <c r="G215" s="1" t="str">
        <f t="shared" si="21"/>
        <v/>
      </c>
      <c r="M215" s="18">
        <f t="shared" si="19"/>
        <v>0</v>
      </c>
      <c r="N215" s="1" t="str">
        <f t="shared" si="22"/>
        <v/>
      </c>
      <c r="T215" s="18">
        <f t="shared" si="20"/>
        <v>0</v>
      </c>
      <c r="U215" s="1" t="str">
        <f t="shared" si="23"/>
        <v/>
      </c>
      <c r="W215" s="21" t="str">
        <f>IF(C215&gt;0,CONCATENATE("0x",(DEC2HEX(IF(B215&lt;&gt;"",VLOOKUP(B215,Notes!$A$2:$B$37,2,FALSE)*1024,0) + C215*16 + IF(D215="",7,D215)*2 + IF(E215&gt;0, 1, 0))),","),"")</f>
        <v/>
      </c>
      <c r="X215" s="21" t="str">
        <f>IF(J215&gt;0,CONCATENATE("0x",(DEC2HEX(IF(I215&lt;&gt;"",VLOOKUP(I215,Notes!$A$2:$B$37,2,FALSE)*1024,0) + J215*16 + IF(K215="",7,K215)*2 + IF(L215&gt;0, 1, 0))),","),"")</f>
        <v/>
      </c>
      <c r="Y215" s="21" t="str">
        <f>IF(Q215&gt;0,CONCATENATE("0x",(DEC2HEX(IF(P215&lt;&gt;"",VLOOKUP(P215,Notes!$A$2:$B$37,2,FALSE)*1024,0) + Q215*16 + IF(R215="",7,R215)*2 + IF(S215&gt;0, 1, 0))),","),"")</f>
        <v/>
      </c>
    </row>
    <row r="216" spans="2:25" x14ac:dyDescent="0.25">
      <c r="F216" s="18">
        <f t="shared" si="18"/>
        <v>0</v>
      </c>
      <c r="G216" s="1" t="str">
        <f t="shared" si="21"/>
        <v/>
      </c>
      <c r="M216" s="18">
        <f t="shared" si="19"/>
        <v>0</v>
      </c>
      <c r="N216" s="1" t="str">
        <f t="shared" si="22"/>
        <v/>
      </c>
      <c r="T216" s="18">
        <f t="shared" si="20"/>
        <v>0</v>
      </c>
      <c r="U216" s="1" t="str">
        <f t="shared" si="23"/>
        <v/>
      </c>
      <c r="W216" s="21" t="str">
        <f>IF(C216&gt;0,CONCATENATE("0x",(DEC2HEX(IF(B216&lt;&gt;"",VLOOKUP(B216,Notes!$A$2:$B$37,2,FALSE)*1024,0) + C216*16 + IF(D216="",7,D216)*2 + IF(E216&gt;0, 1, 0))),","),"")</f>
        <v/>
      </c>
      <c r="X216" s="21" t="str">
        <f>IF(J216&gt;0,CONCATENATE("0x",(DEC2HEX(IF(I216&lt;&gt;"",VLOOKUP(I216,Notes!$A$2:$B$37,2,FALSE)*1024,0) + J216*16 + IF(K216="",7,K216)*2 + IF(L216&gt;0, 1, 0))),","),"")</f>
        <v/>
      </c>
      <c r="Y216" s="21" t="str">
        <f>IF(Q216&gt;0,CONCATENATE("0x",(DEC2HEX(IF(P216&lt;&gt;"",VLOOKUP(P216,Notes!$A$2:$B$37,2,FALSE)*1024,0) + Q216*16 + IF(R216="",7,R216)*2 + IF(S216&gt;0, 1, 0))),","),"")</f>
        <v/>
      </c>
    </row>
    <row r="217" spans="2:25" x14ac:dyDescent="0.25">
      <c r="B217" s="12"/>
      <c r="C217" s="13"/>
      <c r="D217" s="13"/>
      <c r="E217" s="14"/>
      <c r="F217" s="18">
        <f t="shared" si="18"/>
        <v>0</v>
      </c>
      <c r="G217" s="1" t="str">
        <f t="shared" si="21"/>
        <v/>
      </c>
      <c r="I217" s="12"/>
      <c r="J217" s="13"/>
      <c r="K217" s="13"/>
      <c r="L217" s="14"/>
      <c r="M217" s="18">
        <f t="shared" si="19"/>
        <v>0</v>
      </c>
      <c r="N217" s="1" t="str">
        <f t="shared" si="22"/>
        <v/>
      </c>
      <c r="P217" s="12"/>
      <c r="Q217" s="13"/>
      <c r="R217" s="13"/>
      <c r="S217" s="14"/>
      <c r="T217" s="18">
        <f t="shared" si="20"/>
        <v>0</v>
      </c>
      <c r="U217" s="1" t="str">
        <f t="shared" si="23"/>
        <v/>
      </c>
      <c r="W217" s="21" t="str">
        <f>IF(C217&gt;0,CONCATENATE("0x",(DEC2HEX(IF(B217&lt;&gt;"",VLOOKUP(B217,Notes!$A$2:$B$37,2,FALSE)*1024,0) + C217*16 + IF(D217="",7,D217)*2 + IF(E217&gt;0, 1, 0))),","),"")</f>
        <v/>
      </c>
      <c r="X217" s="21" t="str">
        <f>IF(J217&gt;0,CONCATENATE("0x",(DEC2HEX(IF(I217&lt;&gt;"",VLOOKUP(I217,Notes!$A$2:$B$37,2,FALSE)*1024,0) + J217*16 + IF(K217="",7,K217)*2 + IF(L217&gt;0, 1, 0))),","),"")</f>
        <v/>
      </c>
      <c r="Y217" s="21" t="str">
        <f>IF(Q217&gt;0,CONCATENATE("0x",(DEC2HEX(IF(P217&lt;&gt;"",VLOOKUP(P217,Notes!$A$2:$B$37,2,FALSE)*1024,0) + Q217*16 + IF(R217="",7,R217)*2 + IF(S217&gt;0, 1, 0))),","),"")</f>
        <v/>
      </c>
    </row>
    <row r="218" spans="2:25" x14ac:dyDescent="0.25">
      <c r="F218" s="18">
        <f t="shared" si="18"/>
        <v>0</v>
      </c>
      <c r="G218" s="1" t="str">
        <f t="shared" si="21"/>
        <v/>
      </c>
      <c r="M218" s="18">
        <f t="shared" si="19"/>
        <v>0</v>
      </c>
      <c r="N218" s="1" t="str">
        <f t="shared" si="22"/>
        <v/>
      </c>
      <c r="T218" s="18">
        <f t="shared" si="20"/>
        <v>0</v>
      </c>
      <c r="U218" s="1" t="str">
        <f t="shared" si="23"/>
        <v/>
      </c>
      <c r="W218" s="21" t="str">
        <f>IF(C218&gt;0,CONCATENATE("0x",(DEC2HEX(IF(B218&lt;&gt;"",VLOOKUP(B218,Notes!$A$2:$B$37,2,FALSE)*1024,0) + C218*16 + IF(D218="",7,D218)*2 + IF(E218&gt;0, 1, 0))),","),"")</f>
        <v/>
      </c>
      <c r="X218" s="21" t="str">
        <f>IF(J218&gt;0,CONCATENATE("0x",(DEC2HEX(IF(I218&lt;&gt;"",VLOOKUP(I218,Notes!$A$2:$B$37,2,FALSE)*1024,0) + J218*16 + IF(K218="",7,K218)*2 + IF(L218&gt;0, 1, 0))),","),"")</f>
        <v/>
      </c>
      <c r="Y218" s="21" t="str">
        <f>IF(Q218&gt;0,CONCATENATE("0x",(DEC2HEX(IF(P218&lt;&gt;"",VLOOKUP(P218,Notes!$A$2:$B$37,2,FALSE)*1024,0) + Q218*16 + IF(R218="",7,R218)*2 + IF(S218&gt;0, 1, 0))),","),"")</f>
        <v/>
      </c>
    </row>
    <row r="219" spans="2:25" x14ac:dyDescent="0.25">
      <c r="F219" s="18">
        <f t="shared" si="18"/>
        <v>0</v>
      </c>
      <c r="G219" s="1" t="str">
        <f t="shared" si="21"/>
        <v/>
      </c>
      <c r="M219" s="18">
        <f t="shared" si="19"/>
        <v>0</v>
      </c>
      <c r="N219" s="1" t="str">
        <f t="shared" si="22"/>
        <v/>
      </c>
      <c r="T219" s="18">
        <f t="shared" si="20"/>
        <v>0</v>
      </c>
      <c r="U219" s="1" t="str">
        <f t="shared" si="23"/>
        <v/>
      </c>
      <c r="W219" s="21" t="str">
        <f>IF(C219&gt;0,CONCATENATE("0x",(DEC2HEX(IF(B219&lt;&gt;"",VLOOKUP(B219,Notes!$A$2:$B$37,2,FALSE)*1024,0) + C219*16 + IF(D219="",7,D219)*2 + IF(E219&gt;0, 1, 0))),","),"")</f>
        <v/>
      </c>
      <c r="X219" s="21" t="str">
        <f>IF(J219&gt;0,CONCATENATE("0x",(DEC2HEX(IF(I219&lt;&gt;"",VLOOKUP(I219,Notes!$A$2:$B$37,2,FALSE)*1024,0) + J219*16 + IF(K219="",7,K219)*2 + IF(L219&gt;0, 1, 0))),","),"")</f>
        <v/>
      </c>
      <c r="Y219" s="21" t="str">
        <f>IF(Q219&gt;0,CONCATENATE("0x",(DEC2HEX(IF(P219&lt;&gt;"",VLOOKUP(P219,Notes!$A$2:$B$37,2,FALSE)*1024,0) + Q219*16 + IF(R219="",7,R219)*2 + IF(S219&gt;0, 1, 0))),","),"")</f>
        <v/>
      </c>
    </row>
    <row r="220" spans="2:25" x14ac:dyDescent="0.25">
      <c r="F220" s="18">
        <f t="shared" si="18"/>
        <v>0</v>
      </c>
      <c r="G220" s="1" t="str">
        <f t="shared" si="21"/>
        <v/>
      </c>
      <c r="M220" s="18">
        <f t="shared" si="19"/>
        <v>0</v>
      </c>
      <c r="N220" s="1" t="str">
        <f t="shared" si="22"/>
        <v/>
      </c>
      <c r="T220" s="18">
        <f t="shared" si="20"/>
        <v>0</v>
      </c>
      <c r="U220" s="1" t="str">
        <f t="shared" si="23"/>
        <v/>
      </c>
      <c r="W220" s="21" t="str">
        <f>IF(C220&gt;0,CONCATENATE("0x",(DEC2HEX(IF(B220&lt;&gt;"",VLOOKUP(B220,Notes!$A$2:$B$37,2,FALSE)*1024,0) + C220*16 + IF(D220="",7,D220)*2 + IF(E220&gt;0, 1, 0))),","),"")</f>
        <v/>
      </c>
      <c r="X220" s="21" t="str">
        <f>IF(J220&gt;0,CONCATENATE("0x",(DEC2HEX(IF(I220&lt;&gt;"",VLOOKUP(I220,Notes!$A$2:$B$37,2,FALSE)*1024,0) + J220*16 + IF(K220="",7,K220)*2 + IF(L220&gt;0, 1, 0))),","),"")</f>
        <v/>
      </c>
      <c r="Y220" s="21" t="str">
        <f>IF(Q220&gt;0,CONCATENATE("0x",(DEC2HEX(IF(P220&lt;&gt;"",VLOOKUP(P220,Notes!$A$2:$B$37,2,FALSE)*1024,0) + Q220*16 + IF(R220="",7,R220)*2 + IF(S220&gt;0, 1, 0))),","),"")</f>
        <v/>
      </c>
    </row>
    <row r="221" spans="2:25" x14ac:dyDescent="0.25">
      <c r="F221" s="18">
        <f t="shared" si="18"/>
        <v>0</v>
      </c>
      <c r="G221" s="1" t="str">
        <f t="shared" si="21"/>
        <v/>
      </c>
      <c r="M221" s="18">
        <f t="shared" si="19"/>
        <v>0</v>
      </c>
      <c r="N221" s="1" t="str">
        <f t="shared" si="22"/>
        <v/>
      </c>
      <c r="T221" s="18">
        <f t="shared" si="20"/>
        <v>0</v>
      </c>
      <c r="U221" s="1" t="str">
        <f t="shared" si="23"/>
        <v/>
      </c>
      <c r="W221" s="21" t="str">
        <f>IF(C221&gt;0,CONCATENATE("0x",(DEC2HEX(IF(B221&lt;&gt;"",VLOOKUP(B221,Notes!$A$2:$B$37,2,FALSE)*1024,0) + C221*16 + IF(D221="",7,D221)*2 + IF(E221&gt;0, 1, 0))),","),"")</f>
        <v/>
      </c>
      <c r="X221" s="21" t="str">
        <f>IF(J221&gt;0,CONCATENATE("0x",(DEC2HEX(IF(I221&lt;&gt;"",VLOOKUP(I221,Notes!$A$2:$B$37,2,FALSE)*1024,0) + J221*16 + IF(K221="",7,K221)*2 + IF(L221&gt;0, 1, 0))),","),"")</f>
        <v/>
      </c>
      <c r="Y221" s="21" t="str">
        <f>IF(Q221&gt;0,CONCATENATE("0x",(DEC2HEX(IF(P221&lt;&gt;"",VLOOKUP(P221,Notes!$A$2:$B$37,2,FALSE)*1024,0) + Q221*16 + IF(R221="",7,R221)*2 + IF(S221&gt;0, 1, 0))),","),"")</f>
        <v/>
      </c>
    </row>
    <row r="222" spans="2:25" x14ac:dyDescent="0.25">
      <c r="F222" s="18">
        <f t="shared" si="18"/>
        <v>0</v>
      </c>
      <c r="G222" s="1" t="str">
        <f t="shared" si="21"/>
        <v/>
      </c>
      <c r="M222" s="18">
        <f t="shared" si="19"/>
        <v>0</v>
      </c>
      <c r="N222" s="1" t="str">
        <f t="shared" si="22"/>
        <v/>
      </c>
      <c r="T222" s="18">
        <f t="shared" si="20"/>
        <v>0</v>
      </c>
      <c r="U222" s="1" t="str">
        <f t="shared" si="23"/>
        <v/>
      </c>
      <c r="W222" s="21" t="str">
        <f>IF(C222&gt;0,CONCATENATE("0x",(DEC2HEX(IF(B222&lt;&gt;"",VLOOKUP(B222,Notes!$A$2:$B$37,2,FALSE)*1024,0) + C222*16 + IF(D222="",7,D222)*2 + IF(E222&gt;0, 1, 0))),","),"")</f>
        <v/>
      </c>
      <c r="X222" s="21" t="str">
        <f>IF(J222&gt;0,CONCATENATE("0x",(DEC2HEX(IF(I222&lt;&gt;"",VLOOKUP(I222,Notes!$A$2:$B$37,2,FALSE)*1024,0) + J222*16 + IF(K222="",7,K222)*2 + IF(L222&gt;0, 1, 0))),","),"")</f>
        <v/>
      </c>
      <c r="Y222" s="21" t="str">
        <f>IF(Q222&gt;0,CONCATENATE("0x",(DEC2HEX(IF(P222&lt;&gt;"",VLOOKUP(P222,Notes!$A$2:$B$37,2,FALSE)*1024,0) + Q222*16 + IF(R222="",7,R222)*2 + IF(S222&gt;0, 1, 0))),","),"")</f>
        <v/>
      </c>
    </row>
    <row r="223" spans="2:25" x14ac:dyDescent="0.25">
      <c r="F223" s="18">
        <f t="shared" si="18"/>
        <v>0</v>
      </c>
      <c r="G223" s="1" t="str">
        <f t="shared" si="21"/>
        <v/>
      </c>
      <c r="M223" s="18">
        <f t="shared" si="19"/>
        <v>0</v>
      </c>
      <c r="N223" s="1" t="str">
        <f t="shared" si="22"/>
        <v/>
      </c>
      <c r="T223" s="18">
        <f t="shared" si="20"/>
        <v>0</v>
      </c>
      <c r="U223" s="1" t="str">
        <f t="shared" si="23"/>
        <v/>
      </c>
      <c r="W223" s="21" t="str">
        <f>IF(C223&gt;0,CONCATENATE("0x",(DEC2HEX(IF(B223&lt;&gt;"",VLOOKUP(B223,Notes!$A$2:$B$37,2,FALSE)*1024,0) + C223*16 + IF(D223="",7,D223)*2 + IF(E223&gt;0, 1, 0))),","),"")</f>
        <v/>
      </c>
      <c r="X223" s="21" t="str">
        <f>IF(J223&gt;0,CONCATENATE("0x",(DEC2HEX(IF(I223&lt;&gt;"",VLOOKUP(I223,Notes!$A$2:$B$37,2,FALSE)*1024,0) + J223*16 + IF(K223="",7,K223)*2 + IF(L223&gt;0, 1, 0))),","),"")</f>
        <v/>
      </c>
      <c r="Y223" s="21" t="str">
        <f>IF(Q223&gt;0,CONCATENATE("0x",(DEC2HEX(IF(P223&lt;&gt;"",VLOOKUP(P223,Notes!$A$2:$B$37,2,FALSE)*1024,0) + Q223*16 + IF(R223="",7,R223)*2 + IF(S223&gt;0, 1, 0))),","),"")</f>
        <v/>
      </c>
    </row>
    <row r="224" spans="2:25" x14ac:dyDescent="0.25">
      <c r="F224" s="18">
        <f t="shared" si="18"/>
        <v>0</v>
      </c>
      <c r="G224" s="1" t="str">
        <f t="shared" si="21"/>
        <v/>
      </c>
      <c r="M224" s="18">
        <f t="shared" si="19"/>
        <v>0</v>
      </c>
      <c r="N224" s="1" t="str">
        <f t="shared" si="22"/>
        <v/>
      </c>
      <c r="T224" s="18">
        <f t="shared" si="20"/>
        <v>0</v>
      </c>
      <c r="U224" s="1" t="str">
        <f t="shared" si="23"/>
        <v/>
      </c>
      <c r="W224" s="21" t="str">
        <f>IF(C224&gt;0,CONCATENATE("0x",(DEC2HEX(IF(B224&lt;&gt;"",VLOOKUP(B224,Notes!$A$2:$B$37,2,FALSE)*1024,0) + C224*16 + IF(D224="",7,D224)*2 + IF(E224&gt;0, 1, 0))),","),"")</f>
        <v/>
      </c>
      <c r="X224" s="21" t="str">
        <f>IF(J224&gt;0,CONCATENATE("0x",(DEC2HEX(IF(I224&lt;&gt;"",VLOOKUP(I224,Notes!$A$2:$B$37,2,FALSE)*1024,0) + J224*16 + IF(K224="",7,K224)*2 + IF(L224&gt;0, 1, 0))),","),"")</f>
        <v/>
      </c>
      <c r="Y224" s="21" t="str">
        <f>IF(Q224&gt;0,CONCATENATE("0x",(DEC2HEX(IF(P224&lt;&gt;"",VLOOKUP(P224,Notes!$A$2:$B$37,2,FALSE)*1024,0) + Q224*16 + IF(R224="",7,R224)*2 + IF(S224&gt;0, 1, 0))),","),"")</f>
        <v/>
      </c>
    </row>
    <row r="225" spans="1:25" ht="16.5" thickBot="1" x14ac:dyDescent="0.3">
      <c r="B225" s="15"/>
      <c r="C225" s="16"/>
      <c r="D225" s="16"/>
      <c r="E225" s="17"/>
      <c r="F225" s="18">
        <f t="shared" si="18"/>
        <v>0</v>
      </c>
      <c r="G225" s="1" t="str">
        <f t="shared" si="21"/>
        <v/>
      </c>
      <c r="I225" s="15"/>
      <c r="J225" s="16"/>
      <c r="K225" s="16"/>
      <c r="L225" s="17"/>
      <c r="M225" s="18">
        <f t="shared" si="19"/>
        <v>0</v>
      </c>
      <c r="N225" s="1" t="str">
        <f t="shared" si="22"/>
        <v/>
      </c>
      <c r="P225" s="15"/>
      <c r="Q225" s="16"/>
      <c r="R225" s="16"/>
      <c r="S225" s="17"/>
      <c r="T225" s="18">
        <f t="shared" si="20"/>
        <v>0</v>
      </c>
      <c r="U225" s="1" t="str">
        <f t="shared" si="23"/>
        <v/>
      </c>
      <c r="W225" s="21" t="str">
        <f>IF(C225&gt;0,CONCATENATE("0x",(DEC2HEX(IF(B225&lt;&gt;"",VLOOKUP(B225,Notes!$A$2:$B$37,2,FALSE)*1024,0) + C225*16 + IF(D225="",7,D225)*2 + IF(E225&gt;0, 1, 0))),","),"")</f>
        <v/>
      </c>
      <c r="X225" s="21" t="str">
        <f>IF(J225&gt;0,CONCATENATE("0x",(DEC2HEX(IF(I225&lt;&gt;"",VLOOKUP(I225,Notes!$A$2:$B$37,2,FALSE)*1024,0) + J225*16 + IF(K225="",7,K225)*2 + IF(L225&gt;0, 1, 0))),","),"")</f>
        <v/>
      </c>
      <c r="Y225" s="21" t="str">
        <f>IF(Q225&gt;0,CONCATENATE("0x",(DEC2HEX(IF(P225&lt;&gt;"",VLOOKUP(P225,Notes!$A$2:$B$37,2,FALSE)*1024,0) + Q225*16 + IF(R225="",7,R225)*2 + IF(S225&gt;0, 1, 0))),","),"")</f>
        <v/>
      </c>
    </row>
    <row r="226" spans="1:25" ht="16.5" thickTop="1" x14ac:dyDescent="0.25">
      <c r="A226" s="1">
        <v>8</v>
      </c>
      <c r="F226" s="18">
        <f t="shared" si="18"/>
        <v>0</v>
      </c>
      <c r="G226" s="1" t="str">
        <f t="shared" si="21"/>
        <v/>
      </c>
      <c r="M226" s="18">
        <f t="shared" si="19"/>
        <v>0</v>
      </c>
      <c r="N226" s="1" t="str">
        <f t="shared" si="22"/>
        <v/>
      </c>
      <c r="T226" s="18">
        <f t="shared" si="20"/>
        <v>0</v>
      </c>
      <c r="U226" s="1" t="str">
        <f t="shared" si="23"/>
        <v/>
      </c>
      <c r="W226" s="21" t="str">
        <f>IF(C226&gt;0,CONCATENATE("0x",(DEC2HEX(IF(B226&lt;&gt;"",VLOOKUP(B226,Notes!$A$2:$B$37,2,FALSE)*1024,0) + C226*16 + IF(D226="",7,D226)*2 + IF(E226&gt;0, 1, 0))),","),"")</f>
        <v/>
      </c>
      <c r="X226" s="21" t="str">
        <f>IF(J226&gt;0,CONCATENATE("0x",(DEC2HEX(IF(I226&lt;&gt;"",VLOOKUP(I226,Notes!$A$2:$B$37,2,FALSE)*1024,0) + J226*16 + IF(K226="",7,K226)*2 + IF(L226&gt;0, 1, 0))),","),"")</f>
        <v/>
      </c>
      <c r="Y226" s="21" t="str">
        <f>IF(Q226&gt;0,CONCATENATE("0x",(DEC2HEX(IF(P226&lt;&gt;"",VLOOKUP(P226,Notes!$A$2:$B$37,2,FALSE)*1024,0) + Q226*16 + IF(R226="",7,R226)*2 + IF(S226&gt;0, 1, 0))),","),"")</f>
        <v/>
      </c>
    </row>
    <row r="227" spans="1:25" x14ac:dyDescent="0.25">
      <c r="F227" s="18">
        <f t="shared" si="18"/>
        <v>0</v>
      </c>
      <c r="G227" s="1" t="str">
        <f t="shared" si="21"/>
        <v/>
      </c>
      <c r="M227" s="18">
        <f t="shared" si="19"/>
        <v>0</v>
      </c>
      <c r="N227" s="1" t="str">
        <f t="shared" si="22"/>
        <v/>
      </c>
      <c r="T227" s="18">
        <f t="shared" si="20"/>
        <v>0</v>
      </c>
      <c r="U227" s="1" t="str">
        <f t="shared" si="23"/>
        <v/>
      </c>
      <c r="W227" s="21" t="str">
        <f>IF(C227&gt;0,CONCATENATE("0x",(DEC2HEX(IF(B227&lt;&gt;"",VLOOKUP(B227,Notes!$A$2:$B$37,2,FALSE)*1024,0) + C227*16 + IF(D227="",7,D227)*2 + IF(E227&gt;0, 1, 0))),","),"")</f>
        <v/>
      </c>
      <c r="X227" s="21" t="str">
        <f>IF(J227&gt;0,CONCATENATE("0x",(DEC2HEX(IF(I227&lt;&gt;"",VLOOKUP(I227,Notes!$A$2:$B$37,2,FALSE)*1024,0) + J227*16 + IF(K227="",7,K227)*2 + IF(L227&gt;0, 1, 0))),","),"")</f>
        <v/>
      </c>
      <c r="Y227" s="21" t="str">
        <f>IF(Q227&gt;0,CONCATENATE("0x",(DEC2HEX(IF(P227&lt;&gt;"",VLOOKUP(P227,Notes!$A$2:$B$37,2,FALSE)*1024,0) + Q227*16 + IF(R227="",7,R227)*2 + IF(S227&gt;0, 1, 0))),","),"")</f>
        <v/>
      </c>
    </row>
    <row r="228" spans="1:25" x14ac:dyDescent="0.25">
      <c r="F228" s="18">
        <f t="shared" si="18"/>
        <v>0</v>
      </c>
      <c r="G228" s="1" t="str">
        <f t="shared" si="21"/>
        <v/>
      </c>
      <c r="M228" s="18">
        <f t="shared" si="19"/>
        <v>0</v>
      </c>
      <c r="N228" s="1" t="str">
        <f t="shared" si="22"/>
        <v/>
      </c>
      <c r="T228" s="18">
        <f t="shared" si="20"/>
        <v>0</v>
      </c>
      <c r="U228" s="1" t="str">
        <f t="shared" si="23"/>
        <v/>
      </c>
      <c r="W228" s="21" t="str">
        <f>IF(C228&gt;0,CONCATENATE("0x",(DEC2HEX(IF(B228&lt;&gt;"",VLOOKUP(B228,Notes!$A$2:$B$37,2,FALSE)*1024,0) + C228*16 + IF(D228="",7,D228)*2 + IF(E228&gt;0, 1, 0))),","),"")</f>
        <v/>
      </c>
      <c r="X228" s="21" t="str">
        <f>IF(J228&gt;0,CONCATENATE("0x",(DEC2HEX(IF(I228&lt;&gt;"",VLOOKUP(I228,Notes!$A$2:$B$37,2,FALSE)*1024,0) + J228*16 + IF(K228="",7,K228)*2 + IF(L228&gt;0, 1, 0))),","),"")</f>
        <v/>
      </c>
      <c r="Y228" s="21" t="str">
        <f>IF(Q228&gt;0,CONCATENATE("0x",(DEC2HEX(IF(P228&lt;&gt;"",VLOOKUP(P228,Notes!$A$2:$B$37,2,FALSE)*1024,0) + Q228*16 + IF(R228="",7,R228)*2 + IF(S228&gt;0, 1, 0))),","),"")</f>
        <v/>
      </c>
    </row>
    <row r="229" spans="1:25" x14ac:dyDescent="0.25">
      <c r="F229" s="18">
        <f t="shared" si="18"/>
        <v>0</v>
      </c>
      <c r="G229" s="1" t="str">
        <f t="shared" si="21"/>
        <v/>
      </c>
      <c r="M229" s="18">
        <f t="shared" si="19"/>
        <v>0</v>
      </c>
      <c r="N229" s="1" t="str">
        <f t="shared" si="22"/>
        <v/>
      </c>
      <c r="T229" s="18">
        <f t="shared" si="20"/>
        <v>0</v>
      </c>
      <c r="U229" s="1" t="str">
        <f t="shared" si="23"/>
        <v/>
      </c>
      <c r="W229" s="21" t="str">
        <f>IF(C229&gt;0,CONCATENATE("0x",(DEC2HEX(IF(B229&lt;&gt;"",VLOOKUP(B229,Notes!$A$2:$B$37,2,FALSE)*1024,0) + C229*16 + IF(D229="",7,D229)*2 + IF(E229&gt;0, 1, 0))),","),"")</f>
        <v/>
      </c>
      <c r="X229" s="21" t="str">
        <f>IF(J229&gt;0,CONCATENATE("0x",(DEC2HEX(IF(I229&lt;&gt;"",VLOOKUP(I229,Notes!$A$2:$B$37,2,FALSE)*1024,0) + J229*16 + IF(K229="",7,K229)*2 + IF(L229&gt;0, 1, 0))),","),"")</f>
        <v/>
      </c>
      <c r="Y229" s="21" t="str">
        <f>IF(Q229&gt;0,CONCATENATE("0x",(DEC2HEX(IF(P229&lt;&gt;"",VLOOKUP(P229,Notes!$A$2:$B$37,2,FALSE)*1024,0) + Q229*16 + IF(R229="",7,R229)*2 + IF(S229&gt;0, 1, 0))),","),"")</f>
        <v/>
      </c>
    </row>
    <row r="230" spans="1:25" x14ac:dyDescent="0.25">
      <c r="F230" s="18">
        <f t="shared" si="18"/>
        <v>0</v>
      </c>
      <c r="G230" s="1" t="str">
        <f t="shared" si="21"/>
        <v/>
      </c>
      <c r="M230" s="18">
        <f t="shared" si="19"/>
        <v>0</v>
      </c>
      <c r="N230" s="1" t="str">
        <f t="shared" si="22"/>
        <v/>
      </c>
      <c r="T230" s="18">
        <f t="shared" si="20"/>
        <v>0</v>
      </c>
      <c r="U230" s="1" t="str">
        <f t="shared" si="23"/>
        <v/>
      </c>
      <c r="W230" s="21" t="str">
        <f>IF(C230&gt;0,CONCATENATE("0x",(DEC2HEX(IF(B230&lt;&gt;"",VLOOKUP(B230,Notes!$A$2:$B$37,2,FALSE)*1024,0) + C230*16 + IF(D230="",7,D230)*2 + IF(E230&gt;0, 1, 0))),","),"")</f>
        <v/>
      </c>
      <c r="X230" s="21" t="str">
        <f>IF(J230&gt;0,CONCATENATE("0x",(DEC2HEX(IF(I230&lt;&gt;"",VLOOKUP(I230,Notes!$A$2:$B$37,2,FALSE)*1024,0) + J230*16 + IF(K230="",7,K230)*2 + IF(L230&gt;0, 1, 0))),","),"")</f>
        <v/>
      </c>
      <c r="Y230" s="21" t="str">
        <f>IF(Q230&gt;0,CONCATENATE("0x",(DEC2HEX(IF(P230&lt;&gt;"",VLOOKUP(P230,Notes!$A$2:$B$37,2,FALSE)*1024,0) + Q230*16 + IF(R230="",7,R230)*2 + IF(S230&gt;0, 1, 0))),","),"")</f>
        <v/>
      </c>
    </row>
    <row r="231" spans="1:25" x14ac:dyDescent="0.25">
      <c r="F231" s="18">
        <f t="shared" si="18"/>
        <v>0</v>
      </c>
      <c r="G231" s="1" t="str">
        <f t="shared" si="21"/>
        <v/>
      </c>
      <c r="M231" s="18">
        <f t="shared" si="19"/>
        <v>0</v>
      </c>
      <c r="N231" s="1" t="str">
        <f t="shared" si="22"/>
        <v/>
      </c>
      <c r="T231" s="18">
        <f t="shared" si="20"/>
        <v>0</v>
      </c>
      <c r="U231" s="1" t="str">
        <f t="shared" si="23"/>
        <v/>
      </c>
      <c r="W231" s="21" t="str">
        <f>IF(C231&gt;0,CONCATENATE("0x",(DEC2HEX(IF(B231&lt;&gt;"",VLOOKUP(B231,Notes!$A$2:$B$37,2,FALSE)*1024,0) + C231*16 + IF(D231="",7,D231)*2 + IF(E231&gt;0, 1, 0))),","),"")</f>
        <v/>
      </c>
      <c r="X231" s="21" t="str">
        <f>IF(J231&gt;0,CONCATENATE("0x",(DEC2HEX(IF(I231&lt;&gt;"",VLOOKUP(I231,Notes!$A$2:$B$37,2,FALSE)*1024,0) + J231*16 + IF(K231="",7,K231)*2 + IF(L231&gt;0, 1, 0))),","),"")</f>
        <v/>
      </c>
      <c r="Y231" s="21" t="str">
        <f>IF(Q231&gt;0,CONCATENATE("0x",(DEC2HEX(IF(P231&lt;&gt;"",VLOOKUP(P231,Notes!$A$2:$B$37,2,FALSE)*1024,0) + Q231*16 + IF(R231="",7,R231)*2 + IF(S231&gt;0, 1, 0))),","),"")</f>
        <v/>
      </c>
    </row>
    <row r="232" spans="1:25" x14ac:dyDescent="0.25">
      <c r="F232" s="18">
        <f t="shared" si="18"/>
        <v>0</v>
      </c>
      <c r="G232" s="1" t="str">
        <f t="shared" si="21"/>
        <v/>
      </c>
      <c r="M232" s="18">
        <f t="shared" si="19"/>
        <v>0</v>
      </c>
      <c r="N232" s="1" t="str">
        <f t="shared" si="22"/>
        <v/>
      </c>
      <c r="T232" s="18">
        <f t="shared" si="20"/>
        <v>0</v>
      </c>
      <c r="U232" s="1" t="str">
        <f t="shared" si="23"/>
        <v/>
      </c>
      <c r="W232" s="21" t="str">
        <f>IF(C232&gt;0,CONCATENATE("0x",(DEC2HEX(IF(B232&lt;&gt;"",VLOOKUP(B232,Notes!$A$2:$B$37,2,FALSE)*1024,0) + C232*16 + IF(D232="",7,D232)*2 + IF(E232&gt;0, 1, 0))),","),"")</f>
        <v/>
      </c>
      <c r="X232" s="21" t="str">
        <f>IF(J232&gt;0,CONCATENATE("0x",(DEC2HEX(IF(I232&lt;&gt;"",VLOOKUP(I232,Notes!$A$2:$B$37,2,FALSE)*1024,0) + J232*16 + IF(K232="",7,K232)*2 + IF(L232&gt;0, 1, 0))),","),"")</f>
        <v/>
      </c>
      <c r="Y232" s="21" t="str">
        <f>IF(Q232&gt;0,CONCATENATE("0x",(DEC2HEX(IF(P232&lt;&gt;"",VLOOKUP(P232,Notes!$A$2:$B$37,2,FALSE)*1024,0) + Q232*16 + IF(R232="",7,R232)*2 + IF(S232&gt;0, 1, 0))),","),"")</f>
        <v/>
      </c>
    </row>
    <row r="233" spans="1:25" x14ac:dyDescent="0.25">
      <c r="B233" s="12"/>
      <c r="C233" s="13"/>
      <c r="D233" s="13"/>
      <c r="E233" s="14"/>
      <c r="F233" s="18">
        <f t="shared" si="18"/>
        <v>0</v>
      </c>
      <c r="G233" s="1" t="str">
        <f t="shared" si="21"/>
        <v/>
      </c>
      <c r="I233" s="12"/>
      <c r="J233" s="13"/>
      <c r="K233" s="13"/>
      <c r="L233" s="14"/>
      <c r="M233" s="18">
        <f t="shared" si="19"/>
        <v>0</v>
      </c>
      <c r="N233" s="1" t="str">
        <f t="shared" si="22"/>
        <v/>
      </c>
      <c r="P233" s="12"/>
      <c r="Q233" s="13"/>
      <c r="R233" s="13"/>
      <c r="S233" s="14"/>
      <c r="T233" s="18">
        <f t="shared" si="20"/>
        <v>0</v>
      </c>
      <c r="U233" s="1" t="str">
        <f t="shared" si="23"/>
        <v/>
      </c>
      <c r="W233" s="21" t="str">
        <f>IF(C233&gt;0,CONCATENATE("0x",(DEC2HEX(IF(B233&lt;&gt;"",VLOOKUP(B233,Notes!$A$2:$B$37,2,FALSE)*1024,0) + C233*16 + IF(D233="",7,D233)*2 + IF(E233&gt;0, 1, 0))),","),"")</f>
        <v/>
      </c>
      <c r="X233" s="21" t="str">
        <f>IF(J233&gt;0,CONCATENATE("0x",(DEC2HEX(IF(I233&lt;&gt;"",VLOOKUP(I233,Notes!$A$2:$B$37,2,FALSE)*1024,0) + J233*16 + IF(K233="",7,K233)*2 + IF(L233&gt;0, 1, 0))),","),"")</f>
        <v/>
      </c>
      <c r="Y233" s="21" t="str">
        <f>IF(Q233&gt;0,CONCATENATE("0x",(DEC2HEX(IF(P233&lt;&gt;"",VLOOKUP(P233,Notes!$A$2:$B$37,2,FALSE)*1024,0) + Q233*16 + IF(R233="",7,R233)*2 + IF(S233&gt;0, 1, 0))),","),"")</f>
        <v/>
      </c>
    </row>
    <row r="234" spans="1:25" x14ac:dyDescent="0.25">
      <c r="F234" s="18">
        <f t="shared" si="18"/>
        <v>0</v>
      </c>
      <c r="G234" s="1" t="str">
        <f t="shared" si="21"/>
        <v/>
      </c>
      <c r="M234" s="18">
        <f t="shared" si="19"/>
        <v>0</v>
      </c>
      <c r="N234" s="1" t="str">
        <f t="shared" si="22"/>
        <v/>
      </c>
      <c r="T234" s="18">
        <f t="shared" si="20"/>
        <v>0</v>
      </c>
      <c r="U234" s="1" t="str">
        <f t="shared" si="23"/>
        <v/>
      </c>
      <c r="W234" s="21" t="str">
        <f>IF(C234&gt;0,CONCATENATE("0x",(DEC2HEX(IF(B234&lt;&gt;"",VLOOKUP(B234,Notes!$A$2:$B$37,2,FALSE)*1024,0) + C234*16 + IF(D234="",7,D234)*2 + IF(E234&gt;0, 1, 0))),","),"")</f>
        <v/>
      </c>
      <c r="X234" s="21" t="str">
        <f>IF(J234&gt;0,CONCATENATE("0x",(DEC2HEX(IF(I234&lt;&gt;"",VLOOKUP(I234,Notes!$A$2:$B$37,2,FALSE)*1024,0) + J234*16 + IF(K234="",7,K234)*2 + IF(L234&gt;0, 1, 0))),","),"")</f>
        <v/>
      </c>
      <c r="Y234" s="21" t="str">
        <f>IF(Q234&gt;0,CONCATENATE("0x",(DEC2HEX(IF(P234&lt;&gt;"",VLOOKUP(P234,Notes!$A$2:$B$37,2,FALSE)*1024,0) + Q234*16 + IF(R234="",7,R234)*2 + IF(S234&gt;0, 1, 0))),","),"")</f>
        <v/>
      </c>
    </row>
    <row r="235" spans="1:25" x14ac:dyDescent="0.25">
      <c r="F235" s="18">
        <f t="shared" si="18"/>
        <v>0</v>
      </c>
      <c r="G235" s="1" t="str">
        <f t="shared" si="21"/>
        <v/>
      </c>
      <c r="M235" s="18">
        <f t="shared" si="19"/>
        <v>0</v>
      </c>
      <c r="N235" s="1" t="str">
        <f t="shared" si="22"/>
        <v/>
      </c>
      <c r="T235" s="18">
        <f t="shared" si="20"/>
        <v>0</v>
      </c>
      <c r="U235" s="1" t="str">
        <f t="shared" si="23"/>
        <v/>
      </c>
      <c r="W235" s="21" t="str">
        <f>IF(C235&gt;0,CONCATENATE("0x",(DEC2HEX(IF(B235&lt;&gt;"",VLOOKUP(B235,Notes!$A$2:$B$37,2,FALSE)*1024,0) + C235*16 + IF(D235="",7,D235)*2 + IF(E235&gt;0, 1, 0))),","),"")</f>
        <v/>
      </c>
      <c r="X235" s="21" t="str">
        <f>IF(J235&gt;0,CONCATENATE("0x",(DEC2HEX(IF(I235&lt;&gt;"",VLOOKUP(I235,Notes!$A$2:$B$37,2,FALSE)*1024,0) + J235*16 + IF(K235="",7,K235)*2 + IF(L235&gt;0, 1, 0))),","),"")</f>
        <v/>
      </c>
      <c r="Y235" s="21" t="str">
        <f>IF(Q235&gt;0,CONCATENATE("0x",(DEC2HEX(IF(P235&lt;&gt;"",VLOOKUP(P235,Notes!$A$2:$B$37,2,FALSE)*1024,0) + Q235*16 + IF(R235="",7,R235)*2 + IF(S235&gt;0, 1, 0))),","),"")</f>
        <v/>
      </c>
    </row>
    <row r="236" spans="1:25" x14ac:dyDescent="0.25">
      <c r="F236" s="18">
        <f t="shared" si="18"/>
        <v>0</v>
      </c>
      <c r="G236" s="1" t="str">
        <f t="shared" si="21"/>
        <v/>
      </c>
      <c r="M236" s="18">
        <f t="shared" si="19"/>
        <v>0</v>
      </c>
      <c r="N236" s="1" t="str">
        <f t="shared" si="22"/>
        <v/>
      </c>
      <c r="T236" s="18">
        <f t="shared" si="20"/>
        <v>0</v>
      </c>
      <c r="U236" s="1" t="str">
        <f t="shared" si="23"/>
        <v/>
      </c>
      <c r="W236" s="21" t="str">
        <f>IF(C236&gt;0,CONCATENATE("0x",(DEC2HEX(IF(B236&lt;&gt;"",VLOOKUP(B236,Notes!$A$2:$B$37,2,FALSE)*1024,0) + C236*16 + IF(D236="",7,D236)*2 + IF(E236&gt;0, 1, 0))),","),"")</f>
        <v/>
      </c>
      <c r="X236" s="21" t="str">
        <f>IF(J236&gt;0,CONCATENATE("0x",(DEC2HEX(IF(I236&lt;&gt;"",VLOOKUP(I236,Notes!$A$2:$B$37,2,FALSE)*1024,0) + J236*16 + IF(K236="",7,K236)*2 + IF(L236&gt;0, 1, 0))),","),"")</f>
        <v/>
      </c>
      <c r="Y236" s="21" t="str">
        <f>IF(Q236&gt;0,CONCATENATE("0x",(DEC2HEX(IF(P236&lt;&gt;"",VLOOKUP(P236,Notes!$A$2:$B$37,2,FALSE)*1024,0) + Q236*16 + IF(R236="",7,R236)*2 + IF(S236&gt;0, 1, 0))),","),"")</f>
        <v/>
      </c>
    </row>
    <row r="237" spans="1:25" x14ac:dyDescent="0.25">
      <c r="F237" s="18">
        <f t="shared" si="18"/>
        <v>0</v>
      </c>
      <c r="G237" s="1" t="str">
        <f t="shared" si="21"/>
        <v/>
      </c>
      <c r="M237" s="18">
        <f t="shared" si="19"/>
        <v>0</v>
      </c>
      <c r="N237" s="1" t="str">
        <f t="shared" si="22"/>
        <v/>
      </c>
      <c r="T237" s="18">
        <f t="shared" si="20"/>
        <v>0</v>
      </c>
      <c r="U237" s="1" t="str">
        <f t="shared" si="23"/>
        <v/>
      </c>
      <c r="W237" s="21" t="str">
        <f>IF(C237&gt;0,CONCATENATE("0x",(DEC2HEX(IF(B237&lt;&gt;"",VLOOKUP(B237,Notes!$A$2:$B$37,2,FALSE)*1024,0) + C237*16 + IF(D237="",7,D237)*2 + IF(E237&gt;0, 1, 0))),","),"")</f>
        <v/>
      </c>
      <c r="X237" s="21" t="str">
        <f>IF(J237&gt;0,CONCATENATE("0x",(DEC2HEX(IF(I237&lt;&gt;"",VLOOKUP(I237,Notes!$A$2:$B$37,2,FALSE)*1024,0) + J237*16 + IF(K237="",7,K237)*2 + IF(L237&gt;0, 1, 0))),","),"")</f>
        <v/>
      </c>
      <c r="Y237" s="21" t="str">
        <f>IF(Q237&gt;0,CONCATENATE("0x",(DEC2HEX(IF(P237&lt;&gt;"",VLOOKUP(P237,Notes!$A$2:$B$37,2,FALSE)*1024,0) + Q237*16 + IF(R237="",7,R237)*2 + IF(S237&gt;0, 1, 0))),","),"")</f>
        <v/>
      </c>
    </row>
    <row r="238" spans="1:25" x14ac:dyDescent="0.25">
      <c r="F238" s="18">
        <f t="shared" si="18"/>
        <v>0</v>
      </c>
      <c r="G238" s="1" t="str">
        <f t="shared" si="21"/>
        <v/>
      </c>
      <c r="M238" s="18">
        <f t="shared" si="19"/>
        <v>0</v>
      </c>
      <c r="N238" s="1" t="str">
        <f t="shared" si="22"/>
        <v/>
      </c>
      <c r="T238" s="18">
        <f t="shared" si="20"/>
        <v>0</v>
      </c>
      <c r="U238" s="1" t="str">
        <f t="shared" si="23"/>
        <v/>
      </c>
      <c r="W238" s="21" t="str">
        <f>IF(C238&gt;0,CONCATENATE("0x",(DEC2HEX(IF(B238&lt;&gt;"",VLOOKUP(B238,Notes!$A$2:$B$37,2,FALSE)*1024,0) + C238*16 + IF(D238="",7,D238)*2 + IF(E238&gt;0, 1, 0))),","),"")</f>
        <v/>
      </c>
      <c r="X238" s="21" t="str">
        <f>IF(J238&gt;0,CONCATENATE("0x",(DEC2HEX(IF(I238&lt;&gt;"",VLOOKUP(I238,Notes!$A$2:$B$37,2,FALSE)*1024,0) + J238*16 + IF(K238="",7,K238)*2 + IF(L238&gt;0, 1, 0))),","),"")</f>
        <v/>
      </c>
      <c r="Y238" s="21" t="str">
        <f>IF(Q238&gt;0,CONCATENATE("0x",(DEC2HEX(IF(P238&lt;&gt;"",VLOOKUP(P238,Notes!$A$2:$B$37,2,FALSE)*1024,0) + Q238*16 + IF(R238="",7,R238)*2 + IF(S238&gt;0, 1, 0))),","),"")</f>
        <v/>
      </c>
    </row>
    <row r="239" spans="1:25" x14ac:dyDescent="0.25">
      <c r="F239" s="18">
        <f t="shared" si="18"/>
        <v>0</v>
      </c>
      <c r="G239" s="1" t="str">
        <f t="shared" si="21"/>
        <v/>
      </c>
      <c r="M239" s="18">
        <f t="shared" si="19"/>
        <v>0</v>
      </c>
      <c r="N239" s="1" t="str">
        <f t="shared" si="22"/>
        <v/>
      </c>
      <c r="T239" s="18">
        <f t="shared" si="20"/>
        <v>0</v>
      </c>
      <c r="U239" s="1" t="str">
        <f t="shared" si="23"/>
        <v/>
      </c>
      <c r="W239" s="21" t="str">
        <f>IF(C239&gt;0,CONCATENATE("0x",(DEC2HEX(IF(B239&lt;&gt;"",VLOOKUP(B239,Notes!$A$2:$B$37,2,FALSE)*1024,0) + C239*16 + IF(D239="",7,D239)*2 + IF(E239&gt;0, 1, 0))),","),"")</f>
        <v/>
      </c>
      <c r="X239" s="21" t="str">
        <f>IF(J239&gt;0,CONCATENATE("0x",(DEC2HEX(IF(I239&lt;&gt;"",VLOOKUP(I239,Notes!$A$2:$B$37,2,FALSE)*1024,0) + J239*16 + IF(K239="",7,K239)*2 + IF(L239&gt;0, 1, 0))),","),"")</f>
        <v/>
      </c>
      <c r="Y239" s="21" t="str">
        <f>IF(Q239&gt;0,CONCATENATE("0x",(DEC2HEX(IF(P239&lt;&gt;"",VLOOKUP(P239,Notes!$A$2:$B$37,2,FALSE)*1024,0) + Q239*16 + IF(R239="",7,R239)*2 + IF(S239&gt;0, 1, 0))),","),"")</f>
        <v/>
      </c>
    </row>
    <row r="240" spans="1:25" x14ac:dyDescent="0.25">
      <c r="F240" s="18">
        <f t="shared" si="18"/>
        <v>0</v>
      </c>
      <c r="G240" s="1" t="str">
        <f t="shared" si="21"/>
        <v/>
      </c>
      <c r="M240" s="18">
        <f t="shared" si="19"/>
        <v>0</v>
      </c>
      <c r="N240" s="1" t="str">
        <f t="shared" si="22"/>
        <v/>
      </c>
      <c r="T240" s="18">
        <f t="shared" si="20"/>
        <v>0</v>
      </c>
      <c r="U240" s="1" t="str">
        <f t="shared" si="23"/>
        <v/>
      </c>
      <c r="W240" s="21" t="str">
        <f>IF(C240&gt;0,CONCATENATE("0x",(DEC2HEX(IF(B240&lt;&gt;"",VLOOKUP(B240,Notes!$A$2:$B$37,2,FALSE)*1024,0) + C240*16 + IF(D240="",7,D240)*2 + IF(E240&gt;0, 1, 0))),","),"")</f>
        <v/>
      </c>
      <c r="X240" s="21" t="str">
        <f>IF(J240&gt;0,CONCATENATE("0x",(DEC2HEX(IF(I240&lt;&gt;"",VLOOKUP(I240,Notes!$A$2:$B$37,2,FALSE)*1024,0) + J240*16 + IF(K240="",7,K240)*2 + IF(L240&gt;0, 1, 0))),","),"")</f>
        <v/>
      </c>
      <c r="Y240" s="21" t="str">
        <f>IF(Q240&gt;0,CONCATENATE("0x",(DEC2HEX(IF(P240&lt;&gt;"",VLOOKUP(P240,Notes!$A$2:$B$37,2,FALSE)*1024,0) + Q240*16 + IF(R240="",7,R240)*2 + IF(S240&gt;0, 1, 0))),","),"")</f>
        <v/>
      </c>
    </row>
    <row r="241" spans="2:25" x14ac:dyDescent="0.25">
      <c r="B241" s="12"/>
      <c r="C241" s="13"/>
      <c r="D241" s="13"/>
      <c r="E241" s="14"/>
      <c r="F241" s="18">
        <f t="shared" si="18"/>
        <v>0</v>
      </c>
      <c r="G241" s="1" t="str">
        <f t="shared" si="21"/>
        <v/>
      </c>
      <c r="I241" s="12"/>
      <c r="J241" s="13"/>
      <c r="K241" s="13"/>
      <c r="L241" s="14"/>
      <c r="M241" s="18">
        <f t="shared" si="19"/>
        <v>0</v>
      </c>
      <c r="N241" s="1" t="str">
        <f t="shared" si="22"/>
        <v/>
      </c>
      <c r="P241" s="12"/>
      <c r="Q241" s="13"/>
      <c r="R241" s="13"/>
      <c r="S241" s="14"/>
      <c r="T241" s="18">
        <f t="shared" si="20"/>
        <v>0</v>
      </c>
      <c r="U241" s="1" t="str">
        <f t="shared" si="23"/>
        <v/>
      </c>
      <c r="W241" s="21" t="str">
        <f>IF(C241&gt;0,CONCATENATE("0x",(DEC2HEX(IF(B241&lt;&gt;"",VLOOKUP(B241,Notes!$A$2:$B$37,2,FALSE)*1024,0) + C241*16 + IF(D241="",7,D241)*2 + IF(E241&gt;0, 1, 0))),","),"")</f>
        <v/>
      </c>
      <c r="X241" s="21" t="str">
        <f>IF(J241&gt;0,CONCATENATE("0x",(DEC2HEX(IF(I241&lt;&gt;"",VLOOKUP(I241,Notes!$A$2:$B$37,2,FALSE)*1024,0) + J241*16 + IF(K241="",7,K241)*2 + IF(L241&gt;0, 1, 0))),","),"")</f>
        <v/>
      </c>
      <c r="Y241" s="21" t="str">
        <f>IF(Q241&gt;0,CONCATENATE("0x",(DEC2HEX(IF(P241&lt;&gt;"",VLOOKUP(P241,Notes!$A$2:$B$37,2,FALSE)*1024,0) + Q241*16 + IF(R241="",7,R241)*2 + IF(S241&gt;0, 1, 0))),","),"")</f>
        <v/>
      </c>
    </row>
    <row r="242" spans="2:25" x14ac:dyDescent="0.25">
      <c r="F242" s="18">
        <f t="shared" si="18"/>
        <v>0</v>
      </c>
      <c r="G242" s="1" t="str">
        <f t="shared" si="21"/>
        <v/>
      </c>
      <c r="M242" s="18">
        <f t="shared" si="19"/>
        <v>0</v>
      </c>
      <c r="N242" s="1" t="str">
        <f t="shared" si="22"/>
        <v/>
      </c>
      <c r="T242" s="18">
        <f t="shared" si="20"/>
        <v>0</v>
      </c>
      <c r="U242" s="1" t="str">
        <f t="shared" si="23"/>
        <v/>
      </c>
      <c r="W242" s="21" t="str">
        <f>IF(C242&gt;0,CONCATENATE("0x",(DEC2HEX(IF(B242&lt;&gt;"",VLOOKUP(B242,Notes!$A$2:$B$37,2,FALSE)*1024,0) + C242*16 + IF(D242="",7,D242)*2 + IF(E242&gt;0, 1, 0))),","),"")</f>
        <v/>
      </c>
      <c r="X242" s="21" t="str">
        <f>IF(J242&gt;0,CONCATENATE("0x",(DEC2HEX(IF(I242&lt;&gt;"",VLOOKUP(I242,Notes!$A$2:$B$37,2,FALSE)*1024,0) + J242*16 + IF(K242="",7,K242)*2 + IF(L242&gt;0, 1, 0))),","),"")</f>
        <v/>
      </c>
      <c r="Y242" s="21" t="str">
        <f>IF(Q242&gt;0,CONCATENATE("0x",(DEC2HEX(IF(P242&lt;&gt;"",VLOOKUP(P242,Notes!$A$2:$B$37,2,FALSE)*1024,0) + Q242*16 + IF(R242="",7,R242)*2 + IF(S242&gt;0, 1, 0))),","),"")</f>
        <v/>
      </c>
    </row>
    <row r="243" spans="2:25" x14ac:dyDescent="0.25">
      <c r="F243" s="18">
        <f t="shared" si="18"/>
        <v>0</v>
      </c>
      <c r="G243" s="1" t="str">
        <f t="shared" si="21"/>
        <v/>
      </c>
      <c r="M243" s="18">
        <f t="shared" si="19"/>
        <v>0</v>
      </c>
      <c r="N243" s="1" t="str">
        <f t="shared" si="22"/>
        <v/>
      </c>
      <c r="T243" s="18">
        <f t="shared" si="20"/>
        <v>0</v>
      </c>
      <c r="U243" s="1" t="str">
        <f t="shared" si="23"/>
        <v/>
      </c>
      <c r="W243" s="21" t="str">
        <f>IF(C243&gt;0,CONCATENATE("0x",(DEC2HEX(IF(B243&lt;&gt;"",VLOOKUP(B243,Notes!$A$2:$B$37,2,FALSE)*1024,0) + C243*16 + IF(D243="",7,D243)*2 + IF(E243&gt;0, 1, 0))),","),"")</f>
        <v/>
      </c>
      <c r="X243" s="21" t="str">
        <f>IF(J243&gt;0,CONCATENATE("0x",(DEC2HEX(IF(I243&lt;&gt;"",VLOOKUP(I243,Notes!$A$2:$B$37,2,FALSE)*1024,0) + J243*16 + IF(K243="",7,K243)*2 + IF(L243&gt;0, 1, 0))),","),"")</f>
        <v/>
      </c>
      <c r="Y243" s="21" t="str">
        <f>IF(Q243&gt;0,CONCATENATE("0x",(DEC2HEX(IF(P243&lt;&gt;"",VLOOKUP(P243,Notes!$A$2:$B$37,2,FALSE)*1024,0) + Q243*16 + IF(R243="",7,R243)*2 + IF(S243&gt;0, 1, 0))),","),"")</f>
        <v/>
      </c>
    </row>
    <row r="244" spans="2:25" x14ac:dyDescent="0.25">
      <c r="F244" s="18">
        <f t="shared" si="18"/>
        <v>0</v>
      </c>
      <c r="G244" s="1" t="str">
        <f t="shared" si="21"/>
        <v/>
      </c>
      <c r="M244" s="18">
        <f t="shared" si="19"/>
        <v>0</v>
      </c>
      <c r="N244" s="1" t="str">
        <f t="shared" si="22"/>
        <v/>
      </c>
      <c r="T244" s="18">
        <f t="shared" si="20"/>
        <v>0</v>
      </c>
      <c r="U244" s="1" t="str">
        <f t="shared" si="23"/>
        <v/>
      </c>
      <c r="W244" s="21" t="str">
        <f>IF(C244&gt;0,CONCATENATE("0x",(DEC2HEX(IF(B244&lt;&gt;"",VLOOKUP(B244,Notes!$A$2:$B$37,2,FALSE)*1024,0) + C244*16 + IF(D244="",7,D244)*2 + IF(E244&gt;0, 1, 0))),","),"")</f>
        <v/>
      </c>
      <c r="X244" s="21" t="str">
        <f>IF(J244&gt;0,CONCATENATE("0x",(DEC2HEX(IF(I244&lt;&gt;"",VLOOKUP(I244,Notes!$A$2:$B$37,2,FALSE)*1024,0) + J244*16 + IF(K244="",7,K244)*2 + IF(L244&gt;0, 1, 0))),","),"")</f>
        <v/>
      </c>
      <c r="Y244" s="21" t="str">
        <f>IF(Q244&gt;0,CONCATENATE("0x",(DEC2HEX(IF(P244&lt;&gt;"",VLOOKUP(P244,Notes!$A$2:$B$37,2,FALSE)*1024,0) + Q244*16 + IF(R244="",7,R244)*2 + IF(S244&gt;0, 1, 0))),","),"")</f>
        <v/>
      </c>
    </row>
    <row r="245" spans="2:25" x14ac:dyDescent="0.25">
      <c r="F245" s="18">
        <f t="shared" si="18"/>
        <v>0</v>
      </c>
      <c r="G245" s="1" t="str">
        <f t="shared" si="21"/>
        <v/>
      </c>
      <c r="M245" s="18">
        <f t="shared" si="19"/>
        <v>0</v>
      </c>
      <c r="N245" s="1" t="str">
        <f t="shared" si="22"/>
        <v/>
      </c>
      <c r="T245" s="18">
        <f t="shared" si="20"/>
        <v>0</v>
      </c>
      <c r="U245" s="1" t="str">
        <f t="shared" si="23"/>
        <v/>
      </c>
      <c r="W245" s="21" t="str">
        <f>IF(C245&gt;0,CONCATENATE("0x",(DEC2HEX(IF(B245&lt;&gt;"",VLOOKUP(B245,Notes!$A$2:$B$37,2,FALSE)*1024,0) + C245*16 + IF(D245="",7,D245)*2 + IF(E245&gt;0, 1, 0))),","),"")</f>
        <v/>
      </c>
      <c r="X245" s="21" t="str">
        <f>IF(J245&gt;0,CONCATENATE("0x",(DEC2HEX(IF(I245&lt;&gt;"",VLOOKUP(I245,Notes!$A$2:$B$37,2,FALSE)*1024,0) + J245*16 + IF(K245="",7,K245)*2 + IF(L245&gt;0, 1, 0))),","),"")</f>
        <v/>
      </c>
      <c r="Y245" s="21" t="str">
        <f>IF(Q245&gt;0,CONCATENATE("0x",(DEC2HEX(IF(P245&lt;&gt;"",VLOOKUP(P245,Notes!$A$2:$B$37,2,FALSE)*1024,0) + Q245*16 + IF(R245="",7,R245)*2 + IF(S245&gt;0, 1, 0))),","),"")</f>
        <v/>
      </c>
    </row>
    <row r="246" spans="2:25" x14ac:dyDescent="0.25">
      <c r="F246" s="18">
        <f t="shared" si="18"/>
        <v>0</v>
      </c>
      <c r="G246" s="1" t="str">
        <f t="shared" si="21"/>
        <v/>
      </c>
      <c r="M246" s="18">
        <f t="shared" si="19"/>
        <v>0</v>
      </c>
      <c r="N246" s="1" t="str">
        <f t="shared" si="22"/>
        <v/>
      </c>
      <c r="T246" s="18">
        <f t="shared" si="20"/>
        <v>0</v>
      </c>
      <c r="U246" s="1" t="str">
        <f t="shared" si="23"/>
        <v/>
      </c>
      <c r="W246" s="21" t="str">
        <f>IF(C246&gt;0,CONCATENATE("0x",(DEC2HEX(IF(B246&lt;&gt;"",VLOOKUP(B246,Notes!$A$2:$B$37,2,FALSE)*1024,0) + C246*16 + IF(D246="",7,D246)*2 + IF(E246&gt;0, 1, 0))),","),"")</f>
        <v/>
      </c>
      <c r="X246" s="21" t="str">
        <f>IF(J246&gt;0,CONCATENATE("0x",(DEC2HEX(IF(I246&lt;&gt;"",VLOOKUP(I246,Notes!$A$2:$B$37,2,FALSE)*1024,0) + J246*16 + IF(K246="",7,K246)*2 + IF(L246&gt;0, 1, 0))),","),"")</f>
        <v/>
      </c>
      <c r="Y246" s="21" t="str">
        <f>IF(Q246&gt;0,CONCATENATE("0x",(DEC2HEX(IF(P246&lt;&gt;"",VLOOKUP(P246,Notes!$A$2:$B$37,2,FALSE)*1024,0) + Q246*16 + IF(R246="",7,R246)*2 + IF(S246&gt;0, 1, 0))),","),"")</f>
        <v/>
      </c>
    </row>
    <row r="247" spans="2:25" x14ac:dyDescent="0.25">
      <c r="F247" s="18">
        <f t="shared" si="18"/>
        <v>0</v>
      </c>
      <c r="G247" s="1" t="str">
        <f t="shared" si="21"/>
        <v/>
      </c>
      <c r="M247" s="18">
        <f t="shared" si="19"/>
        <v>0</v>
      </c>
      <c r="N247" s="1" t="str">
        <f t="shared" si="22"/>
        <v/>
      </c>
      <c r="T247" s="18">
        <f t="shared" si="20"/>
        <v>0</v>
      </c>
      <c r="U247" s="1" t="str">
        <f t="shared" si="23"/>
        <v/>
      </c>
      <c r="W247" s="21" t="str">
        <f>IF(C247&gt;0,CONCATENATE("0x",(DEC2HEX(IF(B247&lt;&gt;"",VLOOKUP(B247,Notes!$A$2:$B$37,2,FALSE)*1024,0) + C247*16 + IF(D247="",7,D247)*2 + IF(E247&gt;0, 1, 0))),","),"")</f>
        <v/>
      </c>
      <c r="X247" s="21" t="str">
        <f>IF(J247&gt;0,CONCATENATE("0x",(DEC2HEX(IF(I247&lt;&gt;"",VLOOKUP(I247,Notes!$A$2:$B$37,2,FALSE)*1024,0) + J247*16 + IF(K247="",7,K247)*2 + IF(L247&gt;0, 1, 0))),","),"")</f>
        <v/>
      </c>
      <c r="Y247" s="21" t="str">
        <f>IF(Q247&gt;0,CONCATENATE("0x",(DEC2HEX(IF(P247&lt;&gt;"",VLOOKUP(P247,Notes!$A$2:$B$37,2,FALSE)*1024,0) + Q247*16 + IF(R247="",7,R247)*2 + IF(S247&gt;0, 1, 0))),","),"")</f>
        <v/>
      </c>
    </row>
    <row r="248" spans="2:25" x14ac:dyDescent="0.25">
      <c r="F248" s="18">
        <f t="shared" si="18"/>
        <v>0</v>
      </c>
      <c r="G248" s="1" t="str">
        <f t="shared" si="21"/>
        <v/>
      </c>
      <c r="M248" s="18">
        <f t="shared" si="19"/>
        <v>0</v>
      </c>
      <c r="N248" s="1" t="str">
        <f t="shared" si="22"/>
        <v/>
      </c>
      <c r="T248" s="18">
        <f t="shared" si="20"/>
        <v>0</v>
      </c>
      <c r="U248" s="1" t="str">
        <f t="shared" si="23"/>
        <v/>
      </c>
      <c r="W248" s="21" t="str">
        <f>IF(C248&gt;0,CONCATENATE("0x",(DEC2HEX(IF(B248&lt;&gt;"",VLOOKUP(B248,Notes!$A$2:$B$37,2,FALSE)*1024,0) + C248*16 + IF(D248="",7,D248)*2 + IF(E248&gt;0, 1, 0))),","),"")</f>
        <v/>
      </c>
      <c r="X248" s="21" t="str">
        <f>IF(J248&gt;0,CONCATENATE("0x",(DEC2HEX(IF(I248&lt;&gt;"",VLOOKUP(I248,Notes!$A$2:$B$37,2,FALSE)*1024,0) + J248*16 + IF(K248="",7,K248)*2 + IF(L248&gt;0, 1, 0))),","),"")</f>
        <v/>
      </c>
      <c r="Y248" s="21" t="str">
        <f>IF(Q248&gt;0,CONCATENATE("0x",(DEC2HEX(IF(P248&lt;&gt;"",VLOOKUP(P248,Notes!$A$2:$B$37,2,FALSE)*1024,0) + Q248*16 + IF(R248="",7,R248)*2 + IF(S248&gt;0, 1, 0))),","),"")</f>
        <v/>
      </c>
    </row>
    <row r="249" spans="2:25" x14ac:dyDescent="0.25">
      <c r="B249" s="12"/>
      <c r="C249" s="13"/>
      <c r="D249" s="13"/>
      <c r="E249" s="14"/>
      <c r="F249" s="18">
        <f t="shared" si="18"/>
        <v>0</v>
      </c>
      <c r="G249" s="1" t="str">
        <f t="shared" si="21"/>
        <v/>
      </c>
      <c r="I249" s="12"/>
      <c r="J249" s="13"/>
      <c r="K249" s="13"/>
      <c r="L249" s="14"/>
      <c r="M249" s="18">
        <f t="shared" si="19"/>
        <v>0</v>
      </c>
      <c r="N249" s="1" t="str">
        <f t="shared" si="22"/>
        <v/>
      </c>
      <c r="P249" s="12"/>
      <c r="Q249" s="13"/>
      <c r="R249" s="13"/>
      <c r="S249" s="14"/>
      <c r="T249" s="18">
        <f t="shared" si="20"/>
        <v>0</v>
      </c>
      <c r="U249" s="1" t="str">
        <f t="shared" si="23"/>
        <v/>
      </c>
      <c r="W249" s="21" t="str">
        <f>IF(C249&gt;0,CONCATENATE("0x",(DEC2HEX(IF(B249&lt;&gt;"",VLOOKUP(B249,Notes!$A$2:$B$37,2,FALSE)*1024,0) + C249*16 + IF(D249="",7,D249)*2 + IF(E249&gt;0, 1, 0))),","),"")</f>
        <v/>
      </c>
      <c r="X249" s="21" t="str">
        <f>IF(J249&gt;0,CONCATENATE("0x",(DEC2HEX(IF(I249&lt;&gt;"",VLOOKUP(I249,Notes!$A$2:$B$37,2,FALSE)*1024,0) + J249*16 + IF(K249="",7,K249)*2 + IF(L249&gt;0, 1, 0))),","),"")</f>
        <v/>
      </c>
      <c r="Y249" s="21" t="str">
        <f>IF(Q249&gt;0,CONCATENATE("0x",(DEC2HEX(IF(P249&lt;&gt;"",VLOOKUP(P249,Notes!$A$2:$B$37,2,FALSE)*1024,0) + Q249*16 + IF(R249="",7,R249)*2 + IF(S249&gt;0, 1, 0))),","),"")</f>
        <v/>
      </c>
    </row>
    <row r="250" spans="2:25" x14ac:dyDescent="0.25">
      <c r="F250" s="18">
        <f t="shared" si="18"/>
        <v>0</v>
      </c>
      <c r="G250" s="1" t="str">
        <f t="shared" si="21"/>
        <v/>
      </c>
      <c r="M250" s="18">
        <f t="shared" si="19"/>
        <v>0</v>
      </c>
      <c r="N250" s="1" t="str">
        <f t="shared" si="22"/>
        <v/>
      </c>
      <c r="T250" s="18">
        <f t="shared" si="20"/>
        <v>0</v>
      </c>
      <c r="U250" s="1" t="str">
        <f t="shared" si="23"/>
        <v/>
      </c>
      <c r="W250" s="21" t="str">
        <f>IF(C250&gt;0,CONCATENATE("0x",(DEC2HEX(IF(B250&lt;&gt;"",VLOOKUP(B250,Notes!$A$2:$B$37,2,FALSE)*1024,0) + C250*16 + IF(D250="",7,D250)*2 + IF(E250&gt;0, 1, 0))),","),"")</f>
        <v/>
      </c>
      <c r="X250" s="21" t="str">
        <f>IF(J250&gt;0,CONCATENATE("0x",(DEC2HEX(IF(I250&lt;&gt;"",VLOOKUP(I250,Notes!$A$2:$B$37,2,FALSE)*1024,0) + J250*16 + IF(K250="",7,K250)*2 + IF(L250&gt;0, 1, 0))),","),"")</f>
        <v/>
      </c>
      <c r="Y250" s="21" t="str">
        <f>IF(Q250&gt;0,CONCATENATE("0x",(DEC2HEX(IF(P250&lt;&gt;"",VLOOKUP(P250,Notes!$A$2:$B$37,2,FALSE)*1024,0) + Q250*16 + IF(R250="",7,R250)*2 + IF(S250&gt;0, 1, 0))),","),"")</f>
        <v/>
      </c>
    </row>
    <row r="251" spans="2:25" x14ac:dyDescent="0.25">
      <c r="F251" s="18">
        <f t="shared" si="18"/>
        <v>0</v>
      </c>
      <c r="G251" s="1" t="str">
        <f t="shared" si="21"/>
        <v/>
      </c>
      <c r="M251" s="18">
        <f t="shared" si="19"/>
        <v>0</v>
      </c>
      <c r="N251" s="1" t="str">
        <f t="shared" si="22"/>
        <v/>
      </c>
      <c r="T251" s="18">
        <f t="shared" si="20"/>
        <v>0</v>
      </c>
      <c r="U251" s="1" t="str">
        <f t="shared" si="23"/>
        <v/>
      </c>
      <c r="W251" s="21" t="str">
        <f>IF(C251&gt;0,CONCATENATE("0x",(DEC2HEX(IF(B251&lt;&gt;"",VLOOKUP(B251,Notes!$A$2:$B$37,2,FALSE)*1024,0) + C251*16 + IF(D251="",7,D251)*2 + IF(E251&gt;0, 1, 0))),","),"")</f>
        <v/>
      </c>
      <c r="X251" s="21" t="str">
        <f>IF(J251&gt;0,CONCATENATE("0x",(DEC2HEX(IF(I251&lt;&gt;"",VLOOKUP(I251,Notes!$A$2:$B$37,2,FALSE)*1024,0) + J251*16 + IF(K251="",7,K251)*2 + IF(L251&gt;0, 1, 0))),","),"")</f>
        <v/>
      </c>
      <c r="Y251" s="21" t="str">
        <f>IF(Q251&gt;0,CONCATENATE("0x",(DEC2HEX(IF(P251&lt;&gt;"",VLOOKUP(P251,Notes!$A$2:$B$37,2,FALSE)*1024,0) + Q251*16 + IF(R251="",7,R251)*2 + IF(S251&gt;0, 1, 0))),","),"")</f>
        <v/>
      </c>
    </row>
    <row r="252" spans="2:25" x14ac:dyDescent="0.25">
      <c r="F252" s="18">
        <f t="shared" si="18"/>
        <v>0</v>
      </c>
      <c r="G252" s="1" t="str">
        <f t="shared" si="21"/>
        <v/>
      </c>
      <c r="M252" s="18">
        <f t="shared" si="19"/>
        <v>0</v>
      </c>
      <c r="N252" s="1" t="str">
        <f t="shared" si="22"/>
        <v/>
      </c>
      <c r="T252" s="18">
        <f t="shared" si="20"/>
        <v>0</v>
      </c>
      <c r="U252" s="1" t="str">
        <f t="shared" si="23"/>
        <v/>
      </c>
      <c r="W252" s="21" t="str">
        <f>IF(C252&gt;0,CONCATENATE("0x",(DEC2HEX(IF(B252&lt;&gt;"",VLOOKUP(B252,Notes!$A$2:$B$37,2,FALSE)*1024,0) + C252*16 + IF(D252="",7,D252)*2 + IF(E252&gt;0, 1, 0))),","),"")</f>
        <v/>
      </c>
      <c r="X252" s="21" t="str">
        <f>IF(J252&gt;0,CONCATENATE("0x",(DEC2HEX(IF(I252&lt;&gt;"",VLOOKUP(I252,Notes!$A$2:$B$37,2,FALSE)*1024,0) + J252*16 + IF(K252="",7,K252)*2 + IF(L252&gt;0, 1, 0))),","),"")</f>
        <v/>
      </c>
      <c r="Y252" s="21" t="str">
        <f>IF(Q252&gt;0,CONCATENATE("0x",(DEC2HEX(IF(P252&lt;&gt;"",VLOOKUP(P252,Notes!$A$2:$B$37,2,FALSE)*1024,0) + Q252*16 + IF(R252="",7,R252)*2 + IF(S252&gt;0, 1, 0))),","),"")</f>
        <v/>
      </c>
    </row>
    <row r="253" spans="2:25" x14ac:dyDescent="0.25">
      <c r="F253" s="18">
        <f t="shared" si="18"/>
        <v>0</v>
      </c>
      <c r="G253" s="1" t="str">
        <f t="shared" si="21"/>
        <v/>
      </c>
      <c r="M253" s="18">
        <f t="shared" si="19"/>
        <v>0</v>
      </c>
      <c r="N253" s="1" t="str">
        <f t="shared" si="22"/>
        <v/>
      </c>
      <c r="T253" s="18">
        <f t="shared" si="20"/>
        <v>0</v>
      </c>
      <c r="U253" s="1" t="str">
        <f t="shared" si="23"/>
        <v/>
      </c>
      <c r="W253" s="21" t="str">
        <f>IF(C253&gt;0,CONCATENATE("0x",(DEC2HEX(IF(B253&lt;&gt;"",VLOOKUP(B253,Notes!$A$2:$B$37,2,FALSE)*1024,0) + C253*16 + IF(D253="",7,D253)*2 + IF(E253&gt;0, 1, 0))),","),"")</f>
        <v/>
      </c>
      <c r="X253" s="21" t="str">
        <f>IF(J253&gt;0,CONCATENATE("0x",(DEC2HEX(IF(I253&lt;&gt;"",VLOOKUP(I253,Notes!$A$2:$B$37,2,FALSE)*1024,0) + J253*16 + IF(K253="",7,K253)*2 + IF(L253&gt;0, 1, 0))),","),"")</f>
        <v/>
      </c>
      <c r="Y253" s="21" t="str">
        <f>IF(Q253&gt;0,CONCATENATE("0x",(DEC2HEX(IF(P253&lt;&gt;"",VLOOKUP(P253,Notes!$A$2:$B$37,2,FALSE)*1024,0) + Q253*16 + IF(R253="",7,R253)*2 + IF(S253&gt;0, 1, 0))),","),"")</f>
        <v/>
      </c>
    </row>
    <row r="254" spans="2:25" x14ac:dyDescent="0.25">
      <c r="F254" s="18">
        <f t="shared" si="18"/>
        <v>0</v>
      </c>
      <c r="G254" s="1" t="str">
        <f t="shared" si="21"/>
        <v/>
      </c>
      <c r="M254" s="18">
        <f t="shared" si="19"/>
        <v>0</v>
      </c>
      <c r="N254" s="1" t="str">
        <f t="shared" si="22"/>
        <v/>
      </c>
      <c r="T254" s="18">
        <f t="shared" si="20"/>
        <v>0</v>
      </c>
      <c r="U254" s="1" t="str">
        <f t="shared" si="23"/>
        <v/>
      </c>
      <c r="W254" s="21" t="str">
        <f>IF(C254&gt;0,CONCATENATE("0x",(DEC2HEX(IF(B254&lt;&gt;"",VLOOKUP(B254,Notes!$A$2:$B$37,2,FALSE)*1024,0) + C254*16 + IF(D254="",7,D254)*2 + IF(E254&gt;0, 1, 0))),","),"")</f>
        <v/>
      </c>
      <c r="X254" s="21" t="str">
        <f>IF(J254&gt;0,CONCATENATE("0x",(DEC2HEX(IF(I254&lt;&gt;"",VLOOKUP(I254,Notes!$A$2:$B$37,2,FALSE)*1024,0) + J254*16 + IF(K254="",7,K254)*2 + IF(L254&gt;0, 1, 0))),","),"")</f>
        <v/>
      </c>
      <c r="Y254" s="21" t="str">
        <f>IF(Q254&gt;0,CONCATENATE("0x",(DEC2HEX(IF(P254&lt;&gt;"",VLOOKUP(P254,Notes!$A$2:$B$37,2,FALSE)*1024,0) + Q254*16 + IF(R254="",7,R254)*2 + IF(S254&gt;0, 1, 0))),","),"")</f>
        <v/>
      </c>
    </row>
    <row r="255" spans="2:25" x14ac:dyDescent="0.25">
      <c r="F255" s="18">
        <f t="shared" si="18"/>
        <v>0</v>
      </c>
      <c r="G255" s="1" t="str">
        <f t="shared" si="21"/>
        <v/>
      </c>
      <c r="M255" s="18">
        <f t="shared" si="19"/>
        <v>0</v>
      </c>
      <c r="N255" s="1" t="str">
        <f t="shared" si="22"/>
        <v/>
      </c>
      <c r="T255" s="18">
        <f t="shared" si="20"/>
        <v>0</v>
      </c>
      <c r="U255" s="1" t="str">
        <f t="shared" si="23"/>
        <v/>
      </c>
      <c r="W255" s="21" t="str">
        <f>IF(C255&gt;0,CONCATENATE("0x",(DEC2HEX(IF(B255&lt;&gt;"",VLOOKUP(B255,Notes!$A$2:$B$37,2,FALSE)*1024,0) + C255*16 + IF(D255="",7,D255)*2 + IF(E255&gt;0, 1, 0))),","),"")</f>
        <v/>
      </c>
      <c r="X255" s="21" t="str">
        <f>IF(J255&gt;0,CONCATENATE("0x",(DEC2HEX(IF(I255&lt;&gt;"",VLOOKUP(I255,Notes!$A$2:$B$37,2,FALSE)*1024,0) + J255*16 + IF(K255="",7,K255)*2 + IF(L255&gt;0, 1, 0))),","),"")</f>
        <v/>
      </c>
      <c r="Y255" s="21" t="str">
        <f>IF(Q255&gt;0,CONCATENATE("0x",(DEC2HEX(IF(P255&lt;&gt;"",VLOOKUP(P255,Notes!$A$2:$B$37,2,FALSE)*1024,0) + Q255*16 + IF(R255="",7,R255)*2 + IF(S255&gt;0, 1, 0))),","),"")</f>
        <v/>
      </c>
    </row>
    <row r="256" spans="2:25" x14ac:dyDescent="0.25">
      <c r="F256" s="18">
        <f t="shared" si="18"/>
        <v>0</v>
      </c>
      <c r="G256" s="1" t="str">
        <f t="shared" si="21"/>
        <v/>
      </c>
      <c r="M256" s="18">
        <f t="shared" si="19"/>
        <v>0</v>
      </c>
      <c r="N256" s="1" t="str">
        <f t="shared" si="22"/>
        <v/>
      </c>
      <c r="T256" s="18">
        <f t="shared" si="20"/>
        <v>0</v>
      </c>
      <c r="U256" s="1" t="str">
        <f t="shared" si="23"/>
        <v/>
      </c>
      <c r="W256" s="21" t="str">
        <f>IF(C256&gt;0,CONCATENATE("0x",(DEC2HEX(IF(B256&lt;&gt;"",VLOOKUP(B256,Notes!$A$2:$B$37,2,FALSE)*1024,0) + C256*16 + IF(D256="",7,D256)*2 + IF(E256&gt;0, 1, 0))),","),"")</f>
        <v/>
      </c>
      <c r="X256" s="21" t="str">
        <f>IF(J256&gt;0,CONCATENATE("0x",(DEC2HEX(IF(I256&lt;&gt;"",VLOOKUP(I256,Notes!$A$2:$B$37,2,FALSE)*1024,0) + J256*16 + IF(K256="",7,K256)*2 + IF(L256&gt;0, 1, 0))),","),"")</f>
        <v/>
      </c>
      <c r="Y256" s="21" t="str">
        <f>IF(Q256&gt;0,CONCATENATE("0x",(DEC2HEX(IF(P256&lt;&gt;"",VLOOKUP(P256,Notes!$A$2:$B$37,2,FALSE)*1024,0) + Q256*16 + IF(R256="",7,R256)*2 + IF(S256&gt;0, 1, 0))),","),"")</f>
        <v/>
      </c>
    </row>
    <row r="257" spans="1:25" ht="16.5" thickBot="1" x14ac:dyDescent="0.3">
      <c r="B257" s="15"/>
      <c r="C257" s="16"/>
      <c r="D257" s="16"/>
      <c r="E257" s="17"/>
      <c r="F257" s="18">
        <f t="shared" si="18"/>
        <v>0</v>
      </c>
      <c r="G257" s="1" t="str">
        <f t="shared" si="21"/>
        <v/>
      </c>
      <c r="I257" s="15"/>
      <c r="J257" s="16"/>
      <c r="K257" s="16"/>
      <c r="L257" s="17"/>
      <c r="M257" s="18">
        <f t="shared" si="19"/>
        <v>0</v>
      </c>
      <c r="N257" s="1" t="str">
        <f t="shared" si="22"/>
        <v/>
      </c>
      <c r="P257" s="15"/>
      <c r="Q257" s="16"/>
      <c r="R257" s="16"/>
      <c r="S257" s="17"/>
      <c r="T257" s="18">
        <f t="shared" si="20"/>
        <v>0</v>
      </c>
      <c r="U257" s="1" t="str">
        <f t="shared" si="23"/>
        <v/>
      </c>
      <c r="W257" s="21" t="str">
        <f>IF(C257&gt;0,CONCATENATE("0x",(DEC2HEX(IF(B257&lt;&gt;"",VLOOKUP(B257,Notes!$A$2:$B$37,2,FALSE)*1024,0) + C257*16 + IF(D257="",7,D257)*2 + IF(E257&gt;0, 1, 0))),","),"")</f>
        <v/>
      </c>
      <c r="X257" s="21" t="str">
        <f>IF(J257&gt;0,CONCATENATE("0x",(DEC2HEX(IF(I257&lt;&gt;"",VLOOKUP(I257,Notes!$A$2:$B$37,2,FALSE)*1024,0) + J257*16 + IF(K257="",7,K257)*2 + IF(L257&gt;0, 1, 0))),","),"")</f>
        <v/>
      </c>
      <c r="Y257" s="21" t="str">
        <f>IF(Q257&gt;0,CONCATENATE("0x",(DEC2HEX(IF(P257&lt;&gt;"",VLOOKUP(P257,Notes!$A$2:$B$37,2,FALSE)*1024,0) + Q257*16 + IF(R257="",7,R257)*2 + IF(S257&gt;0, 1, 0))),","),"")</f>
        <v/>
      </c>
    </row>
    <row r="258" spans="1:25" ht="16.5" thickTop="1" x14ac:dyDescent="0.25">
      <c r="A258" s="1">
        <v>9</v>
      </c>
      <c r="F258" s="18">
        <f t="shared" si="18"/>
        <v>0</v>
      </c>
      <c r="G258" s="1" t="str">
        <f t="shared" si="21"/>
        <v/>
      </c>
      <c r="M258" s="18">
        <f t="shared" si="19"/>
        <v>0</v>
      </c>
      <c r="N258" s="1" t="str">
        <f t="shared" si="22"/>
        <v/>
      </c>
      <c r="T258" s="18">
        <f t="shared" si="20"/>
        <v>0</v>
      </c>
      <c r="U258" s="1" t="str">
        <f t="shared" si="23"/>
        <v/>
      </c>
      <c r="W258" s="21" t="str">
        <f>IF(C258&gt;0,CONCATENATE("0x",(DEC2HEX(IF(B258&lt;&gt;"",VLOOKUP(B258,Notes!$A$2:$B$37,2,FALSE)*1024,0) + C258*16 + IF(D258="",7,D258)*2 + IF(E258&gt;0, 1, 0))),","),"")</f>
        <v/>
      </c>
      <c r="X258" s="21" t="str">
        <f>IF(J258&gt;0,CONCATENATE("0x",(DEC2HEX(IF(I258&lt;&gt;"",VLOOKUP(I258,Notes!$A$2:$B$37,2,FALSE)*1024,0) + J258*16 + IF(K258="",7,K258)*2 + IF(L258&gt;0, 1, 0))),","),"")</f>
        <v/>
      </c>
      <c r="Y258" s="21" t="str">
        <f>IF(Q258&gt;0,CONCATENATE("0x",(DEC2HEX(IF(P258&lt;&gt;"",VLOOKUP(P258,Notes!$A$2:$B$37,2,FALSE)*1024,0) + Q258*16 + IF(R258="",7,R258)*2 + IF(S258&gt;0, 1, 0))),","),"")</f>
        <v/>
      </c>
    </row>
    <row r="259" spans="1:25" x14ac:dyDescent="0.25">
      <c r="F259" s="18">
        <f t="shared" ref="F259:F322" si="24">IF(C259&gt;0, C259, MAX(F258-1,0))</f>
        <v>0</v>
      </c>
      <c r="G259" s="1" t="str">
        <f t="shared" si="21"/>
        <v/>
      </c>
      <c r="M259" s="18">
        <f t="shared" ref="M259:M322" si="25">IF(J259&gt;0, J259, MAX(M258-1,0))</f>
        <v>0</v>
      </c>
      <c r="N259" s="1" t="str">
        <f t="shared" si="22"/>
        <v/>
      </c>
      <c r="T259" s="18">
        <f t="shared" ref="T259:T322" si="26">IF(Q259&gt;0, Q259, MAX(T258-1,0))</f>
        <v>0</v>
      </c>
      <c r="U259" s="1" t="str">
        <f t="shared" si="23"/>
        <v/>
      </c>
      <c r="W259" s="21" t="str">
        <f>IF(C259&gt;0,CONCATENATE("0x",(DEC2HEX(IF(B259&lt;&gt;"",VLOOKUP(B259,Notes!$A$2:$B$37,2,FALSE)*1024,0) + C259*16 + IF(D259="",7,D259)*2 + IF(E259&gt;0, 1, 0))),","),"")</f>
        <v/>
      </c>
      <c r="X259" s="21" t="str">
        <f>IF(J259&gt;0,CONCATENATE("0x",(DEC2HEX(IF(I259&lt;&gt;"",VLOOKUP(I259,Notes!$A$2:$B$37,2,FALSE)*1024,0) + J259*16 + IF(K259="",7,K259)*2 + IF(L259&gt;0, 1, 0))),","),"")</f>
        <v/>
      </c>
      <c r="Y259" s="21" t="str">
        <f>IF(Q259&gt;0,CONCATENATE("0x",(DEC2HEX(IF(P259&lt;&gt;"",VLOOKUP(P259,Notes!$A$2:$B$37,2,FALSE)*1024,0) + Q259*16 + IF(R259="",7,R259)*2 + IF(S259&gt;0, 1, 0))),","),"")</f>
        <v/>
      </c>
    </row>
    <row r="260" spans="1:25" x14ac:dyDescent="0.25">
      <c r="F260" s="18">
        <f t="shared" si="24"/>
        <v>0</v>
      </c>
      <c r="G260" s="1" t="str">
        <f t="shared" ref="G260:G323" si="27">IF(AND(F259&gt;1,C260&gt;0), "OVERLAPPING","")</f>
        <v/>
      </c>
      <c r="M260" s="18">
        <f t="shared" si="25"/>
        <v>0</v>
      </c>
      <c r="N260" s="1" t="str">
        <f t="shared" ref="N260:N323" si="28">IF(AND(M259&gt;1,J260&gt;0), "OVERLAPPING","")</f>
        <v/>
      </c>
      <c r="T260" s="18">
        <f t="shared" si="26"/>
        <v>0</v>
      </c>
      <c r="U260" s="1" t="str">
        <f t="shared" ref="U260:U323" si="29">IF(AND(T259&gt;1,Q260&gt;0), "OVERLAPPING","")</f>
        <v/>
      </c>
      <c r="W260" s="21" t="str">
        <f>IF(C260&gt;0,CONCATENATE("0x",(DEC2HEX(IF(B260&lt;&gt;"",VLOOKUP(B260,Notes!$A$2:$B$37,2,FALSE)*1024,0) + C260*16 + IF(D260="",7,D260)*2 + IF(E260&gt;0, 1, 0))),","),"")</f>
        <v/>
      </c>
      <c r="X260" s="21" t="str">
        <f>IF(J260&gt;0,CONCATENATE("0x",(DEC2HEX(IF(I260&lt;&gt;"",VLOOKUP(I260,Notes!$A$2:$B$37,2,FALSE)*1024,0) + J260*16 + IF(K260="",7,K260)*2 + IF(L260&gt;0, 1, 0))),","),"")</f>
        <v/>
      </c>
      <c r="Y260" s="21" t="str">
        <f>IF(Q260&gt;0,CONCATENATE("0x",(DEC2HEX(IF(P260&lt;&gt;"",VLOOKUP(P260,Notes!$A$2:$B$37,2,FALSE)*1024,0) + Q260*16 + IF(R260="",7,R260)*2 + IF(S260&gt;0, 1, 0))),","),"")</f>
        <v/>
      </c>
    </row>
    <row r="261" spans="1:25" x14ac:dyDescent="0.25">
      <c r="F261" s="18">
        <f t="shared" si="24"/>
        <v>0</v>
      </c>
      <c r="G261" s="1" t="str">
        <f t="shared" si="27"/>
        <v/>
      </c>
      <c r="M261" s="18">
        <f t="shared" si="25"/>
        <v>0</v>
      </c>
      <c r="N261" s="1" t="str">
        <f t="shared" si="28"/>
        <v/>
      </c>
      <c r="T261" s="18">
        <f t="shared" si="26"/>
        <v>0</v>
      </c>
      <c r="U261" s="1" t="str">
        <f t="shared" si="29"/>
        <v/>
      </c>
      <c r="W261" s="21" t="str">
        <f>IF(C261&gt;0,CONCATENATE("0x",(DEC2HEX(IF(B261&lt;&gt;"",VLOOKUP(B261,Notes!$A$2:$B$37,2,FALSE)*1024,0) + C261*16 + IF(D261="",7,D261)*2 + IF(E261&gt;0, 1, 0))),","),"")</f>
        <v/>
      </c>
      <c r="X261" s="21" t="str">
        <f>IF(J261&gt;0,CONCATENATE("0x",(DEC2HEX(IF(I261&lt;&gt;"",VLOOKUP(I261,Notes!$A$2:$B$37,2,FALSE)*1024,0) + J261*16 + IF(K261="",7,K261)*2 + IF(L261&gt;0, 1, 0))),","),"")</f>
        <v/>
      </c>
      <c r="Y261" s="21" t="str">
        <f>IF(Q261&gt;0,CONCATENATE("0x",(DEC2HEX(IF(P261&lt;&gt;"",VLOOKUP(P261,Notes!$A$2:$B$37,2,FALSE)*1024,0) + Q261*16 + IF(R261="",7,R261)*2 + IF(S261&gt;0, 1, 0))),","),"")</f>
        <v/>
      </c>
    </row>
    <row r="262" spans="1:25" x14ac:dyDescent="0.25">
      <c r="F262" s="18">
        <f t="shared" si="24"/>
        <v>0</v>
      </c>
      <c r="G262" s="1" t="str">
        <f t="shared" si="27"/>
        <v/>
      </c>
      <c r="M262" s="18">
        <f t="shared" si="25"/>
        <v>0</v>
      </c>
      <c r="N262" s="1" t="str">
        <f t="shared" si="28"/>
        <v/>
      </c>
      <c r="T262" s="18">
        <f t="shared" si="26"/>
        <v>0</v>
      </c>
      <c r="U262" s="1" t="str">
        <f t="shared" si="29"/>
        <v/>
      </c>
      <c r="W262" s="21" t="str">
        <f>IF(C262&gt;0,CONCATENATE("0x",(DEC2HEX(IF(B262&lt;&gt;"",VLOOKUP(B262,Notes!$A$2:$B$37,2,FALSE)*1024,0) + C262*16 + IF(D262="",7,D262)*2 + IF(E262&gt;0, 1, 0))),","),"")</f>
        <v/>
      </c>
      <c r="X262" s="21" t="str">
        <f>IF(J262&gt;0,CONCATENATE("0x",(DEC2HEX(IF(I262&lt;&gt;"",VLOOKUP(I262,Notes!$A$2:$B$37,2,FALSE)*1024,0) + J262*16 + IF(K262="",7,K262)*2 + IF(L262&gt;0, 1, 0))),","),"")</f>
        <v/>
      </c>
      <c r="Y262" s="21" t="str">
        <f>IF(Q262&gt;0,CONCATENATE("0x",(DEC2HEX(IF(P262&lt;&gt;"",VLOOKUP(P262,Notes!$A$2:$B$37,2,FALSE)*1024,0) + Q262*16 + IF(R262="",7,R262)*2 + IF(S262&gt;0, 1, 0))),","),"")</f>
        <v/>
      </c>
    </row>
    <row r="263" spans="1:25" x14ac:dyDescent="0.25">
      <c r="F263" s="18">
        <f t="shared" si="24"/>
        <v>0</v>
      </c>
      <c r="G263" s="1" t="str">
        <f t="shared" si="27"/>
        <v/>
      </c>
      <c r="M263" s="18">
        <f t="shared" si="25"/>
        <v>0</v>
      </c>
      <c r="N263" s="1" t="str">
        <f t="shared" si="28"/>
        <v/>
      </c>
      <c r="T263" s="18">
        <f t="shared" si="26"/>
        <v>0</v>
      </c>
      <c r="U263" s="1" t="str">
        <f t="shared" si="29"/>
        <v/>
      </c>
      <c r="W263" s="21" t="str">
        <f>IF(C263&gt;0,CONCATENATE("0x",(DEC2HEX(IF(B263&lt;&gt;"",VLOOKUP(B263,Notes!$A$2:$B$37,2,FALSE)*1024,0) + C263*16 + IF(D263="",7,D263)*2 + IF(E263&gt;0, 1, 0))),","),"")</f>
        <v/>
      </c>
      <c r="X263" s="21" t="str">
        <f>IF(J263&gt;0,CONCATENATE("0x",(DEC2HEX(IF(I263&lt;&gt;"",VLOOKUP(I263,Notes!$A$2:$B$37,2,FALSE)*1024,0) + J263*16 + IF(K263="",7,K263)*2 + IF(L263&gt;0, 1, 0))),","),"")</f>
        <v/>
      </c>
      <c r="Y263" s="21" t="str">
        <f>IF(Q263&gt;0,CONCATENATE("0x",(DEC2HEX(IF(P263&lt;&gt;"",VLOOKUP(P263,Notes!$A$2:$B$37,2,FALSE)*1024,0) + Q263*16 + IF(R263="",7,R263)*2 + IF(S263&gt;0, 1, 0))),","),"")</f>
        <v/>
      </c>
    </row>
    <row r="264" spans="1:25" x14ac:dyDescent="0.25">
      <c r="F264" s="18">
        <f t="shared" si="24"/>
        <v>0</v>
      </c>
      <c r="G264" s="1" t="str">
        <f t="shared" si="27"/>
        <v/>
      </c>
      <c r="M264" s="18">
        <f t="shared" si="25"/>
        <v>0</v>
      </c>
      <c r="N264" s="1" t="str">
        <f t="shared" si="28"/>
        <v/>
      </c>
      <c r="T264" s="18">
        <f t="shared" si="26"/>
        <v>0</v>
      </c>
      <c r="U264" s="1" t="str">
        <f t="shared" si="29"/>
        <v/>
      </c>
      <c r="W264" s="21" t="str">
        <f>IF(C264&gt;0,CONCATENATE("0x",(DEC2HEX(IF(B264&lt;&gt;"",VLOOKUP(B264,Notes!$A$2:$B$37,2,FALSE)*1024,0) + C264*16 + IF(D264="",7,D264)*2 + IF(E264&gt;0, 1, 0))),","),"")</f>
        <v/>
      </c>
      <c r="X264" s="21" t="str">
        <f>IF(J264&gt;0,CONCATENATE("0x",(DEC2HEX(IF(I264&lt;&gt;"",VLOOKUP(I264,Notes!$A$2:$B$37,2,FALSE)*1024,0) + J264*16 + IF(K264="",7,K264)*2 + IF(L264&gt;0, 1, 0))),","),"")</f>
        <v/>
      </c>
      <c r="Y264" s="21" t="str">
        <f>IF(Q264&gt;0,CONCATENATE("0x",(DEC2HEX(IF(P264&lt;&gt;"",VLOOKUP(P264,Notes!$A$2:$B$37,2,FALSE)*1024,0) + Q264*16 + IF(R264="",7,R264)*2 + IF(S264&gt;0, 1, 0))),","),"")</f>
        <v/>
      </c>
    </row>
    <row r="265" spans="1:25" x14ac:dyDescent="0.25">
      <c r="B265" s="12"/>
      <c r="C265" s="13"/>
      <c r="D265" s="13"/>
      <c r="E265" s="14"/>
      <c r="F265" s="18">
        <f t="shared" si="24"/>
        <v>0</v>
      </c>
      <c r="G265" s="1" t="str">
        <f t="shared" si="27"/>
        <v/>
      </c>
      <c r="I265" s="12"/>
      <c r="J265" s="13"/>
      <c r="K265" s="13"/>
      <c r="L265" s="14"/>
      <c r="M265" s="18">
        <f t="shared" si="25"/>
        <v>0</v>
      </c>
      <c r="N265" s="1" t="str">
        <f t="shared" si="28"/>
        <v/>
      </c>
      <c r="P265" s="12"/>
      <c r="Q265" s="13"/>
      <c r="R265" s="13"/>
      <c r="S265" s="14"/>
      <c r="T265" s="18">
        <f t="shared" si="26"/>
        <v>0</v>
      </c>
      <c r="U265" s="1" t="str">
        <f t="shared" si="29"/>
        <v/>
      </c>
      <c r="W265" s="21" t="str">
        <f>IF(C265&gt;0,CONCATENATE("0x",(DEC2HEX(IF(B265&lt;&gt;"",VLOOKUP(B265,Notes!$A$2:$B$37,2,FALSE)*1024,0) + C265*16 + IF(D265="",7,D265)*2 + IF(E265&gt;0, 1, 0))),","),"")</f>
        <v/>
      </c>
      <c r="X265" s="21" t="str">
        <f>IF(J265&gt;0,CONCATENATE("0x",(DEC2HEX(IF(I265&lt;&gt;"",VLOOKUP(I265,Notes!$A$2:$B$37,2,FALSE)*1024,0) + J265*16 + IF(K265="",7,K265)*2 + IF(L265&gt;0, 1, 0))),","),"")</f>
        <v/>
      </c>
      <c r="Y265" s="21" t="str">
        <f>IF(Q265&gt;0,CONCATENATE("0x",(DEC2HEX(IF(P265&lt;&gt;"",VLOOKUP(P265,Notes!$A$2:$B$37,2,FALSE)*1024,0) + Q265*16 + IF(R265="",7,R265)*2 + IF(S265&gt;0, 1, 0))),","),"")</f>
        <v/>
      </c>
    </row>
    <row r="266" spans="1:25" x14ac:dyDescent="0.25">
      <c r="F266" s="18">
        <f t="shared" si="24"/>
        <v>0</v>
      </c>
      <c r="G266" s="1" t="str">
        <f t="shared" si="27"/>
        <v/>
      </c>
      <c r="M266" s="18">
        <f t="shared" si="25"/>
        <v>0</v>
      </c>
      <c r="N266" s="1" t="str">
        <f t="shared" si="28"/>
        <v/>
      </c>
      <c r="T266" s="18">
        <f t="shared" si="26"/>
        <v>0</v>
      </c>
      <c r="U266" s="1" t="str">
        <f t="shared" si="29"/>
        <v/>
      </c>
      <c r="W266" s="21" t="str">
        <f>IF(C266&gt;0,CONCATENATE("0x",(DEC2HEX(IF(B266&lt;&gt;"",VLOOKUP(B266,Notes!$A$2:$B$37,2,FALSE)*1024,0) + C266*16 + IF(D266="",7,D266)*2 + IF(E266&gt;0, 1, 0))),","),"")</f>
        <v/>
      </c>
      <c r="X266" s="21" t="str">
        <f>IF(J266&gt;0,CONCATENATE("0x",(DEC2HEX(IF(I266&lt;&gt;"",VLOOKUP(I266,Notes!$A$2:$B$37,2,FALSE)*1024,0) + J266*16 + IF(K266="",7,K266)*2 + IF(L266&gt;0, 1, 0))),","),"")</f>
        <v/>
      </c>
      <c r="Y266" s="21" t="str">
        <f>IF(Q266&gt;0,CONCATENATE("0x",(DEC2HEX(IF(P266&lt;&gt;"",VLOOKUP(P266,Notes!$A$2:$B$37,2,FALSE)*1024,0) + Q266*16 + IF(R266="",7,R266)*2 + IF(S266&gt;0, 1, 0))),","),"")</f>
        <v/>
      </c>
    </row>
    <row r="267" spans="1:25" x14ac:dyDescent="0.25">
      <c r="F267" s="18">
        <f t="shared" si="24"/>
        <v>0</v>
      </c>
      <c r="G267" s="1" t="str">
        <f t="shared" si="27"/>
        <v/>
      </c>
      <c r="M267" s="18">
        <f t="shared" si="25"/>
        <v>0</v>
      </c>
      <c r="N267" s="1" t="str">
        <f t="shared" si="28"/>
        <v/>
      </c>
      <c r="T267" s="18">
        <f t="shared" si="26"/>
        <v>0</v>
      </c>
      <c r="U267" s="1" t="str">
        <f t="shared" si="29"/>
        <v/>
      </c>
      <c r="W267" s="21" t="str">
        <f>IF(C267&gt;0,CONCATENATE("0x",(DEC2HEX(IF(B267&lt;&gt;"",VLOOKUP(B267,Notes!$A$2:$B$37,2,FALSE)*1024,0) + C267*16 + IF(D267="",7,D267)*2 + IF(E267&gt;0, 1, 0))),","),"")</f>
        <v/>
      </c>
      <c r="X267" s="21" t="str">
        <f>IF(J267&gt;0,CONCATENATE("0x",(DEC2HEX(IF(I267&lt;&gt;"",VLOOKUP(I267,Notes!$A$2:$B$37,2,FALSE)*1024,0) + J267*16 + IF(K267="",7,K267)*2 + IF(L267&gt;0, 1, 0))),","),"")</f>
        <v/>
      </c>
      <c r="Y267" s="21" t="str">
        <f>IF(Q267&gt;0,CONCATENATE("0x",(DEC2HEX(IF(P267&lt;&gt;"",VLOOKUP(P267,Notes!$A$2:$B$37,2,FALSE)*1024,0) + Q267*16 + IF(R267="",7,R267)*2 + IF(S267&gt;0, 1, 0))),","),"")</f>
        <v/>
      </c>
    </row>
    <row r="268" spans="1:25" x14ac:dyDescent="0.25">
      <c r="F268" s="18">
        <f t="shared" si="24"/>
        <v>0</v>
      </c>
      <c r="G268" s="1" t="str">
        <f t="shared" si="27"/>
        <v/>
      </c>
      <c r="M268" s="18">
        <f t="shared" si="25"/>
        <v>0</v>
      </c>
      <c r="N268" s="1" t="str">
        <f t="shared" si="28"/>
        <v/>
      </c>
      <c r="T268" s="18">
        <f t="shared" si="26"/>
        <v>0</v>
      </c>
      <c r="U268" s="1" t="str">
        <f t="shared" si="29"/>
        <v/>
      </c>
      <c r="W268" s="21" t="str">
        <f>IF(C268&gt;0,CONCATENATE("0x",(DEC2HEX(IF(B268&lt;&gt;"",VLOOKUP(B268,Notes!$A$2:$B$37,2,FALSE)*1024,0) + C268*16 + IF(D268="",7,D268)*2 + IF(E268&gt;0, 1, 0))),","),"")</f>
        <v/>
      </c>
      <c r="X268" s="21" t="str">
        <f>IF(J268&gt;0,CONCATENATE("0x",(DEC2HEX(IF(I268&lt;&gt;"",VLOOKUP(I268,Notes!$A$2:$B$37,2,FALSE)*1024,0) + J268*16 + IF(K268="",7,K268)*2 + IF(L268&gt;0, 1, 0))),","),"")</f>
        <v/>
      </c>
      <c r="Y268" s="21" t="str">
        <f>IF(Q268&gt;0,CONCATENATE("0x",(DEC2HEX(IF(P268&lt;&gt;"",VLOOKUP(P268,Notes!$A$2:$B$37,2,FALSE)*1024,0) + Q268*16 + IF(R268="",7,R268)*2 + IF(S268&gt;0, 1, 0))),","),"")</f>
        <v/>
      </c>
    </row>
    <row r="269" spans="1:25" x14ac:dyDescent="0.25">
      <c r="F269" s="18">
        <f t="shared" si="24"/>
        <v>0</v>
      </c>
      <c r="G269" s="1" t="str">
        <f t="shared" si="27"/>
        <v/>
      </c>
      <c r="M269" s="18">
        <f t="shared" si="25"/>
        <v>0</v>
      </c>
      <c r="N269" s="1" t="str">
        <f t="shared" si="28"/>
        <v/>
      </c>
      <c r="T269" s="18">
        <f t="shared" si="26"/>
        <v>0</v>
      </c>
      <c r="U269" s="1" t="str">
        <f t="shared" si="29"/>
        <v/>
      </c>
      <c r="W269" s="21" t="str">
        <f>IF(C269&gt;0,CONCATENATE("0x",(DEC2HEX(IF(B269&lt;&gt;"",VLOOKUP(B269,Notes!$A$2:$B$37,2,FALSE)*1024,0) + C269*16 + IF(D269="",7,D269)*2 + IF(E269&gt;0, 1, 0))),","),"")</f>
        <v/>
      </c>
      <c r="X269" s="21" t="str">
        <f>IF(J269&gt;0,CONCATENATE("0x",(DEC2HEX(IF(I269&lt;&gt;"",VLOOKUP(I269,Notes!$A$2:$B$37,2,FALSE)*1024,0) + J269*16 + IF(K269="",7,K269)*2 + IF(L269&gt;0, 1, 0))),","),"")</f>
        <v/>
      </c>
      <c r="Y269" s="21" t="str">
        <f>IF(Q269&gt;0,CONCATENATE("0x",(DEC2HEX(IF(P269&lt;&gt;"",VLOOKUP(P269,Notes!$A$2:$B$37,2,FALSE)*1024,0) + Q269*16 + IF(R269="",7,R269)*2 + IF(S269&gt;0, 1, 0))),","),"")</f>
        <v/>
      </c>
    </row>
    <row r="270" spans="1:25" x14ac:dyDescent="0.25">
      <c r="F270" s="18">
        <f t="shared" si="24"/>
        <v>0</v>
      </c>
      <c r="G270" s="1" t="str">
        <f t="shared" si="27"/>
        <v/>
      </c>
      <c r="M270" s="18">
        <f t="shared" si="25"/>
        <v>0</v>
      </c>
      <c r="N270" s="1" t="str">
        <f t="shared" si="28"/>
        <v/>
      </c>
      <c r="T270" s="18">
        <f t="shared" si="26"/>
        <v>0</v>
      </c>
      <c r="U270" s="1" t="str">
        <f t="shared" si="29"/>
        <v/>
      </c>
      <c r="W270" s="21" t="str">
        <f>IF(C270&gt;0,CONCATENATE("0x",(DEC2HEX(IF(B270&lt;&gt;"",VLOOKUP(B270,Notes!$A$2:$B$37,2,FALSE)*1024,0) + C270*16 + IF(D270="",7,D270)*2 + IF(E270&gt;0, 1, 0))),","),"")</f>
        <v/>
      </c>
      <c r="X270" s="21" t="str">
        <f>IF(J270&gt;0,CONCATENATE("0x",(DEC2HEX(IF(I270&lt;&gt;"",VLOOKUP(I270,Notes!$A$2:$B$37,2,FALSE)*1024,0) + J270*16 + IF(K270="",7,K270)*2 + IF(L270&gt;0, 1, 0))),","),"")</f>
        <v/>
      </c>
      <c r="Y270" s="21" t="str">
        <f>IF(Q270&gt;0,CONCATENATE("0x",(DEC2HEX(IF(P270&lt;&gt;"",VLOOKUP(P270,Notes!$A$2:$B$37,2,FALSE)*1024,0) + Q270*16 + IF(R270="",7,R270)*2 + IF(S270&gt;0, 1, 0))),","),"")</f>
        <v/>
      </c>
    </row>
    <row r="271" spans="1:25" x14ac:dyDescent="0.25">
      <c r="F271" s="18">
        <f t="shared" si="24"/>
        <v>0</v>
      </c>
      <c r="G271" s="1" t="str">
        <f t="shared" si="27"/>
        <v/>
      </c>
      <c r="M271" s="18">
        <f t="shared" si="25"/>
        <v>0</v>
      </c>
      <c r="N271" s="1" t="str">
        <f t="shared" si="28"/>
        <v/>
      </c>
      <c r="T271" s="18">
        <f t="shared" si="26"/>
        <v>0</v>
      </c>
      <c r="U271" s="1" t="str">
        <f t="shared" si="29"/>
        <v/>
      </c>
      <c r="W271" s="21" t="str">
        <f>IF(C271&gt;0,CONCATENATE("0x",(DEC2HEX(IF(B271&lt;&gt;"",VLOOKUP(B271,Notes!$A$2:$B$37,2,FALSE)*1024,0) + C271*16 + IF(D271="",7,D271)*2 + IF(E271&gt;0, 1, 0))),","),"")</f>
        <v/>
      </c>
      <c r="X271" s="21" t="str">
        <f>IF(J271&gt;0,CONCATENATE("0x",(DEC2HEX(IF(I271&lt;&gt;"",VLOOKUP(I271,Notes!$A$2:$B$37,2,FALSE)*1024,0) + J271*16 + IF(K271="",7,K271)*2 + IF(L271&gt;0, 1, 0))),","),"")</f>
        <v/>
      </c>
      <c r="Y271" s="21" t="str">
        <f>IF(Q271&gt;0,CONCATENATE("0x",(DEC2HEX(IF(P271&lt;&gt;"",VLOOKUP(P271,Notes!$A$2:$B$37,2,FALSE)*1024,0) + Q271*16 + IF(R271="",7,R271)*2 + IF(S271&gt;0, 1, 0))),","),"")</f>
        <v/>
      </c>
    </row>
    <row r="272" spans="1:25" x14ac:dyDescent="0.25">
      <c r="F272" s="18">
        <f t="shared" si="24"/>
        <v>0</v>
      </c>
      <c r="G272" s="1" t="str">
        <f t="shared" si="27"/>
        <v/>
      </c>
      <c r="M272" s="18">
        <f t="shared" si="25"/>
        <v>0</v>
      </c>
      <c r="N272" s="1" t="str">
        <f t="shared" si="28"/>
        <v/>
      </c>
      <c r="T272" s="18">
        <f t="shared" si="26"/>
        <v>0</v>
      </c>
      <c r="U272" s="1" t="str">
        <f t="shared" si="29"/>
        <v/>
      </c>
      <c r="W272" s="21" t="str">
        <f>IF(C272&gt;0,CONCATENATE("0x",(DEC2HEX(IF(B272&lt;&gt;"",VLOOKUP(B272,Notes!$A$2:$B$37,2,FALSE)*1024,0) + C272*16 + IF(D272="",7,D272)*2 + IF(E272&gt;0, 1, 0))),","),"")</f>
        <v/>
      </c>
      <c r="X272" s="21" t="str">
        <f>IF(J272&gt;0,CONCATENATE("0x",(DEC2HEX(IF(I272&lt;&gt;"",VLOOKUP(I272,Notes!$A$2:$B$37,2,FALSE)*1024,0) + J272*16 + IF(K272="",7,K272)*2 + IF(L272&gt;0, 1, 0))),","),"")</f>
        <v/>
      </c>
      <c r="Y272" s="21" t="str">
        <f>IF(Q272&gt;0,CONCATENATE("0x",(DEC2HEX(IF(P272&lt;&gt;"",VLOOKUP(P272,Notes!$A$2:$B$37,2,FALSE)*1024,0) + Q272*16 + IF(R272="",7,R272)*2 + IF(S272&gt;0, 1, 0))),","),"")</f>
        <v/>
      </c>
    </row>
    <row r="273" spans="2:25" x14ac:dyDescent="0.25">
      <c r="B273" s="12"/>
      <c r="C273" s="13"/>
      <c r="D273" s="13"/>
      <c r="E273" s="14"/>
      <c r="F273" s="18">
        <f t="shared" si="24"/>
        <v>0</v>
      </c>
      <c r="G273" s="1" t="str">
        <f t="shared" si="27"/>
        <v/>
      </c>
      <c r="I273" s="12"/>
      <c r="J273" s="13"/>
      <c r="K273" s="13"/>
      <c r="L273" s="14"/>
      <c r="M273" s="18">
        <f t="shared" si="25"/>
        <v>0</v>
      </c>
      <c r="N273" s="1" t="str">
        <f t="shared" si="28"/>
        <v/>
      </c>
      <c r="P273" s="12"/>
      <c r="Q273" s="13"/>
      <c r="R273" s="13"/>
      <c r="S273" s="14"/>
      <c r="T273" s="18">
        <f t="shared" si="26"/>
        <v>0</v>
      </c>
      <c r="U273" s="1" t="str">
        <f t="shared" si="29"/>
        <v/>
      </c>
      <c r="W273" s="21" t="str">
        <f>IF(C273&gt;0,CONCATENATE("0x",(DEC2HEX(IF(B273&lt;&gt;"",VLOOKUP(B273,Notes!$A$2:$B$37,2,FALSE)*1024,0) + C273*16 + IF(D273="",7,D273)*2 + IF(E273&gt;0, 1, 0))),","),"")</f>
        <v/>
      </c>
      <c r="X273" s="21" t="str">
        <f>IF(J273&gt;0,CONCATENATE("0x",(DEC2HEX(IF(I273&lt;&gt;"",VLOOKUP(I273,Notes!$A$2:$B$37,2,FALSE)*1024,0) + J273*16 + IF(K273="",7,K273)*2 + IF(L273&gt;0, 1, 0))),","),"")</f>
        <v/>
      </c>
      <c r="Y273" s="21" t="str">
        <f>IF(Q273&gt;0,CONCATENATE("0x",(DEC2HEX(IF(P273&lt;&gt;"",VLOOKUP(P273,Notes!$A$2:$B$37,2,FALSE)*1024,0) + Q273*16 + IF(R273="",7,R273)*2 + IF(S273&gt;0, 1, 0))),","),"")</f>
        <v/>
      </c>
    </row>
    <row r="274" spans="2:25" x14ac:dyDescent="0.25">
      <c r="F274" s="18">
        <f t="shared" si="24"/>
        <v>0</v>
      </c>
      <c r="G274" s="1" t="str">
        <f t="shared" si="27"/>
        <v/>
      </c>
      <c r="M274" s="18">
        <f t="shared" si="25"/>
        <v>0</v>
      </c>
      <c r="N274" s="1" t="str">
        <f t="shared" si="28"/>
        <v/>
      </c>
      <c r="T274" s="18">
        <f t="shared" si="26"/>
        <v>0</v>
      </c>
      <c r="U274" s="1" t="str">
        <f t="shared" si="29"/>
        <v/>
      </c>
      <c r="W274" s="21" t="str">
        <f>IF(C274&gt;0,CONCATENATE("0x",(DEC2HEX(IF(B274&lt;&gt;"",VLOOKUP(B274,Notes!$A$2:$B$37,2,FALSE)*1024,0) + C274*16 + IF(D274="",7,D274)*2 + IF(E274&gt;0, 1, 0))),","),"")</f>
        <v/>
      </c>
      <c r="X274" s="21" t="str">
        <f>IF(J274&gt;0,CONCATENATE("0x",(DEC2HEX(IF(I274&lt;&gt;"",VLOOKUP(I274,Notes!$A$2:$B$37,2,FALSE)*1024,0) + J274*16 + IF(K274="",7,K274)*2 + IF(L274&gt;0, 1, 0))),","),"")</f>
        <v/>
      </c>
      <c r="Y274" s="21" t="str">
        <f>IF(Q274&gt;0,CONCATENATE("0x",(DEC2HEX(IF(P274&lt;&gt;"",VLOOKUP(P274,Notes!$A$2:$B$37,2,FALSE)*1024,0) + Q274*16 + IF(R274="",7,R274)*2 + IF(S274&gt;0, 1, 0))),","),"")</f>
        <v/>
      </c>
    </row>
    <row r="275" spans="2:25" x14ac:dyDescent="0.25">
      <c r="F275" s="18">
        <f t="shared" si="24"/>
        <v>0</v>
      </c>
      <c r="G275" s="1" t="str">
        <f t="shared" si="27"/>
        <v/>
      </c>
      <c r="M275" s="18">
        <f t="shared" si="25"/>
        <v>0</v>
      </c>
      <c r="N275" s="1" t="str">
        <f t="shared" si="28"/>
        <v/>
      </c>
      <c r="T275" s="18">
        <f t="shared" si="26"/>
        <v>0</v>
      </c>
      <c r="U275" s="1" t="str">
        <f t="shared" si="29"/>
        <v/>
      </c>
      <c r="W275" s="21" t="str">
        <f>IF(C275&gt;0,CONCATENATE("0x",(DEC2HEX(IF(B275&lt;&gt;"",VLOOKUP(B275,Notes!$A$2:$B$37,2,FALSE)*1024,0) + C275*16 + IF(D275="",7,D275)*2 + IF(E275&gt;0, 1, 0))),","),"")</f>
        <v/>
      </c>
      <c r="X275" s="21" t="str">
        <f>IF(J275&gt;0,CONCATENATE("0x",(DEC2HEX(IF(I275&lt;&gt;"",VLOOKUP(I275,Notes!$A$2:$B$37,2,FALSE)*1024,0) + J275*16 + IF(K275="",7,K275)*2 + IF(L275&gt;0, 1, 0))),","),"")</f>
        <v/>
      </c>
      <c r="Y275" s="21" t="str">
        <f>IF(Q275&gt;0,CONCATENATE("0x",(DEC2HEX(IF(P275&lt;&gt;"",VLOOKUP(P275,Notes!$A$2:$B$37,2,FALSE)*1024,0) + Q275*16 + IF(R275="",7,R275)*2 + IF(S275&gt;0, 1, 0))),","),"")</f>
        <v/>
      </c>
    </row>
    <row r="276" spans="2:25" x14ac:dyDescent="0.25">
      <c r="F276" s="18">
        <f t="shared" si="24"/>
        <v>0</v>
      </c>
      <c r="G276" s="1" t="str">
        <f t="shared" si="27"/>
        <v/>
      </c>
      <c r="M276" s="18">
        <f t="shared" si="25"/>
        <v>0</v>
      </c>
      <c r="N276" s="1" t="str">
        <f t="shared" si="28"/>
        <v/>
      </c>
      <c r="T276" s="18">
        <f t="shared" si="26"/>
        <v>0</v>
      </c>
      <c r="U276" s="1" t="str">
        <f t="shared" si="29"/>
        <v/>
      </c>
      <c r="W276" s="21" t="str">
        <f>IF(C276&gt;0,CONCATENATE("0x",(DEC2HEX(IF(B276&lt;&gt;"",VLOOKUP(B276,Notes!$A$2:$B$37,2,FALSE)*1024,0) + C276*16 + IF(D276="",7,D276)*2 + IF(E276&gt;0, 1, 0))),","),"")</f>
        <v/>
      </c>
      <c r="X276" s="21" t="str">
        <f>IF(J276&gt;0,CONCATENATE("0x",(DEC2HEX(IF(I276&lt;&gt;"",VLOOKUP(I276,Notes!$A$2:$B$37,2,FALSE)*1024,0) + J276*16 + IF(K276="",7,K276)*2 + IF(L276&gt;0, 1, 0))),","),"")</f>
        <v/>
      </c>
      <c r="Y276" s="21" t="str">
        <f>IF(Q276&gt;0,CONCATENATE("0x",(DEC2HEX(IF(P276&lt;&gt;"",VLOOKUP(P276,Notes!$A$2:$B$37,2,FALSE)*1024,0) + Q276*16 + IF(R276="",7,R276)*2 + IF(S276&gt;0, 1, 0))),","),"")</f>
        <v/>
      </c>
    </row>
    <row r="277" spans="2:25" x14ac:dyDescent="0.25">
      <c r="F277" s="18">
        <f t="shared" si="24"/>
        <v>0</v>
      </c>
      <c r="G277" s="1" t="str">
        <f t="shared" si="27"/>
        <v/>
      </c>
      <c r="M277" s="18">
        <f t="shared" si="25"/>
        <v>0</v>
      </c>
      <c r="N277" s="1" t="str">
        <f t="shared" si="28"/>
        <v/>
      </c>
      <c r="T277" s="18">
        <f t="shared" si="26"/>
        <v>0</v>
      </c>
      <c r="U277" s="1" t="str">
        <f t="shared" si="29"/>
        <v/>
      </c>
      <c r="W277" s="21" t="str">
        <f>IF(C277&gt;0,CONCATENATE("0x",(DEC2HEX(IF(B277&lt;&gt;"",VLOOKUP(B277,Notes!$A$2:$B$37,2,FALSE)*1024,0) + C277*16 + IF(D277="",7,D277)*2 + IF(E277&gt;0, 1, 0))),","),"")</f>
        <v/>
      </c>
      <c r="X277" s="21" t="str">
        <f>IF(J277&gt;0,CONCATENATE("0x",(DEC2HEX(IF(I277&lt;&gt;"",VLOOKUP(I277,Notes!$A$2:$B$37,2,FALSE)*1024,0) + J277*16 + IF(K277="",7,K277)*2 + IF(L277&gt;0, 1, 0))),","),"")</f>
        <v/>
      </c>
      <c r="Y277" s="21" t="str">
        <f>IF(Q277&gt;0,CONCATENATE("0x",(DEC2HEX(IF(P277&lt;&gt;"",VLOOKUP(P277,Notes!$A$2:$B$37,2,FALSE)*1024,0) + Q277*16 + IF(R277="",7,R277)*2 + IF(S277&gt;0, 1, 0))),","),"")</f>
        <v/>
      </c>
    </row>
    <row r="278" spans="2:25" x14ac:dyDescent="0.25">
      <c r="F278" s="18">
        <f t="shared" si="24"/>
        <v>0</v>
      </c>
      <c r="G278" s="1" t="str">
        <f t="shared" si="27"/>
        <v/>
      </c>
      <c r="M278" s="18">
        <f t="shared" si="25"/>
        <v>0</v>
      </c>
      <c r="N278" s="1" t="str">
        <f t="shared" si="28"/>
        <v/>
      </c>
      <c r="T278" s="18">
        <f t="shared" si="26"/>
        <v>0</v>
      </c>
      <c r="U278" s="1" t="str">
        <f t="shared" si="29"/>
        <v/>
      </c>
      <c r="W278" s="21" t="str">
        <f>IF(C278&gt;0,CONCATENATE("0x",(DEC2HEX(IF(B278&lt;&gt;"",VLOOKUP(B278,Notes!$A$2:$B$37,2,FALSE)*1024,0) + C278*16 + IF(D278="",7,D278)*2 + IF(E278&gt;0, 1, 0))),","),"")</f>
        <v/>
      </c>
      <c r="X278" s="21" t="str">
        <f>IF(J278&gt;0,CONCATENATE("0x",(DEC2HEX(IF(I278&lt;&gt;"",VLOOKUP(I278,Notes!$A$2:$B$37,2,FALSE)*1024,0) + J278*16 + IF(K278="",7,K278)*2 + IF(L278&gt;0, 1, 0))),","),"")</f>
        <v/>
      </c>
      <c r="Y278" s="21" t="str">
        <f>IF(Q278&gt;0,CONCATENATE("0x",(DEC2HEX(IF(P278&lt;&gt;"",VLOOKUP(P278,Notes!$A$2:$B$37,2,FALSE)*1024,0) + Q278*16 + IF(R278="",7,R278)*2 + IF(S278&gt;0, 1, 0))),","),"")</f>
        <v/>
      </c>
    </row>
    <row r="279" spans="2:25" x14ac:dyDescent="0.25">
      <c r="F279" s="18">
        <f t="shared" si="24"/>
        <v>0</v>
      </c>
      <c r="G279" s="1" t="str">
        <f t="shared" si="27"/>
        <v/>
      </c>
      <c r="M279" s="18">
        <f t="shared" si="25"/>
        <v>0</v>
      </c>
      <c r="N279" s="1" t="str">
        <f t="shared" si="28"/>
        <v/>
      </c>
      <c r="T279" s="18">
        <f t="shared" si="26"/>
        <v>0</v>
      </c>
      <c r="U279" s="1" t="str">
        <f t="shared" si="29"/>
        <v/>
      </c>
      <c r="W279" s="21" t="str">
        <f>IF(C279&gt;0,CONCATENATE("0x",(DEC2HEX(IF(B279&lt;&gt;"",VLOOKUP(B279,Notes!$A$2:$B$37,2,FALSE)*1024,0) + C279*16 + IF(D279="",7,D279)*2 + IF(E279&gt;0, 1, 0))),","),"")</f>
        <v/>
      </c>
      <c r="X279" s="21" t="str">
        <f>IF(J279&gt;0,CONCATENATE("0x",(DEC2HEX(IF(I279&lt;&gt;"",VLOOKUP(I279,Notes!$A$2:$B$37,2,FALSE)*1024,0) + J279*16 + IF(K279="",7,K279)*2 + IF(L279&gt;0, 1, 0))),","),"")</f>
        <v/>
      </c>
      <c r="Y279" s="21" t="str">
        <f>IF(Q279&gt;0,CONCATENATE("0x",(DEC2HEX(IF(P279&lt;&gt;"",VLOOKUP(P279,Notes!$A$2:$B$37,2,FALSE)*1024,0) + Q279*16 + IF(R279="",7,R279)*2 + IF(S279&gt;0, 1, 0))),","),"")</f>
        <v/>
      </c>
    </row>
    <row r="280" spans="2:25" x14ac:dyDescent="0.25">
      <c r="F280" s="18">
        <f t="shared" si="24"/>
        <v>0</v>
      </c>
      <c r="G280" s="1" t="str">
        <f t="shared" si="27"/>
        <v/>
      </c>
      <c r="M280" s="18">
        <f t="shared" si="25"/>
        <v>0</v>
      </c>
      <c r="N280" s="1" t="str">
        <f t="shared" si="28"/>
        <v/>
      </c>
      <c r="T280" s="18">
        <f t="shared" si="26"/>
        <v>0</v>
      </c>
      <c r="U280" s="1" t="str">
        <f t="shared" si="29"/>
        <v/>
      </c>
      <c r="W280" s="21" t="str">
        <f>IF(C280&gt;0,CONCATENATE("0x",(DEC2HEX(IF(B280&lt;&gt;"",VLOOKUP(B280,Notes!$A$2:$B$37,2,FALSE)*1024,0) + C280*16 + IF(D280="",7,D280)*2 + IF(E280&gt;0, 1, 0))),","),"")</f>
        <v/>
      </c>
      <c r="X280" s="21" t="str">
        <f>IF(J280&gt;0,CONCATENATE("0x",(DEC2HEX(IF(I280&lt;&gt;"",VLOOKUP(I280,Notes!$A$2:$B$37,2,FALSE)*1024,0) + J280*16 + IF(K280="",7,K280)*2 + IF(L280&gt;0, 1, 0))),","),"")</f>
        <v/>
      </c>
      <c r="Y280" s="21" t="str">
        <f>IF(Q280&gt;0,CONCATENATE("0x",(DEC2HEX(IF(P280&lt;&gt;"",VLOOKUP(P280,Notes!$A$2:$B$37,2,FALSE)*1024,0) + Q280*16 + IF(R280="",7,R280)*2 + IF(S280&gt;0, 1, 0))),","),"")</f>
        <v/>
      </c>
    </row>
    <row r="281" spans="2:25" x14ac:dyDescent="0.25">
      <c r="B281" s="12"/>
      <c r="C281" s="13"/>
      <c r="D281" s="13"/>
      <c r="E281" s="14"/>
      <c r="F281" s="18">
        <f t="shared" si="24"/>
        <v>0</v>
      </c>
      <c r="G281" s="1" t="str">
        <f t="shared" si="27"/>
        <v/>
      </c>
      <c r="I281" s="12"/>
      <c r="J281" s="13"/>
      <c r="K281" s="13"/>
      <c r="L281" s="14"/>
      <c r="M281" s="18">
        <f t="shared" si="25"/>
        <v>0</v>
      </c>
      <c r="N281" s="1" t="str">
        <f t="shared" si="28"/>
        <v/>
      </c>
      <c r="P281" s="12"/>
      <c r="Q281" s="13"/>
      <c r="R281" s="13"/>
      <c r="S281" s="14"/>
      <c r="T281" s="18">
        <f t="shared" si="26"/>
        <v>0</v>
      </c>
      <c r="U281" s="1" t="str">
        <f t="shared" si="29"/>
        <v/>
      </c>
      <c r="W281" s="21" t="str">
        <f>IF(C281&gt;0,CONCATENATE("0x",(DEC2HEX(IF(B281&lt;&gt;"",VLOOKUP(B281,Notes!$A$2:$B$37,2,FALSE)*1024,0) + C281*16 + IF(D281="",7,D281)*2 + IF(E281&gt;0, 1, 0))),","),"")</f>
        <v/>
      </c>
      <c r="X281" s="21" t="str">
        <f>IF(J281&gt;0,CONCATENATE("0x",(DEC2HEX(IF(I281&lt;&gt;"",VLOOKUP(I281,Notes!$A$2:$B$37,2,FALSE)*1024,0) + J281*16 + IF(K281="",7,K281)*2 + IF(L281&gt;0, 1, 0))),","),"")</f>
        <v/>
      </c>
      <c r="Y281" s="21" t="str">
        <f>IF(Q281&gt;0,CONCATENATE("0x",(DEC2HEX(IF(P281&lt;&gt;"",VLOOKUP(P281,Notes!$A$2:$B$37,2,FALSE)*1024,0) + Q281*16 + IF(R281="",7,R281)*2 + IF(S281&gt;0, 1, 0))),","),"")</f>
        <v/>
      </c>
    </row>
    <row r="282" spans="2:25" x14ac:dyDescent="0.25">
      <c r="F282" s="18">
        <f t="shared" si="24"/>
        <v>0</v>
      </c>
      <c r="G282" s="1" t="str">
        <f t="shared" si="27"/>
        <v/>
      </c>
      <c r="M282" s="18">
        <f t="shared" si="25"/>
        <v>0</v>
      </c>
      <c r="N282" s="1" t="str">
        <f t="shared" si="28"/>
        <v/>
      </c>
      <c r="T282" s="18">
        <f t="shared" si="26"/>
        <v>0</v>
      </c>
      <c r="U282" s="1" t="str">
        <f t="shared" si="29"/>
        <v/>
      </c>
      <c r="W282" s="21" t="str">
        <f>IF(C282&gt;0,CONCATENATE("0x",(DEC2HEX(IF(B282&lt;&gt;"",VLOOKUP(B282,Notes!$A$2:$B$37,2,FALSE)*1024,0) + C282*16 + IF(D282="",7,D282)*2 + IF(E282&gt;0, 1, 0))),","),"")</f>
        <v/>
      </c>
      <c r="X282" s="21" t="str">
        <f>IF(J282&gt;0,CONCATENATE("0x",(DEC2HEX(IF(I282&lt;&gt;"",VLOOKUP(I282,Notes!$A$2:$B$37,2,FALSE)*1024,0) + J282*16 + IF(K282="",7,K282)*2 + IF(L282&gt;0, 1, 0))),","),"")</f>
        <v/>
      </c>
      <c r="Y282" s="21" t="str">
        <f>IF(Q282&gt;0,CONCATENATE("0x",(DEC2HEX(IF(P282&lt;&gt;"",VLOOKUP(P282,Notes!$A$2:$B$37,2,FALSE)*1024,0) + Q282*16 + IF(R282="",7,R282)*2 + IF(S282&gt;0, 1, 0))),","),"")</f>
        <v/>
      </c>
    </row>
    <row r="283" spans="2:25" x14ac:dyDescent="0.25">
      <c r="F283" s="18">
        <f t="shared" si="24"/>
        <v>0</v>
      </c>
      <c r="G283" s="1" t="str">
        <f t="shared" si="27"/>
        <v/>
      </c>
      <c r="M283" s="18">
        <f t="shared" si="25"/>
        <v>0</v>
      </c>
      <c r="N283" s="1" t="str">
        <f t="shared" si="28"/>
        <v/>
      </c>
      <c r="T283" s="18">
        <f t="shared" si="26"/>
        <v>0</v>
      </c>
      <c r="U283" s="1" t="str">
        <f t="shared" si="29"/>
        <v/>
      </c>
      <c r="W283" s="21" t="str">
        <f>IF(C283&gt;0,CONCATENATE("0x",(DEC2HEX(IF(B283&lt;&gt;"",VLOOKUP(B283,Notes!$A$2:$B$37,2,FALSE)*1024,0) + C283*16 + IF(D283="",7,D283)*2 + IF(E283&gt;0, 1, 0))),","),"")</f>
        <v/>
      </c>
      <c r="X283" s="21" t="str">
        <f>IF(J283&gt;0,CONCATENATE("0x",(DEC2HEX(IF(I283&lt;&gt;"",VLOOKUP(I283,Notes!$A$2:$B$37,2,FALSE)*1024,0) + J283*16 + IF(K283="",7,K283)*2 + IF(L283&gt;0, 1, 0))),","),"")</f>
        <v/>
      </c>
      <c r="Y283" s="21" t="str">
        <f>IF(Q283&gt;0,CONCATENATE("0x",(DEC2HEX(IF(P283&lt;&gt;"",VLOOKUP(P283,Notes!$A$2:$B$37,2,FALSE)*1024,0) + Q283*16 + IF(R283="",7,R283)*2 + IF(S283&gt;0, 1, 0))),","),"")</f>
        <v/>
      </c>
    </row>
    <row r="284" spans="2:25" x14ac:dyDescent="0.25">
      <c r="F284" s="18">
        <f t="shared" si="24"/>
        <v>0</v>
      </c>
      <c r="G284" s="1" t="str">
        <f t="shared" si="27"/>
        <v/>
      </c>
      <c r="M284" s="18">
        <f t="shared" si="25"/>
        <v>0</v>
      </c>
      <c r="N284" s="1" t="str">
        <f t="shared" si="28"/>
        <v/>
      </c>
      <c r="T284" s="18">
        <f t="shared" si="26"/>
        <v>0</v>
      </c>
      <c r="U284" s="1" t="str">
        <f t="shared" si="29"/>
        <v/>
      </c>
      <c r="W284" s="21" t="str">
        <f>IF(C284&gt;0,CONCATENATE("0x",(DEC2HEX(IF(B284&lt;&gt;"",VLOOKUP(B284,Notes!$A$2:$B$37,2,FALSE)*1024,0) + C284*16 + IF(D284="",7,D284)*2 + IF(E284&gt;0, 1, 0))),","),"")</f>
        <v/>
      </c>
      <c r="X284" s="21" t="str">
        <f>IF(J284&gt;0,CONCATENATE("0x",(DEC2HEX(IF(I284&lt;&gt;"",VLOOKUP(I284,Notes!$A$2:$B$37,2,FALSE)*1024,0) + J284*16 + IF(K284="",7,K284)*2 + IF(L284&gt;0, 1, 0))),","),"")</f>
        <v/>
      </c>
      <c r="Y284" s="21" t="str">
        <f>IF(Q284&gt;0,CONCATENATE("0x",(DEC2HEX(IF(P284&lt;&gt;"",VLOOKUP(P284,Notes!$A$2:$B$37,2,FALSE)*1024,0) + Q284*16 + IF(R284="",7,R284)*2 + IF(S284&gt;0, 1, 0))),","),"")</f>
        <v/>
      </c>
    </row>
    <row r="285" spans="2:25" x14ac:dyDescent="0.25">
      <c r="F285" s="18">
        <f t="shared" si="24"/>
        <v>0</v>
      </c>
      <c r="G285" s="1" t="str">
        <f t="shared" si="27"/>
        <v/>
      </c>
      <c r="M285" s="18">
        <f t="shared" si="25"/>
        <v>0</v>
      </c>
      <c r="N285" s="1" t="str">
        <f t="shared" si="28"/>
        <v/>
      </c>
      <c r="T285" s="18">
        <f t="shared" si="26"/>
        <v>0</v>
      </c>
      <c r="U285" s="1" t="str">
        <f t="shared" si="29"/>
        <v/>
      </c>
      <c r="W285" s="21" t="str">
        <f>IF(C285&gt;0,CONCATENATE("0x",(DEC2HEX(IF(B285&lt;&gt;"",VLOOKUP(B285,Notes!$A$2:$B$37,2,FALSE)*1024,0) + C285*16 + IF(D285="",7,D285)*2 + IF(E285&gt;0, 1, 0))),","),"")</f>
        <v/>
      </c>
      <c r="X285" s="21" t="str">
        <f>IF(J285&gt;0,CONCATENATE("0x",(DEC2HEX(IF(I285&lt;&gt;"",VLOOKUP(I285,Notes!$A$2:$B$37,2,FALSE)*1024,0) + J285*16 + IF(K285="",7,K285)*2 + IF(L285&gt;0, 1, 0))),","),"")</f>
        <v/>
      </c>
      <c r="Y285" s="21" t="str">
        <f>IF(Q285&gt;0,CONCATENATE("0x",(DEC2HEX(IF(P285&lt;&gt;"",VLOOKUP(P285,Notes!$A$2:$B$37,2,FALSE)*1024,0) + Q285*16 + IF(R285="",7,R285)*2 + IF(S285&gt;0, 1, 0))),","),"")</f>
        <v/>
      </c>
    </row>
    <row r="286" spans="2:25" x14ac:dyDescent="0.25">
      <c r="F286" s="18">
        <f t="shared" si="24"/>
        <v>0</v>
      </c>
      <c r="G286" s="1" t="str">
        <f t="shared" si="27"/>
        <v/>
      </c>
      <c r="M286" s="18">
        <f t="shared" si="25"/>
        <v>0</v>
      </c>
      <c r="N286" s="1" t="str">
        <f t="shared" si="28"/>
        <v/>
      </c>
      <c r="T286" s="18">
        <f t="shared" si="26"/>
        <v>0</v>
      </c>
      <c r="U286" s="1" t="str">
        <f t="shared" si="29"/>
        <v/>
      </c>
      <c r="W286" s="21" t="str">
        <f>IF(C286&gt;0,CONCATENATE("0x",(DEC2HEX(IF(B286&lt;&gt;"",VLOOKUP(B286,Notes!$A$2:$B$37,2,FALSE)*1024,0) + C286*16 + IF(D286="",7,D286)*2 + IF(E286&gt;0, 1, 0))),","),"")</f>
        <v/>
      </c>
      <c r="X286" s="21" t="str">
        <f>IF(J286&gt;0,CONCATENATE("0x",(DEC2HEX(IF(I286&lt;&gt;"",VLOOKUP(I286,Notes!$A$2:$B$37,2,FALSE)*1024,0) + J286*16 + IF(K286="",7,K286)*2 + IF(L286&gt;0, 1, 0))),","),"")</f>
        <v/>
      </c>
      <c r="Y286" s="21" t="str">
        <f>IF(Q286&gt;0,CONCATENATE("0x",(DEC2HEX(IF(P286&lt;&gt;"",VLOOKUP(P286,Notes!$A$2:$B$37,2,FALSE)*1024,0) + Q286*16 + IF(R286="",7,R286)*2 + IF(S286&gt;0, 1, 0))),","),"")</f>
        <v/>
      </c>
    </row>
    <row r="287" spans="2:25" x14ac:dyDescent="0.25">
      <c r="F287" s="18">
        <f t="shared" si="24"/>
        <v>0</v>
      </c>
      <c r="G287" s="1" t="str">
        <f t="shared" si="27"/>
        <v/>
      </c>
      <c r="M287" s="18">
        <f t="shared" si="25"/>
        <v>0</v>
      </c>
      <c r="N287" s="1" t="str">
        <f t="shared" si="28"/>
        <v/>
      </c>
      <c r="T287" s="18">
        <f t="shared" si="26"/>
        <v>0</v>
      </c>
      <c r="U287" s="1" t="str">
        <f t="shared" si="29"/>
        <v/>
      </c>
      <c r="W287" s="21" t="str">
        <f>IF(C287&gt;0,CONCATENATE("0x",(DEC2HEX(IF(B287&lt;&gt;"",VLOOKUP(B287,Notes!$A$2:$B$37,2,FALSE)*1024,0) + C287*16 + IF(D287="",7,D287)*2 + IF(E287&gt;0, 1, 0))),","),"")</f>
        <v/>
      </c>
      <c r="X287" s="21" t="str">
        <f>IF(J287&gt;0,CONCATENATE("0x",(DEC2HEX(IF(I287&lt;&gt;"",VLOOKUP(I287,Notes!$A$2:$B$37,2,FALSE)*1024,0) + J287*16 + IF(K287="",7,K287)*2 + IF(L287&gt;0, 1, 0))),","),"")</f>
        <v/>
      </c>
      <c r="Y287" s="21" t="str">
        <f>IF(Q287&gt;0,CONCATENATE("0x",(DEC2HEX(IF(P287&lt;&gt;"",VLOOKUP(P287,Notes!$A$2:$B$37,2,FALSE)*1024,0) + Q287*16 + IF(R287="",7,R287)*2 + IF(S287&gt;0, 1, 0))),","),"")</f>
        <v/>
      </c>
    </row>
    <row r="288" spans="2:25" x14ac:dyDescent="0.25">
      <c r="F288" s="18">
        <f t="shared" si="24"/>
        <v>0</v>
      </c>
      <c r="G288" s="1" t="str">
        <f t="shared" si="27"/>
        <v/>
      </c>
      <c r="M288" s="18">
        <f t="shared" si="25"/>
        <v>0</v>
      </c>
      <c r="N288" s="1" t="str">
        <f t="shared" si="28"/>
        <v/>
      </c>
      <c r="T288" s="18">
        <f t="shared" si="26"/>
        <v>0</v>
      </c>
      <c r="U288" s="1" t="str">
        <f t="shared" si="29"/>
        <v/>
      </c>
      <c r="W288" s="21" t="str">
        <f>IF(C288&gt;0,CONCATENATE("0x",(DEC2HEX(IF(B288&lt;&gt;"",VLOOKUP(B288,Notes!$A$2:$B$37,2,FALSE)*1024,0) + C288*16 + IF(D288="",7,D288)*2 + IF(E288&gt;0, 1, 0))),","),"")</f>
        <v/>
      </c>
      <c r="X288" s="21" t="str">
        <f>IF(J288&gt;0,CONCATENATE("0x",(DEC2HEX(IF(I288&lt;&gt;"",VLOOKUP(I288,Notes!$A$2:$B$37,2,FALSE)*1024,0) + J288*16 + IF(K288="",7,K288)*2 + IF(L288&gt;0, 1, 0))),","),"")</f>
        <v/>
      </c>
      <c r="Y288" s="21" t="str">
        <f>IF(Q288&gt;0,CONCATENATE("0x",(DEC2HEX(IF(P288&lt;&gt;"",VLOOKUP(P288,Notes!$A$2:$B$37,2,FALSE)*1024,0) + Q288*16 + IF(R288="",7,R288)*2 + IF(S288&gt;0, 1, 0))),","),"")</f>
        <v/>
      </c>
    </row>
    <row r="289" spans="1:25" ht="16.5" thickBot="1" x14ac:dyDescent="0.3">
      <c r="B289" s="15"/>
      <c r="C289" s="16"/>
      <c r="D289" s="16"/>
      <c r="E289" s="17"/>
      <c r="F289" s="18">
        <f t="shared" si="24"/>
        <v>0</v>
      </c>
      <c r="G289" s="1" t="str">
        <f t="shared" si="27"/>
        <v/>
      </c>
      <c r="I289" s="15"/>
      <c r="J289" s="16"/>
      <c r="K289" s="16"/>
      <c r="L289" s="17"/>
      <c r="M289" s="18">
        <f t="shared" si="25"/>
        <v>0</v>
      </c>
      <c r="N289" s="1" t="str">
        <f t="shared" si="28"/>
        <v/>
      </c>
      <c r="P289" s="15"/>
      <c r="Q289" s="16"/>
      <c r="R289" s="16"/>
      <c r="S289" s="17"/>
      <c r="T289" s="18">
        <f t="shared" si="26"/>
        <v>0</v>
      </c>
      <c r="U289" s="1" t="str">
        <f t="shared" si="29"/>
        <v/>
      </c>
      <c r="W289" s="21" t="str">
        <f>IF(C289&gt;0,CONCATENATE("0x",(DEC2HEX(IF(B289&lt;&gt;"",VLOOKUP(B289,Notes!$A$2:$B$37,2,FALSE)*1024,0) + C289*16 + IF(D289="",7,D289)*2 + IF(E289&gt;0, 1, 0))),","),"")</f>
        <v/>
      </c>
      <c r="X289" s="21" t="str">
        <f>IF(J289&gt;0,CONCATENATE("0x",(DEC2HEX(IF(I289&lt;&gt;"",VLOOKUP(I289,Notes!$A$2:$B$37,2,FALSE)*1024,0) + J289*16 + IF(K289="",7,K289)*2 + IF(L289&gt;0, 1, 0))),","),"")</f>
        <v/>
      </c>
      <c r="Y289" s="21" t="str">
        <f>IF(Q289&gt;0,CONCATENATE("0x",(DEC2HEX(IF(P289&lt;&gt;"",VLOOKUP(P289,Notes!$A$2:$B$37,2,FALSE)*1024,0) + Q289*16 + IF(R289="",7,R289)*2 + IF(S289&gt;0, 1, 0))),","),"")</f>
        <v/>
      </c>
    </row>
    <row r="290" spans="1:25" ht="16.5" thickTop="1" x14ac:dyDescent="0.25">
      <c r="A290" s="1">
        <v>10</v>
      </c>
      <c r="F290" s="18">
        <f t="shared" si="24"/>
        <v>0</v>
      </c>
      <c r="G290" s="1" t="str">
        <f t="shared" si="27"/>
        <v/>
      </c>
      <c r="M290" s="18">
        <f t="shared" si="25"/>
        <v>0</v>
      </c>
      <c r="N290" s="1" t="str">
        <f t="shared" si="28"/>
        <v/>
      </c>
      <c r="T290" s="18">
        <f t="shared" si="26"/>
        <v>0</v>
      </c>
      <c r="U290" s="1" t="str">
        <f t="shared" si="29"/>
        <v/>
      </c>
      <c r="W290" s="21" t="str">
        <f>IF(C290&gt;0,CONCATENATE("0x",(DEC2HEX(IF(B290&lt;&gt;"",VLOOKUP(B290,Notes!$A$2:$B$37,2,FALSE)*1024,0) + C290*16 + IF(D290="",7,D290)*2 + IF(E290&gt;0, 1, 0))),","),"")</f>
        <v/>
      </c>
      <c r="X290" s="21" t="str">
        <f>IF(J290&gt;0,CONCATENATE("0x",(DEC2HEX(IF(I290&lt;&gt;"",VLOOKUP(I290,Notes!$A$2:$B$37,2,FALSE)*1024,0) + J290*16 + IF(K290="",7,K290)*2 + IF(L290&gt;0, 1, 0))),","),"")</f>
        <v/>
      </c>
      <c r="Y290" s="21" t="str">
        <f>IF(Q290&gt;0,CONCATENATE("0x",(DEC2HEX(IF(P290&lt;&gt;"",VLOOKUP(P290,Notes!$A$2:$B$37,2,FALSE)*1024,0) + Q290*16 + IF(R290="",7,R290)*2 + IF(S290&gt;0, 1, 0))),","),"")</f>
        <v/>
      </c>
    </row>
    <row r="291" spans="1:25" x14ac:dyDescent="0.25">
      <c r="F291" s="18">
        <f t="shared" si="24"/>
        <v>0</v>
      </c>
      <c r="G291" s="1" t="str">
        <f t="shared" si="27"/>
        <v/>
      </c>
      <c r="M291" s="18">
        <f t="shared" si="25"/>
        <v>0</v>
      </c>
      <c r="N291" s="1" t="str">
        <f t="shared" si="28"/>
        <v/>
      </c>
      <c r="T291" s="18">
        <f t="shared" si="26"/>
        <v>0</v>
      </c>
      <c r="U291" s="1" t="str">
        <f t="shared" si="29"/>
        <v/>
      </c>
      <c r="W291" s="21" t="str">
        <f>IF(C291&gt;0,CONCATENATE("0x",(DEC2HEX(IF(B291&lt;&gt;"",VLOOKUP(B291,Notes!$A$2:$B$37,2,FALSE)*1024,0) + C291*16 + IF(D291="",7,D291)*2 + IF(E291&gt;0, 1, 0))),","),"")</f>
        <v/>
      </c>
      <c r="X291" s="21" t="str">
        <f>IF(J291&gt;0,CONCATENATE("0x",(DEC2HEX(IF(I291&lt;&gt;"",VLOOKUP(I291,Notes!$A$2:$B$37,2,FALSE)*1024,0) + J291*16 + IF(K291="",7,K291)*2 + IF(L291&gt;0, 1, 0))),","),"")</f>
        <v/>
      </c>
      <c r="Y291" s="21" t="str">
        <f>IF(Q291&gt;0,CONCATENATE("0x",(DEC2HEX(IF(P291&lt;&gt;"",VLOOKUP(P291,Notes!$A$2:$B$37,2,FALSE)*1024,0) + Q291*16 + IF(R291="",7,R291)*2 + IF(S291&gt;0, 1, 0))),","),"")</f>
        <v/>
      </c>
    </row>
    <row r="292" spans="1:25" x14ac:dyDescent="0.25">
      <c r="F292" s="18">
        <f t="shared" si="24"/>
        <v>0</v>
      </c>
      <c r="G292" s="1" t="str">
        <f t="shared" si="27"/>
        <v/>
      </c>
      <c r="M292" s="18">
        <f t="shared" si="25"/>
        <v>0</v>
      </c>
      <c r="N292" s="1" t="str">
        <f t="shared" si="28"/>
        <v/>
      </c>
      <c r="T292" s="18">
        <f t="shared" si="26"/>
        <v>0</v>
      </c>
      <c r="U292" s="1" t="str">
        <f t="shared" si="29"/>
        <v/>
      </c>
      <c r="W292" s="21" t="str">
        <f>IF(C292&gt;0,CONCATENATE("0x",(DEC2HEX(IF(B292&lt;&gt;"",VLOOKUP(B292,Notes!$A$2:$B$37,2,FALSE)*1024,0) + C292*16 + IF(D292="",7,D292)*2 + IF(E292&gt;0, 1, 0))),","),"")</f>
        <v/>
      </c>
      <c r="X292" s="21" t="str">
        <f>IF(J292&gt;0,CONCATENATE("0x",(DEC2HEX(IF(I292&lt;&gt;"",VLOOKUP(I292,Notes!$A$2:$B$37,2,FALSE)*1024,0) + J292*16 + IF(K292="",7,K292)*2 + IF(L292&gt;0, 1, 0))),","),"")</f>
        <v/>
      </c>
      <c r="Y292" s="21" t="str">
        <f>IF(Q292&gt;0,CONCATENATE("0x",(DEC2HEX(IF(P292&lt;&gt;"",VLOOKUP(P292,Notes!$A$2:$B$37,2,FALSE)*1024,0) + Q292*16 + IF(R292="",7,R292)*2 + IF(S292&gt;0, 1, 0))),","),"")</f>
        <v/>
      </c>
    </row>
    <row r="293" spans="1:25" x14ac:dyDescent="0.25">
      <c r="F293" s="18">
        <f t="shared" si="24"/>
        <v>0</v>
      </c>
      <c r="G293" s="1" t="str">
        <f t="shared" si="27"/>
        <v/>
      </c>
      <c r="M293" s="18">
        <f t="shared" si="25"/>
        <v>0</v>
      </c>
      <c r="N293" s="1" t="str">
        <f t="shared" si="28"/>
        <v/>
      </c>
      <c r="T293" s="18">
        <f t="shared" si="26"/>
        <v>0</v>
      </c>
      <c r="U293" s="1" t="str">
        <f t="shared" si="29"/>
        <v/>
      </c>
      <c r="W293" s="21" t="str">
        <f>IF(C293&gt;0,CONCATENATE("0x",(DEC2HEX(IF(B293&lt;&gt;"",VLOOKUP(B293,Notes!$A$2:$B$37,2,FALSE)*1024,0) + C293*16 + IF(D293="",7,D293)*2 + IF(E293&gt;0, 1, 0))),","),"")</f>
        <v/>
      </c>
      <c r="X293" s="21" t="str">
        <f>IF(J293&gt;0,CONCATENATE("0x",(DEC2HEX(IF(I293&lt;&gt;"",VLOOKUP(I293,Notes!$A$2:$B$37,2,FALSE)*1024,0) + J293*16 + IF(K293="",7,K293)*2 + IF(L293&gt;0, 1, 0))),","),"")</f>
        <v/>
      </c>
      <c r="Y293" s="21" t="str">
        <f>IF(Q293&gt;0,CONCATENATE("0x",(DEC2HEX(IF(P293&lt;&gt;"",VLOOKUP(P293,Notes!$A$2:$B$37,2,FALSE)*1024,0) + Q293*16 + IF(R293="",7,R293)*2 + IF(S293&gt;0, 1, 0))),","),"")</f>
        <v/>
      </c>
    </row>
    <row r="294" spans="1:25" x14ac:dyDescent="0.25">
      <c r="F294" s="18">
        <f t="shared" si="24"/>
        <v>0</v>
      </c>
      <c r="G294" s="1" t="str">
        <f t="shared" si="27"/>
        <v/>
      </c>
      <c r="M294" s="18">
        <f t="shared" si="25"/>
        <v>0</v>
      </c>
      <c r="N294" s="1" t="str">
        <f t="shared" si="28"/>
        <v/>
      </c>
      <c r="T294" s="18">
        <f t="shared" si="26"/>
        <v>0</v>
      </c>
      <c r="U294" s="1" t="str">
        <f t="shared" si="29"/>
        <v/>
      </c>
      <c r="W294" s="21" t="str">
        <f>IF(C294&gt;0,CONCATENATE("0x",(DEC2HEX(IF(B294&lt;&gt;"",VLOOKUP(B294,Notes!$A$2:$B$37,2,FALSE)*1024,0) + C294*16 + IF(D294="",7,D294)*2 + IF(E294&gt;0, 1, 0))),","),"")</f>
        <v/>
      </c>
      <c r="X294" s="21" t="str">
        <f>IF(J294&gt;0,CONCATENATE("0x",(DEC2HEX(IF(I294&lt;&gt;"",VLOOKUP(I294,Notes!$A$2:$B$37,2,FALSE)*1024,0) + J294*16 + IF(K294="",7,K294)*2 + IF(L294&gt;0, 1, 0))),","),"")</f>
        <v/>
      </c>
      <c r="Y294" s="21" t="str">
        <f>IF(Q294&gt;0,CONCATENATE("0x",(DEC2HEX(IF(P294&lt;&gt;"",VLOOKUP(P294,Notes!$A$2:$B$37,2,FALSE)*1024,0) + Q294*16 + IF(R294="",7,R294)*2 + IF(S294&gt;0, 1, 0))),","),"")</f>
        <v/>
      </c>
    </row>
    <row r="295" spans="1:25" x14ac:dyDescent="0.25">
      <c r="F295" s="18">
        <f t="shared" si="24"/>
        <v>0</v>
      </c>
      <c r="G295" s="1" t="str">
        <f t="shared" si="27"/>
        <v/>
      </c>
      <c r="M295" s="18">
        <f t="shared" si="25"/>
        <v>0</v>
      </c>
      <c r="N295" s="1" t="str">
        <f t="shared" si="28"/>
        <v/>
      </c>
      <c r="T295" s="18">
        <f t="shared" si="26"/>
        <v>0</v>
      </c>
      <c r="U295" s="1" t="str">
        <f t="shared" si="29"/>
        <v/>
      </c>
      <c r="W295" s="21" t="str">
        <f>IF(C295&gt;0,CONCATENATE("0x",(DEC2HEX(IF(B295&lt;&gt;"",VLOOKUP(B295,Notes!$A$2:$B$37,2,FALSE)*1024,0) + C295*16 + IF(D295="",7,D295)*2 + IF(E295&gt;0, 1, 0))),","),"")</f>
        <v/>
      </c>
      <c r="X295" s="21" t="str">
        <f>IF(J295&gt;0,CONCATENATE("0x",(DEC2HEX(IF(I295&lt;&gt;"",VLOOKUP(I295,Notes!$A$2:$B$37,2,FALSE)*1024,0) + J295*16 + IF(K295="",7,K295)*2 + IF(L295&gt;0, 1, 0))),","),"")</f>
        <v/>
      </c>
      <c r="Y295" s="21" t="str">
        <f>IF(Q295&gt;0,CONCATENATE("0x",(DEC2HEX(IF(P295&lt;&gt;"",VLOOKUP(P295,Notes!$A$2:$B$37,2,FALSE)*1024,0) + Q295*16 + IF(R295="",7,R295)*2 + IF(S295&gt;0, 1, 0))),","),"")</f>
        <v/>
      </c>
    </row>
    <row r="296" spans="1:25" x14ac:dyDescent="0.25">
      <c r="F296" s="18">
        <f t="shared" si="24"/>
        <v>0</v>
      </c>
      <c r="G296" s="1" t="str">
        <f t="shared" si="27"/>
        <v/>
      </c>
      <c r="M296" s="18">
        <f t="shared" si="25"/>
        <v>0</v>
      </c>
      <c r="N296" s="1" t="str">
        <f t="shared" si="28"/>
        <v/>
      </c>
      <c r="T296" s="18">
        <f t="shared" si="26"/>
        <v>0</v>
      </c>
      <c r="U296" s="1" t="str">
        <f t="shared" si="29"/>
        <v/>
      </c>
      <c r="W296" s="21" t="str">
        <f>IF(C296&gt;0,CONCATENATE("0x",(DEC2HEX(IF(B296&lt;&gt;"",VLOOKUP(B296,Notes!$A$2:$B$37,2,FALSE)*1024,0) + C296*16 + IF(D296="",7,D296)*2 + IF(E296&gt;0, 1, 0))),","),"")</f>
        <v/>
      </c>
      <c r="X296" s="21" t="str">
        <f>IF(J296&gt;0,CONCATENATE("0x",(DEC2HEX(IF(I296&lt;&gt;"",VLOOKUP(I296,Notes!$A$2:$B$37,2,FALSE)*1024,0) + J296*16 + IF(K296="",7,K296)*2 + IF(L296&gt;0, 1, 0))),","),"")</f>
        <v/>
      </c>
      <c r="Y296" s="21" t="str">
        <f>IF(Q296&gt;0,CONCATENATE("0x",(DEC2HEX(IF(P296&lt;&gt;"",VLOOKUP(P296,Notes!$A$2:$B$37,2,FALSE)*1024,0) + Q296*16 + IF(R296="",7,R296)*2 + IF(S296&gt;0, 1, 0))),","),"")</f>
        <v/>
      </c>
    </row>
    <row r="297" spans="1:25" x14ac:dyDescent="0.25">
      <c r="B297" s="12"/>
      <c r="C297" s="13"/>
      <c r="D297" s="13"/>
      <c r="E297" s="14"/>
      <c r="F297" s="18">
        <f t="shared" si="24"/>
        <v>0</v>
      </c>
      <c r="G297" s="1" t="str">
        <f t="shared" si="27"/>
        <v/>
      </c>
      <c r="I297" s="12"/>
      <c r="J297" s="13"/>
      <c r="K297" s="13"/>
      <c r="L297" s="14"/>
      <c r="M297" s="18">
        <f t="shared" si="25"/>
        <v>0</v>
      </c>
      <c r="N297" s="1" t="str">
        <f t="shared" si="28"/>
        <v/>
      </c>
      <c r="P297" s="12"/>
      <c r="Q297" s="13"/>
      <c r="R297" s="13"/>
      <c r="S297" s="14"/>
      <c r="T297" s="18">
        <f t="shared" si="26"/>
        <v>0</v>
      </c>
      <c r="U297" s="1" t="str">
        <f t="shared" si="29"/>
        <v/>
      </c>
      <c r="W297" s="21" t="str">
        <f>IF(C297&gt;0,CONCATENATE("0x",(DEC2HEX(IF(B297&lt;&gt;"",VLOOKUP(B297,Notes!$A$2:$B$37,2,FALSE)*1024,0) + C297*16 + IF(D297="",7,D297)*2 + IF(E297&gt;0, 1, 0))),","),"")</f>
        <v/>
      </c>
      <c r="X297" s="21" t="str">
        <f>IF(J297&gt;0,CONCATENATE("0x",(DEC2HEX(IF(I297&lt;&gt;"",VLOOKUP(I297,Notes!$A$2:$B$37,2,FALSE)*1024,0) + J297*16 + IF(K297="",7,K297)*2 + IF(L297&gt;0, 1, 0))),","),"")</f>
        <v/>
      </c>
      <c r="Y297" s="21" t="str">
        <f>IF(Q297&gt;0,CONCATENATE("0x",(DEC2HEX(IF(P297&lt;&gt;"",VLOOKUP(P297,Notes!$A$2:$B$37,2,FALSE)*1024,0) + Q297*16 + IF(R297="",7,R297)*2 + IF(S297&gt;0, 1, 0))),","),"")</f>
        <v/>
      </c>
    </row>
    <row r="298" spans="1:25" x14ac:dyDescent="0.25">
      <c r="F298" s="18">
        <f t="shared" si="24"/>
        <v>0</v>
      </c>
      <c r="G298" s="1" t="str">
        <f t="shared" si="27"/>
        <v/>
      </c>
      <c r="M298" s="18">
        <f t="shared" si="25"/>
        <v>0</v>
      </c>
      <c r="N298" s="1" t="str">
        <f t="shared" si="28"/>
        <v/>
      </c>
      <c r="T298" s="18">
        <f t="shared" si="26"/>
        <v>0</v>
      </c>
      <c r="U298" s="1" t="str">
        <f t="shared" si="29"/>
        <v/>
      </c>
      <c r="W298" s="21" t="str">
        <f>IF(C298&gt;0,CONCATENATE("0x",(DEC2HEX(IF(B298&lt;&gt;"",VLOOKUP(B298,Notes!$A$2:$B$37,2,FALSE)*1024,0) + C298*16 + IF(D298="",7,D298)*2 + IF(E298&gt;0, 1, 0))),","),"")</f>
        <v/>
      </c>
      <c r="X298" s="21" t="str">
        <f>IF(J298&gt;0,CONCATENATE("0x",(DEC2HEX(IF(I298&lt;&gt;"",VLOOKUP(I298,Notes!$A$2:$B$37,2,FALSE)*1024,0) + J298*16 + IF(K298="",7,K298)*2 + IF(L298&gt;0, 1, 0))),","),"")</f>
        <v/>
      </c>
      <c r="Y298" s="21" t="str">
        <f>IF(Q298&gt;0,CONCATENATE("0x",(DEC2HEX(IF(P298&lt;&gt;"",VLOOKUP(P298,Notes!$A$2:$B$37,2,FALSE)*1024,0) + Q298*16 + IF(R298="",7,R298)*2 + IF(S298&gt;0, 1, 0))),","),"")</f>
        <v/>
      </c>
    </row>
    <row r="299" spans="1:25" x14ac:dyDescent="0.25">
      <c r="F299" s="18">
        <f t="shared" si="24"/>
        <v>0</v>
      </c>
      <c r="G299" s="1" t="str">
        <f t="shared" si="27"/>
        <v/>
      </c>
      <c r="M299" s="18">
        <f t="shared" si="25"/>
        <v>0</v>
      </c>
      <c r="N299" s="1" t="str">
        <f t="shared" si="28"/>
        <v/>
      </c>
      <c r="T299" s="18">
        <f t="shared" si="26"/>
        <v>0</v>
      </c>
      <c r="U299" s="1" t="str">
        <f t="shared" si="29"/>
        <v/>
      </c>
      <c r="W299" s="21" t="str">
        <f>IF(C299&gt;0,CONCATENATE("0x",(DEC2HEX(IF(B299&lt;&gt;"",VLOOKUP(B299,Notes!$A$2:$B$37,2,FALSE)*1024,0) + C299*16 + IF(D299="",7,D299)*2 + IF(E299&gt;0, 1, 0))),","),"")</f>
        <v/>
      </c>
      <c r="X299" s="21" t="str">
        <f>IF(J299&gt;0,CONCATENATE("0x",(DEC2HEX(IF(I299&lt;&gt;"",VLOOKUP(I299,Notes!$A$2:$B$37,2,FALSE)*1024,0) + J299*16 + IF(K299="",7,K299)*2 + IF(L299&gt;0, 1, 0))),","),"")</f>
        <v/>
      </c>
      <c r="Y299" s="21" t="str">
        <f>IF(Q299&gt;0,CONCATENATE("0x",(DEC2HEX(IF(P299&lt;&gt;"",VLOOKUP(P299,Notes!$A$2:$B$37,2,FALSE)*1024,0) + Q299*16 + IF(R299="",7,R299)*2 + IF(S299&gt;0, 1, 0))),","),"")</f>
        <v/>
      </c>
    </row>
    <row r="300" spans="1:25" x14ac:dyDescent="0.25">
      <c r="F300" s="18">
        <f t="shared" si="24"/>
        <v>0</v>
      </c>
      <c r="G300" s="1" t="str">
        <f t="shared" si="27"/>
        <v/>
      </c>
      <c r="M300" s="18">
        <f t="shared" si="25"/>
        <v>0</v>
      </c>
      <c r="N300" s="1" t="str">
        <f t="shared" si="28"/>
        <v/>
      </c>
      <c r="T300" s="18">
        <f t="shared" si="26"/>
        <v>0</v>
      </c>
      <c r="U300" s="1" t="str">
        <f t="shared" si="29"/>
        <v/>
      </c>
      <c r="W300" s="21" t="str">
        <f>IF(C300&gt;0,CONCATENATE("0x",(DEC2HEX(IF(B300&lt;&gt;"",VLOOKUP(B300,Notes!$A$2:$B$37,2,FALSE)*1024,0) + C300*16 + IF(D300="",7,D300)*2 + IF(E300&gt;0, 1, 0))),","),"")</f>
        <v/>
      </c>
      <c r="X300" s="21" t="str">
        <f>IF(J300&gt;0,CONCATENATE("0x",(DEC2HEX(IF(I300&lt;&gt;"",VLOOKUP(I300,Notes!$A$2:$B$37,2,FALSE)*1024,0) + J300*16 + IF(K300="",7,K300)*2 + IF(L300&gt;0, 1, 0))),","),"")</f>
        <v/>
      </c>
      <c r="Y300" s="21" t="str">
        <f>IF(Q300&gt;0,CONCATENATE("0x",(DEC2HEX(IF(P300&lt;&gt;"",VLOOKUP(P300,Notes!$A$2:$B$37,2,FALSE)*1024,0) + Q300*16 + IF(R300="",7,R300)*2 + IF(S300&gt;0, 1, 0))),","),"")</f>
        <v/>
      </c>
    </row>
    <row r="301" spans="1:25" x14ac:dyDescent="0.25">
      <c r="F301" s="18">
        <f t="shared" si="24"/>
        <v>0</v>
      </c>
      <c r="G301" s="1" t="str">
        <f t="shared" si="27"/>
        <v/>
      </c>
      <c r="M301" s="18">
        <f t="shared" si="25"/>
        <v>0</v>
      </c>
      <c r="N301" s="1" t="str">
        <f t="shared" si="28"/>
        <v/>
      </c>
      <c r="T301" s="18">
        <f t="shared" si="26"/>
        <v>0</v>
      </c>
      <c r="U301" s="1" t="str">
        <f t="shared" si="29"/>
        <v/>
      </c>
      <c r="W301" s="21" t="str">
        <f>IF(C301&gt;0,CONCATENATE("0x",(DEC2HEX(IF(B301&lt;&gt;"",VLOOKUP(B301,Notes!$A$2:$B$37,2,FALSE)*1024,0) + C301*16 + IF(D301="",7,D301)*2 + IF(E301&gt;0, 1, 0))),","),"")</f>
        <v/>
      </c>
      <c r="X301" s="21" t="str">
        <f>IF(J301&gt;0,CONCATENATE("0x",(DEC2HEX(IF(I301&lt;&gt;"",VLOOKUP(I301,Notes!$A$2:$B$37,2,FALSE)*1024,0) + J301*16 + IF(K301="",7,K301)*2 + IF(L301&gt;0, 1, 0))),","),"")</f>
        <v/>
      </c>
      <c r="Y301" s="21" t="str">
        <f>IF(Q301&gt;0,CONCATENATE("0x",(DEC2HEX(IF(P301&lt;&gt;"",VLOOKUP(P301,Notes!$A$2:$B$37,2,FALSE)*1024,0) + Q301*16 + IF(R301="",7,R301)*2 + IF(S301&gt;0, 1, 0))),","),"")</f>
        <v/>
      </c>
    </row>
    <row r="302" spans="1:25" x14ac:dyDescent="0.25">
      <c r="F302" s="18">
        <f t="shared" si="24"/>
        <v>0</v>
      </c>
      <c r="G302" s="1" t="str">
        <f t="shared" si="27"/>
        <v/>
      </c>
      <c r="M302" s="18">
        <f t="shared" si="25"/>
        <v>0</v>
      </c>
      <c r="N302" s="1" t="str">
        <f t="shared" si="28"/>
        <v/>
      </c>
      <c r="T302" s="18">
        <f t="shared" si="26"/>
        <v>0</v>
      </c>
      <c r="U302" s="1" t="str">
        <f t="shared" si="29"/>
        <v/>
      </c>
      <c r="W302" s="21" t="str">
        <f>IF(C302&gt;0,CONCATENATE("0x",(DEC2HEX(IF(B302&lt;&gt;"",VLOOKUP(B302,Notes!$A$2:$B$37,2,FALSE)*1024,0) + C302*16 + IF(D302="",7,D302)*2 + IF(E302&gt;0, 1, 0))),","),"")</f>
        <v/>
      </c>
      <c r="X302" s="21" t="str">
        <f>IF(J302&gt;0,CONCATENATE("0x",(DEC2HEX(IF(I302&lt;&gt;"",VLOOKUP(I302,Notes!$A$2:$B$37,2,FALSE)*1024,0) + J302*16 + IF(K302="",7,K302)*2 + IF(L302&gt;0, 1, 0))),","),"")</f>
        <v/>
      </c>
      <c r="Y302" s="21" t="str">
        <f>IF(Q302&gt;0,CONCATENATE("0x",(DEC2HEX(IF(P302&lt;&gt;"",VLOOKUP(P302,Notes!$A$2:$B$37,2,FALSE)*1024,0) + Q302*16 + IF(R302="",7,R302)*2 + IF(S302&gt;0, 1, 0))),","),"")</f>
        <v/>
      </c>
    </row>
    <row r="303" spans="1:25" x14ac:dyDescent="0.25">
      <c r="F303" s="18">
        <f t="shared" si="24"/>
        <v>0</v>
      </c>
      <c r="G303" s="1" t="str">
        <f t="shared" si="27"/>
        <v/>
      </c>
      <c r="M303" s="18">
        <f t="shared" si="25"/>
        <v>0</v>
      </c>
      <c r="N303" s="1" t="str">
        <f t="shared" si="28"/>
        <v/>
      </c>
      <c r="T303" s="18">
        <f t="shared" si="26"/>
        <v>0</v>
      </c>
      <c r="U303" s="1" t="str">
        <f t="shared" si="29"/>
        <v/>
      </c>
      <c r="W303" s="21" t="str">
        <f>IF(C303&gt;0,CONCATENATE("0x",(DEC2HEX(IF(B303&lt;&gt;"",VLOOKUP(B303,Notes!$A$2:$B$37,2,FALSE)*1024,0) + C303*16 + IF(D303="",7,D303)*2 + IF(E303&gt;0, 1, 0))),","),"")</f>
        <v/>
      </c>
      <c r="X303" s="21" t="str">
        <f>IF(J303&gt;0,CONCATENATE("0x",(DEC2HEX(IF(I303&lt;&gt;"",VLOOKUP(I303,Notes!$A$2:$B$37,2,FALSE)*1024,0) + J303*16 + IF(K303="",7,K303)*2 + IF(L303&gt;0, 1, 0))),","),"")</f>
        <v/>
      </c>
      <c r="Y303" s="21" t="str">
        <f>IF(Q303&gt;0,CONCATENATE("0x",(DEC2HEX(IF(P303&lt;&gt;"",VLOOKUP(P303,Notes!$A$2:$B$37,2,FALSE)*1024,0) + Q303*16 + IF(R303="",7,R303)*2 + IF(S303&gt;0, 1, 0))),","),"")</f>
        <v/>
      </c>
    </row>
    <row r="304" spans="1:25" x14ac:dyDescent="0.25">
      <c r="F304" s="18">
        <f t="shared" si="24"/>
        <v>0</v>
      </c>
      <c r="G304" s="1" t="str">
        <f t="shared" si="27"/>
        <v/>
      </c>
      <c r="M304" s="18">
        <f t="shared" si="25"/>
        <v>0</v>
      </c>
      <c r="N304" s="1" t="str">
        <f t="shared" si="28"/>
        <v/>
      </c>
      <c r="T304" s="18">
        <f t="shared" si="26"/>
        <v>0</v>
      </c>
      <c r="U304" s="1" t="str">
        <f t="shared" si="29"/>
        <v/>
      </c>
      <c r="W304" s="21" t="str">
        <f>IF(C304&gt;0,CONCATENATE("0x",(DEC2HEX(IF(B304&lt;&gt;"",VLOOKUP(B304,Notes!$A$2:$B$37,2,FALSE)*1024,0) + C304*16 + IF(D304="",7,D304)*2 + IF(E304&gt;0, 1, 0))),","),"")</f>
        <v/>
      </c>
      <c r="X304" s="21" t="str">
        <f>IF(J304&gt;0,CONCATENATE("0x",(DEC2HEX(IF(I304&lt;&gt;"",VLOOKUP(I304,Notes!$A$2:$B$37,2,FALSE)*1024,0) + J304*16 + IF(K304="",7,K304)*2 + IF(L304&gt;0, 1, 0))),","),"")</f>
        <v/>
      </c>
      <c r="Y304" s="21" t="str">
        <f>IF(Q304&gt;0,CONCATENATE("0x",(DEC2HEX(IF(P304&lt;&gt;"",VLOOKUP(P304,Notes!$A$2:$B$37,2,FALSE)*1024,0) + Q304*16 + IF(R304="",7,R304)*2 + IF(S304&gt;0, 1, 0))),","),"")</f>
        <v/>
      </c>
    </row>
    <row r="305" spans="2:25" x14ac:dyDescent="0.25">
      <c r="B305" s="12"/>
      <c r="C305" s="13"/>
      <c r="D305" s="13"/>
      <c r="E305" s="14"/>
      <c r="F305" s="18">
        <f t="shared" si="24"/>
        <v>0</v>
      </c>
      <c r="G305" s="1" t="str">
        <f t="shared" si="27"/>
        <v/>
      </c>
      <c r="I305" s="12"/>
      <c r="J305" s="13"/>
      <c r="K305" s="13"/>
      <c r="L305" s="14"/>
      <c r="M305" s="18">
        <f t="shared" si="25"/>
        <v>0</v>
      </c>
      <c r="N305" s="1" t="str">
        <f t="shared" si="28"/>
        <v/>
      </c>
      <c r="P305" s="12"/>
      <c r="Q305" s="13"/>
      <c r="R305" s="13"/>
      <c r="S305" s="14"/>
      <c r="T305" s="18">
        <f t="shared" si="26"/>
        <v>0</v>
      </c>
      <c r="U305" s="1" t="str">
        <f t="shared" si="29"/>
        <v/>
      </c>
      <c r="W305" s="21" t="str">
        <f>IF(C305&gt;0,CONCATENATE("0x",(DEC2HEX(IF(B305&lt;&gt;"",VLOOKUP(B305,Notes!$A$2:$B$37,2,FALSE)*1024,0) + C305*16 + IF(D305="",7,D305)*2 + IF(E305&gt;0, 1, 0))),","),"")</f>
        <v/>
      </c>
      <c r="X305" s="21" t="str">
        <f>IF(J305&gt;0,CONCATENATE("0x",(DEC2HEX(IF(I305&lt;&gt;"",VLOOKUP(I305,Notes!$A$2:$B$37,2,FALSE)*1024,0) + J305*16 + IF(K305="",7,K305)*2 + IF(L305&gt;0, 1, 0))),","),"")</f>
        <v/>
      </c>
      <c r="Y305" s="21" t="str">
        <f>IF(Q305&gt;0,CONCATENATE("0x",(DEC2HEX(IF(P305&lt;&gt;"",VLOOKUP(P305,Notes!$A$2:$B$37,2,FALSE)*1024,0) + Q305*16 + IF(R305="",7,R305)*2 + IF(S305&gt;0, 1, 0))),","),"")</f>
        <v/>
      </c>
    </row>
    <row r="306" spans="2:25" x14ac:dyDescent="0.25">
      <c r="F306" s="18">
        <f t="shared" si="24"/>
        <v>0</v>
      </c>
      <c r="G306" s="1" t="str">
        <f t="shared" si="27"/>
        <v/>
      </c>
      <c r="M306" s="18">
        <f t="shared" si="25"/>
        <v>0</v>
      </c>
      <c r="N306" s="1" t="str">
        <f t="shared" si="28"/>
        <v/>
      </c>
      <c r="T306" s="18">
        <f t="shared" si="26"/>
        <v>0</v>
      </c>
      <c r="U306" s="1" t="str">
        <f t="shared" si="29"/>
        <v/>
      </c>
      <c r="W306" s="21" t="str">
        <f>IF(C306&gt;0,CONCATENATE("0x",(DEC2HEX(IF(B306&lt;&gt;"",VLOOKUP(B306,Notes!$A$2:$B$37,2,FALSE)*1024,0) + C306*16 + IF(D306="",7,D306)*2 + IF(E306&gt;0, 1, 0))),","),"")</f>
        <v/>
      </c>
      <c r="X306" s="21" t="str">
        <f>IF(J306&gt;0,CONCATENATE("0x",(DEC2HEX(IF(I306&lt;&gt;"",VLOOKUP(I306,Notes!$A$2:$B$37,2,FALSE)*1024,0) + J306*16 + IF(K306="",7,K306)*2 + IF(L306&gt;0, 1, 0))),","),"")</f>
        <v/>
      </c>
      <c r="Y306" s="21" t="str">
        <f>IF(Q306&gt;0,CONCATENATE("0x",(DEC2HEX(IF(P306&lt;&gt;"",VLOOKUP(P306,Notes!$A$2:$B$37,2,FALSE)*1024,0) + Q306*16 + IF(R306="",7,R306)*2 + IF(S306&gt;0, 1, 0))),","),"")</f>
        <v/>
      </c>
    </row>
    <row r="307" spans="2:25" x14ac:dyDescent="0.25">
      <c r="F307" s="18">
        <f t="shared" si="24"/>
        <v>0</v>
      </c>
      <c r="G307" s="1" t="str">
        <f t="shared" si="27"/>
        <v/>
      </c>
      <c r="M307" s="18">
        <f t="shared" si="25"/>
        <v>0</v>
      </c>
      <c r="N307" s="1" t="str">
        <f t="shared" si="28"/>
        <v/>
      </c>
      <c r="T307" s="18">
        <f t="shared" si="26"/>
        <v>0</v>
      </c>
      <c r="U307" s="1" t="str">
        <f t="shared" si="29"/>
        <v/>
      </c>
      <c r="W307" s="21" t="str">
        <f>IF(C307&gt;0,CONCATENATE("0x",(DEC2HEX(IF(B307&lt;&gt;"",VLOOKUP(B307,Notes!$A$2:$B$37,2,FALSE)*1024,0) + C307*16 + IF(D307="",7,D307)*2 + IF(E307&gt;0, 1, 0))),","),"")</f>
        <v/>
      </c>
      <c r="X307" s="21" t="str">
        <f>IF(J307&gt;0,CONCATENATE("0x",(DEC2HEX(IF(I307&lt;&gt;"",VLOOKUP(I307,Notes!$A$2:$B$37,2,FALSE)*1024,0) + J307*16 + IF(K307="",7,K307)*2 + IF(L307&gt;0, 1, 0))),","),"")</f>
        <v/>
      </c>
      <c r="Y307" s="21" t="str">
        <f>IF(Q307&gt;0,CONCATENATE("0x",(DEC2HEX(IF(P307&lt;&gt;"",VLOOKUP(P307,Notes!$A$2:$B$37,2,FALSE)*1024,0) + Q307*16 + IF(R307="",7,R307)*2 + IF(S307&gt;0, 1, 0))),","),"")</f>
        <v/>
      </c>
    </row>
    <row r="308" spans="2:25" x14ac:dyDescent="0.25">
      <c r="F308" s="18">
        <f t="shared" si="24"/>
        <v>0</v>
      </c>
      <c r="G308" s="1" t="str">
        <f t="shared" si="27"/>
        <v/>
      </c>
      <c r="M308" s="18">
        <f t="shared" si="25"/>
        <v>0</v>
      </c>
      <c r="N308" s="1" t="str">
        <f t="shared" si="28"/>
        <v/>
      </c>
      <c r="T308" s="18">
        <f t="shared" si="26"/>
        <v>0</v>
      </c>
      <c r="U308" s="1" t="str">
        <f t="shared" si="29"/>
        <v/>
      </c>
      <c r="W308" s="21" t="str">
        <f>IF(C308&gt;0,CONCATENATE("0x",(DEC2HEX(IF(B308&lt;&gt;"",VLOOKUP(B308,Notes!$A$2:$B$37,2,FALSE)*1024,0) + C308*16 + IF(D308="",7,D308)*2 + IF(E308&gt;0, 1, 0))),","),"")</f>
        <v/>
      </c>
      <c r="X308" s="21" t="str">
        <f>IF(J308&gt;0,CONCATENATE("0x",(DEC2HEX(IF(I308&lt;&gt;"",VLOOKUP(I308,Notes!$A$2:$B$37,2,FALSE)*1024,0) + J308*16 + IF(K308="",7,K308)*2 + IF(L308&gt;0, 1, 0))),","),"")</f>
        <v/>
      </c>
      <c r="Y308" s="21" t="str">
        <f>IF(Q308&gt;0,CONCATENATE("0x",(DEC2HEX(IF(P308&lt;&gt;"",VLOOKUP(P308,Notes!$A$2:$B$37,2,FALSE)*1024,0) + Q308*16 + IF(R308="",7,R308)*2 + IF(S308&gt;0, 1, 0))),","),"")</f>
        <v/>
      </c>
    </row>
    <row r="309" spans="2:25" x14ac:dyDescent="0.25">
      <c r="F309" s="18">
        <f t="shared" si="24"/>
        <v>0</v>
      </c>
      <c r="G309" s="1" t="str">
        <f t="shared" si="27"/>
        <v/>
      </c>
      <c r="M309" s="18">
        <f t="shared" si="25"/>
        <v>0</v>
      </c>
      <c r="N309" s="1" t="str">
        <f t="shared" si="28"/>
        <v/>
      </c>
      <c r="T309" s="18">
        <f t="shared" si="26"/>
        <v>0</v>
      </c>
      <c r="U309" s="1" t="str">
        <f t="shared" si="29"/>
        <v/>
      </c>
      <c r="W309" s="21" t="str">
        <f>IF(C309&gt;0,CONCATENATE("0x",(DEC2HEX(IF(B309&lt;&gt;"",VLOOKUP(B309,Notes!$A$2:$B$37,2,FALSE)*1024,0) + C309*16 + IF(D309="",7,D309)*2 + IF(E309&gt;0, 1, 0))),","),"")</f>
        <v/>
      </c>
      <c r="X309" s="21" t="str">
        <f>IF(J309&gt;0,CONCATENATE("0x",(DEC2HEX(IF(I309&lt;&gt;"",VLOOKUP(I309,Notes!$A$2:$B$37,2,FALSE)*1024,0) + J309*16 + IF(K309="",7,K309)*2 + IF(L309&gt;0, 1, 0))),","),"")</f>
        <v/>
      </c>
      <c r="Y309" s="21" t="str">
        <f>IF(Q309&gt;0,CONCATENATE("0x",(DEC2HEX(IF(P309&lt;&gt;"",VLOOKUP(P309,Notes!$A$2:$B$37,2,FALSE)*1024,0) + Q309*16 + IF(R309="",7,R309)*2 + IF(S309&gt;0, 1, 0))),","),"")</f>
        <v/>
      </c>
    </row>
    <row r="310" spans="2:25" x14ac:dyDescent="0.25">
      <c r="F310" s="18">
        <f t="shared" si="24"/>
        <v>0</v>
      </c>
      <c r="G310" s="1" t="str">
        <f t="shared" si="27"/>
        <v/>
      </c>
      <c r="M310" s="18">
        <f t="shared" si="25"/>
        <v>0</v>
      </c>
      <c r="N310" s="1" t="str">
        <f t="shared" si="28"/>
        <v/>
      </c>
      <c r="T310" s="18">
        <f t="shared" si="26"/>
        <v>0</v>
      </c>
      <c r="U310" s="1" t="str">
        <f t="shared" si="29"/>
        <v/>
      </c>
      <c r="W310" s="21" t="str">
        <f>IF(C310&gt;0,CONCATENATE("0x",(DEC2HEX(IF(B310&lt;&gt;"",VLOOKUP(B310,Notes!$A$2:$B$37,2,FALSE)*1024,0) + C310*16 + IF(D310="",7,D310)*2 + IF(E310&gt;0, 1, 0))),","),"")</f>
        <v/>
      </c>
      <c r="X310" s="21" t="str">
        <f>IF(J310&gt;0,CONCATENATE("0x",(DEC2HEX(IF(I310&lt;&gt;"",VLOOKUP(I310,Notes!$A$2:$B$37,2,FALSE)*1024,0) + J310*16 + IF(K310="",7,K310)*2 + IF(L310&gt;0, 1, 0))),","),"")</f>
        <v/>
      </c>
      <c r="Y310" s="21" t="str">
        <f>IF(Q310&gt;0,CONCATENATE("0x",(DEC2HEX(IF(P310&lt;&gt;"",VLOOKUP(P310,Notes!$A$2:$B$37,2,FALSE)*1024,0) + Q310*16 + IF(R310="",7,R310)*2 + IF(S310&gt;0, 1, 0))),","),"")</f>
        <v/>
      </c>
    </row>
    <row r="311" spans="2:25" x14ac:dyDescent="0.25">
      <c r="F311" s="18">
        <f t="shared" si="24"/>
        <v>0</v>
      </c>
      <c r="G311" s="1" t="str">
        <f t="shared" si="27"/>
        <v/>
      </c>
      <c r="M311" s="18">
        <f t="shared" si="25"/>
        <v>0</v>
      </c>
      <c r="N311" s="1" t="str">
        <f t="shared" si="28"/>
        <v/>
      </c>
      <c r="T311" s="18">
        <f t="shared" si="26"/>
        <v>0</v>
      </c>
      <c r="U311" s="1" t="str">
        <f t="shared" si="29"/>
        <v/>
      </c>
      <c r="W311" s="21" t="str">
        <f>IF(C311&gt;0,CONCATENATE("0x",(DEC2HEX(IF(B311&lt;&gt;"",VLOOKUP(B311,Notes!$A$2:$B$37,2,FALSE)*1024,0) + C311*16 + IF(D311="",7,D311)*2 + IF(E311&gt;0, 1, 0))),","),"")</f>
        <v/>
      </c>
      <c r="X311" s="21" t="str">
        <f>IF(J311&gt;0,CONCATENATE("0x",(DEC2HEX(IF(I311&lt;&gt;"",VLOOKUP(I311,Notes!$A$2:$B$37,2,FALSE)*1024,0) + J311*16 + IF(K311="",7,K311)*2 + IF(L311&gt;0, 1, 0))),","),"")</f>
        <v/>
      </c>
      <c r="Y311" s="21" t="str">
        <f>IF(Q311&gt;0,CONCATENATE("0x",(DEC2HEX(IF(P311&lt;&gt;"",VLOOKUP(P311,Notes!$A$2:$B$37,2,FALSE)*1024,0) + Q311*16 + IF(R311="",7,R311)*2 + IF(S311&gt;0, 1, 0))),","),"")</f>
        <v/>
      </c>
    </row>
    <row r="312" spans="2:25" x14ac:dyDescent="0.25">
      <c r="F312" s="18">
        <f t="shared" si="24"/>
        <v>0</v>
      </c>
      <c r="G312" s="1" t="str">
        <f t="shared" si="27"/>
        <v/>
      </c>
      <c r="M312" s="18">
        <f t="shared" si="25"/>
        <v>0</v>
      </c>
      <c r="N312" s="1" t="str">
        <f t="shared" si="28"/>
        <v/>
      </c>
      <c r="T312" s="18">
        <f t="shared" si="26"/>
        <v>0</v>
      </c>
      <c r="U312" s="1" t="str">
        <f t="shared" si="29"/>
        <v/>
      </c>
      <c r="W312" s="21" t="str">
        <f>IF(C312&gt;0,CONCATENATE("0x",(DEC2HEX(IF(B312&lt;&gt;"",VLOOKUP(B312,Notes!$A$2:$B$37,2,FALSE)*1024,0) + C312*16 + IF(D312="",7,D312)*2 + IF(E312&gt;0, 1, 0))),","),"")</f>
        <v/>
      </c>
      <c r="X312" s="21" t="str">
        <f>IF(J312&gt;0,CONCATENATE("0x",(DEC2HEX(IF(I312&lt;&gt;"",VLOOKUP(I312,Notes!$A$2:$B$37,2,FALSE)*1024,0) + J312*16 + IF(K312="",7,K312)*2 + IF(L312&gt;0, 1, 0))),","),"")</f>
        <v/>
      </c>
      <c r="Y312" s="21" t="str">
        <f>IF(Q312&gt;0,CONCATENATE("0x",(DEC2HEX(IF(P312&lt;&gt;"",VLOOKUP(P312,Notes!$A$2:$B$37,2,FALSE)*1024,0) + Q312*16 + IF(R312="",7,R312)*2 + IF(S312&gt;0, 1, 0))),","),"")</f>
        <v/>
      </c>
    </row>
    <row r="313" spans="2:25" x14ac:dyDescent="0.25">
      <c r="B313" s="12"/>
      <c r="C313" s="13"/>
      <c r="D313" s="13"/>
      <c r="E313" s="14"/>
      <c r="F313" s="18">
        <f t="shared" si="24"/>
        <v>0</v>
      </c>
      <c r="G313" s="1" t="str">
        <f t="shared" si="27"/>
        <v/>
      </c>
      <c r="I313" s="12"/>
      <c r="J313" s="13"/>
      <c r="K313" s="13"/>
      <c r="L313" s="14"/>
      <c r="M313" s="18">
        <f t="shared" si="25"/>
        <v>0</v>
      </c>
      <c r="N313" s="1" t="str">
        <f t="shared" si="28"/>
        <v/>
      </c>
      <c r="P313" s="12"/>
      <c r="Q313" s="13"/>
      <c r="R313" s="13"/>
      <c r="S313" s="14"/>
      <c r="T313" s="18">
        <f t="shared" si="26"/>
        <v>0</v>
      </c>
      <c r="U313" s="1" t="str">
        <f t="shared" si="29"/>
        <v/>
      </c>
      <c r="W313" s="21" t="str">
        <f>IF(C313&gt;0,CONCATENATE("0x",(DEC2HEX(IF(B313&lt;&gt;"",VLOOKUP(B313,Notes!$A$2:$B$37,2,FALSE)*1024,0) + C313*16 + IF(D313="",7,D313)*2 + IF(E313&gt;0, 1, 0))),","),"")</f>
        <v/>
      </c>
      <c r="X313" s="21" t="str">
        <f>IF(J313&gt;0,CONCATENATE("0x",(DEC2HEX(IF(I313&lt;&gt;"",VLOOKUP(I313,Notes!$A$2:$B$37,2,FALSE)*1024,0) + J313*16 + IF(K313="",7,K313)*2 + IF(L313&gt;0, 1, 0))),","),"")</f>
        <v/>
      </c>
      <c r="Y313" s="21" t="str">
        <f>IF(Q313&gt;0,CONCATENATE("0x",(DEC2HEX(IF(P313&lt;&gt;"",VLOOKUP(P313,Notes!$A$2:$B$37,2,FALSE)*1024,0) + Q313*16 + IF(R313="",7,R313)*2 + IF(S313&gt;0, 1, 0))),","),"")</f>
        <v/>
      </c>
    </row>
    <row r="314" spans="2:25" x14ac:dyDescent="0.25">
      <c r="F314" s="18">
        <f t="shared" si="24"/>
        <v>0</v>
      </c>
      <c r="G314" s="1" t="str">
        <f t="shared" si="27"/>
        <v/>
      </c>
      <c r="M314" s="18">
        <f t="shared" si="25"/>
        <v>0</v>
      </c>
      <c r="N314" s="1" t="str">
        <f t="shared" si="28"/>
        <v/>
      </c>
      <c r="T314" s="18">
        <f t="shared" si="26"/>
        <v>0</v>
      </c>
      <c r="U314" s="1" t="str">
        <f t="shared" si="29"/>
        <v/>
      </c>
      <c r="W314" s="21" t="str">
        <f>IF(C314&gt;0,CONCATENATE("0x",(DEC2HEX(IF(B314&lt;&gt;"",VLOOKUP(B314,Notes!$A$2:$B$37,2,FALSE)*1024,0) + C314*16 + IF(D314="",7,D314)*2 + IF(E314&gt;0, 1, 0))),","),"")</f>
        <v/>
      </c>
      <c r="X314" s="21" t="str">
        <f>IF(J314&gt;0,CONCATENATE("0x",(DEC2HEX(IF(I314&lt;&gt;"",VLOOKUP(I314,Notes!$A$2:$B$37,2,FALSE)*1024,0) + J314*16 + IF(K314="",7,K314)*2 + IF(L314&gt;0, 1, 0))),","),"")</f>
        <v/>
      </c>
      <c r="Y314" s="21" t="str">
        <f>IF(Q314&gt;0,CONCATENATE("0x",(DEC2HEX(IF(P314&lt;&gt;"",VLOOKUP(P314,Notes!$A$2:$B$37,2,FALSE)*1024,0) + Q314*16 + IF(R314="",7,R314)*2 + IF(S314&gt;0, 1, 0))),","),"")</f>
        <v/>
      </c>
    </row>
    <row r="315" spans="2:25" x14ac:dyDescent="0.25">
      <c r="F315" s="18">
        <f t="shared" si="24"/>
        <v>0</v>
      </c>
      <c r="G315" s="1" t="str">
        <f t="shared" si="27"/>
        <v/>
      </c>
      <c r="M315" s="18">
        <f t="shared" si="25"/>
        <v>0</v>
      </c>
      <c r="N315" s="1" t="str">
        <f t="shared" si="28"/>
        <v/>
      </c>
      <c r="T315" s="18">
        <f t="shared" si="26"/>
        <v>0</v>
      </c>
      <c r="U315" s="1" t="str">
        <f t="shared" si="29"/>
        <v/>
      </c>
      <c r="W315" s="21" t="str">
        <f>IF(C315&gt;0,CONCATENATE("0x",(DEC2HEX(IF(B315&lt;&gt;"",VLOOKUP(B315,Notes!$A$2:$B$37,2,FALSE)*1024,0) + C315*16 + IF(D315="",7,D315)*2 + IF(E315&gt;0, 1, 0))),","),"")</f>
        <v/>
      </c>
      <c r="X315" s="21" t="str">
        <f>IF(J315&gt;0,CONCATENATE("0x",(DEC2HEX(IF(I315&lt;&gt;"",VLOOKUP(I315,Notes!$A$2:$B$37,2,FALSE)*1024,0) + J315*16 + IF(K315="",7,K315)*2 + IF(L315&gt;0, 1, 0))),","),"")</f>
        <v/>
      </c>
      <c r="Y315" s="21" t="str">
        <f>IF(Q315&gt;0,CONCATENATE("0x",(DEC2HEX(IF(P315&lt;&gt;"",VLOOKUP(P315,Notes!$A$2:$B$37,2,FALSE)*1024,0) + Q315*16 + IF(R315="",7,R315)*2 + IF(S315&gt;0, 1, 0))),","),"")</f>
        <v/>
      </c>
    </row>
    <row r="316" spans="2:25" x14ac:dyDescent="0.25">
      <c r="F316" s="18">
        <f t="shared" si="24"/>
        <v>0</v>
      </c>
      <c r="G316" s="1" t="str">
        <f t="shared" si="27"/>
        <v/>
      </c>
      <c r="M316" s="18">
        <f t="shared" si="25"/>
        <v>0</v>
      </c>
      <c r="N316" s="1" t="str">
        <f t="shared" si="28"/>
        <v/>
      </c>
      <c r="T316" s="18">
        <f t="shared" si="26"/>
        <v>0</v>
      </c>
      <c r="U316" s="1" t="str">
        <f t="shared" si="29"/>
        <v/>
      </c>
      <c r="W316" s="21" t="str">
        <f>IF(C316&gt;0,CONCATENATE("0x",(DEC2HEX(IF(B316&lt;&gt;"",VLOOKUP(B316,Notes!$A$2:$B$37,2,FALSE)*1024,0) + C316*16 + IF(D316="",7,D316)*2 + IF(E316&gt;0, 1, 0))),","),"")</f>
        <v/>
      </c>
      <c r="X316" s="21" t="str">
        <f>IF(J316&gt;0,CONCATENATE("0x",(DEC2HEX(IF(I316&lt;&gt;"",VLOOKUP(I316,Notes!$A$2:$B$37,2,FALSE)*1024,0) + J316*16 + IF(K316="",7,K316)*2 + IF(L316&gt;0, 1, 0))),","),"")</f>
        <v/>
      </c>
      <c r="Y316" s="21" t="str">
        <f>IF(Q316&gt;0,CONCATENATE("0x",(DEC2HEX(IF(P316&lt;&gt;"",VLOOKUP(P316,Notes!$A$2:$B$37,2,FALSE)*1024,0) + Q316*16 + IF(R316="",7,R316)*2 + IF(S316&gt;0, 1, 0))),","),"")</f>
        <v/>
      </c>
    </row>
    <row r="317" spans="2:25" x14ac:dyDescent="0.25">
      <c r="F317" s="18">
        <f t="shared" si="24"/>
        <v>0</v>
      </c>
      <c r="G317" s="1" t="str">
        <f t="shared" si="27"/>
        <v/>
      </c>
      <c r="M317" s="18">
        <f t="shared" si="25"/>
        <v>0</v>
      </c>
      <c r="N317" s="1" t="str">
        <f t="shared" si="28"/>
        <v/>
      </c>
      <c r="T317" s="18">
        <f t="shared" si="26"/>
        <v>0</v>
      </c>
      <c r="U317" s="1" t="str">
        <f t="shared" si="29"/>
        <v/>
      </c>
      <c r="W317" s="21" t="str">
        <f>IF(C317&gt;0,CONCATENATE("0x",(DEC2HEX(IF(B317&lt;&gt;"",VLOOKUP(B317,Notes!$A$2:$B$37,2,FALSE)*1024,0) + C317*16 + IF(D317="",7,D317)*2 + IF(E317&gt;0, 1, 0))),","),"")</f>
        <v/>
      </c>
      <c r="X317" s="21" t="str">
        <f>IF(J317&gt;0,CONCATENATE("0x",(DEC2HEX(IF(I317&lt;&gt;"",VLOOKUP(I317,Notes!$A$2:$B$37,2,FALSE)*1024,0) + J317*16 + IF(K317="",7,K317)*2 + IF(L317&gt;0, 1, 0))),","),"")</f>
        <v/>
      </c>
      <c r="Y317" s="21" t="str">
        <f>IF(Q317&gt;0,CONCATENATE("0x",(DEC2HEX(IF(P317&lt;&gt;"",VLOOKUP(P317,Notes!$A$2:$B$37,2,FALSE)*1024,0) + Q317*16 + IF(R317="",7,R317)*2 + IF(S317&gt;0, 1, 0))),","),"")</f>
        <v/>
      </c>
    </row>
    <row r="318" spans="2:25" x14ac:dyDescent="0.25">
      <c r="F318" s="18">
        <f t="shared" si="24"/>
        <v>0</v>
      </c>
      <c r="G318" s="1" t="str">
        <f t="shared" si="27"/>
        <v/>
      </c>
      <c r="M318" s="18">
        <f t="shared" si="25"/>
        <v>0</v>
      </c>
      <c r="N318" s="1" t="str">
        <f t="shared" si="28"/>
        <v/>
      </c>
      <c r="T318" s="18">
        <f t="shared" si="26"/>
        <v>0</v>
      </c>
      <c r="U318" s="1" t="str">
        <f t="shared" si="29"/>
        <v/>
      </c>
      <c r="W318" s="21" t="str">
        <f>IF(C318&gt;0,CONCATENATE("0x",(DEC2HEX(IF(B318&lt;&gt;"",VLOOKUP(B318,Notes!$A$2:$B$37,2,FALSE)*1024,0) + C318*16 + IF(D318="",7,D318)*2 + IF(E318&gt;0, 1, 0))),","),"")</f>
        <v/>
      </c>
      <c r="X318" s="21" t="str">
        <f>IF(J318&gt;0,CONCATENATE("0x",(DEC2HEX(IF(I318&lt;&gt;"",VLOOKUP(I318,Notes!$A$2:$B$37,2,FALSE)*1024,0) + J318*16 + IF(K318="",7,K318)*2 + IF(L318&gt;0, 1, 0))),","),"")</f>
        <v/>
      </c>
      <c r="Y318" s="21" t="str">
        <f>IF(Q318&gt;0,CONCATENATE("0x",(DEC2HEX(IF(P318&lt;&gt;"",VLOOKUP(P318,Notes!$A$2:$B$37,2,FALSE)*1024,0) + Q318*16 + IF(R318="",7,R318)*2 + IF(S318&gt;0, 1, 0))),","),"")</f>
        <v/>
      </c>
    </row>
    <row r="319" spans="2:25" x14ac:dyDescent="0.25">
      <c r="F319" s="18">
        <f t="shared" si="24"/>
        <v>0</v>
      </c>
      <c r="G319" s="1" t="str">
        <f t="shared" si="27"/>
        <v/>
      </c>
      <c r="M319" s="18">
        <f t="shared" si="25"/>
        <v>0</v>
      </c>
      <c r="N319" s="1" t="str">
        <f t="shared" si="28"/>
        <v/>
      </c>
      <c r="T319" s="18">
        <f t="shared" si="26"/>
        <v>0</v>
      </c>
      <c r="U319" s="1" t="str">
        <f t="shared" si="29"/>
        <v/>
      </c>
      <c r="W319" s="21" t="str">
        <f>IF(C319&gt;0,CONCATENATE("0x",(DEC2HEX(IF(B319&lt;&gt;"",VLOOKUP(B319,Notes!$A$2:$B$37,2,FALSE)*1024,0) + C319*16 + IF(D319="",7,D319)*2 + IF(E319&gt;0, 1, 0))),","),"")</f>
        <v/>
      </c>
      <c r="X319" s="21" t="str">
        <f>IF(J319&gt;0,CONCATENATE("0x",(DEC2HEX(IF(I319&lt;&gt;"",VLOOKUP(I319,Notes!$A$2:$B$37,2,FALSE)*1024,0) + J319*16 + IF(K319="",7,K319)*2 + IF(L319&gt;0, 1, 0))),","),"")</f>
        <v/>
      </c>
      <c r="Y319" s="21" t="str">
        <f>IF(Q319&gt;0,CONCATENATE("0x",(DEC2HEX(IF(P319&lt;&gt;"",VLOOKUP(P319,Notes!$A$2:$B$37,2,FALSE)*1024,0) + Q319*16 + IF(R319="",7,R319)*2 + IF(S319&gt;0, 1, 0))),","),"")</f>
        <v/>
      </c>
    </row>
    <row r="320" spans="2:25" x14ac:dyDescent="0.25">
      <c r="F320" s="18">
        <f t="shared" si="24"/>
        <v>0</v>
      </c>
      <c r="G320" s="1" t="str">
        <f t="shared" si="27"/>
        <v/>
      </c>
      <c r="M320" s="18">
        <f t="shared" si="25"/>
        <v>0</v>
      </c>
      <c r="N320" s="1" t="str">
        <f t="shared" si="28"/>
        <v/>
      </c>
      <c r="T320" s="18">
        <f t="shared" si="26"/>
        <v>0</v>
      </c>
      <c r="U320" s="1" t="str">
        <f t="shared" si="29"/>
        <v/>
      </c>
      <c r="W320" s="21" t="str">
        <f>IF(C320&gt;0,CONCATENATE("0x",(DEC2HEX(IF(B320&lt;&gt;"",VLOOKUP(B320,Notes!$A$2:$B$37,2,FALSE)*1024,0) + C320*16 + IF(D320="",7,D320)*2 + IF(E320&gt;0, 1, 0))),","),"")</f>
        <v/>
      </c>
      <c r="X320" s="21" t="str">
        <f>IF(J320&gt;0,CONCATENATE("0x",(DEC2HEX(IF(I320&lt;&gt;"",VLOOKUP(I320,Notes!$A$2:$B$37,2,FALSE)*1024,0) + J320*16 + IF(K320="",7,K320)*2 + IF(L320&gt;0, 1, 0))),","),"")</f>
        <v/>
      </c>
      <c r="Y320" s="21" t="str">
        <f>IF(Q320&gt;0,CONCATENATE("0x",(DEC2HEX(IF(P320&lt;&gt;"",VLOOKUP(P320,Notes!$A$2:$B$37,2,FALSE)*1024,0) + Q320*16 + IF(R320="",7,R320)*2 + IF(S320&gt;0, 1, 0))),","),"")</f>
        <v/>
      </c>
    </row>
    <row r="321" spans="1:25" ht="16.5" thickBot="1" x14ac:dyDescent="0.3">
      <c r="B321" s="15"/>
      <c r="C321" s="16"/>
      <c r="D321" s="16"/>
      <c r="E321" s="17"/>
      <c r="F321" s="18">
        <f t="shared" si="24"/>
        <v>0</v>
      </c>
      <c r="G321" s="1" t="str">
        <f t="shared" si="27"/>
        <v/>
      </c>
      <c r="I321" s="15"/>
      <c r="J321" s="16"/>
      <c r="K321" s="16"/>
      <c r="L321" s="17"/>
      <c r="M321" s="18">
        <f t="shared" si="25"/>
        <v>0</v>
      </c>
      <c r="N321" s="1" t="str">
        <f t="shared" si="28"/>
        <v/>
      </c>
      <c r="P321" s="15"/>
      <c r="Q321" s="16"/>
      <c r="R321" s="16"/>
      <c r="S321" s="17"/>
      <c r="T321" s="18">
        <f t="shared" si="26"/>
        <v>0</v>
      </c>
      <c r="U321" s="1" t="str">
        <f t="shared" si="29"/>
        <v/>
      </c>
      <c r="W321" s="21" t="str">
        <f>IF(C321&gt;0,CONCATENATE("0x",(DEC2HEX(IF(B321&lt;&gt;"",VLOOKUP(B321,Notes!$A$2:$B$37,2,FALSE)*1024,0) + C321*16 + IF(D321="",7,D321)*2 + IF(E321&gt;0, 1, 0))),","),"")</f>
        <v/>
      </c>
      <c r="X321" s="21" t="str">
        <f>IF(J321&gt;0,CONCATENATE("0x",(DEC2HEX(IF(I321&lt;&gt;"",VLOOKUP(I321,Notes!$A$2:$B$37,2,FALSE)*1024,0) + J321*16 + IF(K321="",7,K321)*2 + IF(L321&gt;0, 1, 0))),","),"")</f>
        <v/>
      </c>
      <c r="Y321" s="21" t="str">
        <f>IF(Q321&gt;0,CONCATENATE("0x",(DEC2HEX(IF(P321&lt;&gt;"",VLOOKUP(P321,Notes!$A$2:$B$37,2,FALSE)*1024,0) + Q321*16 + IF(R321="",7,R321)*2 + IF(S321&gt;0, 1, 0))),","),"")</f>
        <v/>
      </c>
    </row>
    <row r="322" spans="1:25" ht="16.5" thickTop="1" x14ac:dyDescent="0.25">
      <c r="A322" s="1">
        <v>11</v>
      </c>
      <c r="F322" s="18">
        <f t="shared" si="24"/>
        <v>0</v>
      </c>
      <c r="G322" s="1" t="str">
        <f t="shared" si="27"/>
        <v/>
      </c>
      <c r="M322" s="18">
        <f t="shared" si="25"/>
        <v>0</v>
      </c>
      <c r="N322" s="1" t="str">
        <f t="shared" si="28"/>
        <v/>
      </c>
      <c r="T322" s="18">
        <f t="shared" si="26"/>
        <v>0</v>
      </c>
      <c r="U322" s="1" t="str">
        <f t="shared" si="29"/>
        <v/>
      </c>
      <c r="W322" s="21" t="str">
        <f>IF(C322&gt;0,CONCATENATE("0x",(DEC2HEX(IF(B322&lt;&gt;"",VLOOKUP(B322,Notes!$A$2:$B$37,2,FALSE)*1024,0) + C322*16 + IF(D322="",7,D322)*2 + IF(E322&gt;0, 1, 0))),","),"")</f>
        <v/>
      </c>
      <c r="X322" s="21" t="str">
        <f>IF(J322&gt;0,CONCATENATE("0x",(DEC2HEX(IF(I322&lt;&gt;"",VLOOKUP(I322,Notes!$A$2:$B$37,2,FALSE)*1024,0) + J322*16 + IF(K322="",7,K322)*2 + IF(L322&gt;0, 1, 0))),","),"")</f>
        <v/>
      </c>
      <c r="Y322" s="21" t="str">
        <f>IF(Q322&gt;0,CONCATENATE("0x",(DEC2HEX(IF(P322&lt;&gt;"",VLOOKUP(P322,Notes!$A$2:$B$37,2,FALSE)*1024,0) + Q322*16 + IF(R322="",7,R322)*2 + IF(S322&gt;0, 1, 0))),","),"")</f>
        <v/>
      </c>
    </row>
    <row r="323" spans="1:25" x14ac:dyDescent="0.25">
      <c r="F323" s="18">
        <f t="shared" ref="F323:F386" si="30">IF(C323&gt;0, C323, MAX(F322-1,0))</f>
        <v>0</v>
      </c>
      <c r="G323" s="1" t="str">
        <f t="shared" si="27"/>
        <v/>
      </c>
      <c r="M323" s="18">
        <f t="shared" ref="M323:M386" si="31">IF(J323&gt;0, J323, MAX(M322-1,0))</f>
        <v>0</v>
      </c>
      <c r="N323" s="1" t="str">
        <f t="shared" si="28"/>
        <v/>
      </c>
      <c r="T323" s="18">
        <f t="shared" ref="T323:T386" si="32">IF(Q323&gt;0, Q323, MAX(T322-1,0))</f>
        <v>0</v>
      </c>
      <c r="U323" s="1" t="str">
        <f t="shared" si="29"/>
        <v/>
      </c>
      <c r="W323" s="21" t="str">
        <f>IF(C323&gt;0,CONCATENATE("0x",(DEC2HEX(IF(B323&lt;&gt;"",VLOOKUP(B323,Notes!$A$2:$B$37,2,FALSE)*1024,0) + C323*16 + IF(D323="",7,D323)*2 + IF(E323&gt;0, 1, 0))),","),"")</f>
        <v/>
      </c>
      <c r="X323" s="21" t="str">
        <f>IF(J323&gt;0,CONCATENATE("0x",(DEC2HEX(IF(I323&lt;&gt;"",VLOOKUP(I323,Notes!$A$2:$B$37,2,FALSE)*1024,0) + J323*16 + IF(K323="",7,K323)*2 + IF(L323&gt;0, 1, 0))),","),"")</f>
        <v/>
      </c>
      <c r="Y323" s="21" t="str">
        <f>IF(Q323&gt;0,CONCATENATE("0x",(DEC2HEX(IF(P323&lt;&gt;"",VLOOKUP(P323,Notes!$A$2:$B$37,2,FALSE)*1024,0) + Q323*16 + IF(R323="",7,R323)*2 + IF(S323&gt;0, 1, 0))),","),"")</f>
        <v/>
      </c>
    </row>
    <row r="324" spans="1:25" x14ac:dyDescent="0.25">
      <c r="F324" s="18">
        <f t="shared" si="30"/>
        <v>0</v>
      </c>
      <c r="G324" s="1" t="str">
        <f t="shared" ref="G324:G387" si="33">IF(AND(F323&gt;1,C324&gt;0), "OVERLAPPING","")</f>
        <v/>
      </c>
      <c r="M324" s="18">
        <f t="shared" si="31"/>
        <v>0</v>
      </c>
      <c r="N324" s="1" t="str">
        <f t="shared" ref="N324:N387" si="34">IF(AND(M323&gt;1,J324&gt;0), "OVERLAPPING","")</f>
        <v/>
      </c>
      <c r="T324" s="18">
        <f t="shared" si="32"/>
        <v>0</v>
      </c>
      <c r="U324" s="1" t="str">
        <f t="shared" ref="U324:U387" si="35">IF(AND(T323&gt;1,Q324&gt;0), "OVERLAPPING","")</f>
        <v/>
      </c>
      <c r="W324" s="21" t="str">
        <f>IF(C324&gt;0,CONCATENATE("0x",(DEC2HEX(IF(B324&lt;&gt;"",VLOOKUP(B324,Notes!$A$2:$B$37,2,FALSE)*1024,0) + C324*16 + IF(D324="",7,D324)*2 + IF(E324&gt;0, 1, 0))),","),"")</f>
        <v/>
      </c>
      <c r="X324" s="21" t="str">
        <f>IF(J324&gt;0,CONCATENATE("0x",(DEC2HEX(IF(I324&lt;&gt;"",VLOOKUP(I324,Notes!$A$2:$B$37,2,FALSE)*1024,0) + J324*16 + IF(K324="",7,K324)*2 + IF(L324&gt;0, 1, 0))),","),"")</f>
        <v/>
      </c>
      <c r="Y324" s="21" t="str">
        <f>IF(Q324&gt;0,CONCATENATE("0x",(DEC2HEX(IF(P324&lt;&gt;"",VLOOKUP(P324,Notes!$A$2:$B$37,2,FALSE)*1024,0) + Q324*16 + IF(R324="",7,R324)*2 + IF(S324&gt;0, 1, 0))),","),"")</f>
        <v/>
      </c>
    </row>
    <row r="325" spans="1:25" x14ac:dyDescent="0.25">
      <c r="F325" s="18">
        <f t="shared" si="30"/>
        <v>0</v>
      </c>
      <c r="G325" s="1" t="str">
        <f t="shared" si="33"/>
        <v/>
      </c>
      <c r="M325" s="18">
        <f t="shared" si="31"/>
        <v>0</v>
      </c>
      <c r="N325" s="1" t="str">
        <f t="shared" si="34"/>
        <v/>
      </c>
      <c r="T325" s="18">
        <f t="shared" si="32"/>
        <v>0</v>
      </c>
      <c r="U325" s="1" t="str">
        <f t="shared" si="35"/>
        <v/>
      </c>
      <c r="W325" s="21" t="str">
        <f>IF(C325&gt;0,CONCATENATE("0x",(DEC2HEX(IF(B325&lt;&gt;"",VLOOKUP(B325,Notes!$A$2:$B$37,2,FALSE)*1024,0) + C325*16 + IF(D325="",7,D325)*2 + IF(E325&gt;0, 1, 0))),","),"")</f>
        <v/>
      </c>
      <c r="X325" s="21" t="str">
        <f>IF(J325&gt;0,CONCATENATE("0x",(DEC2HEX(IF(I325&lt;&gt;"",VLOOKUP(I325,Notes!$A$2:$B$37,2,FALSE)*1024,0) + J325*16 + IF(K325="",7,K325)*2 + IF(L325&gt;0, 1, 0))),","),"")</f>
        <v/>
      </c>
      <c r="Y325" s="21" t="str">
        <f>IF(Q325&gt;0,CONCATENATE("0x",(DEC2HEX(IF(P325&lt;&gt;"",VLOOKUP(P325,Notes!$A$2:$B$37,2,FALSE)*1024,0) + Q325*16 + IF(R325="",7,R325)*2 + IF(S325&gt;0, 1, 0))),","),"")</f>
        <v/>
      </c>
    </row>
    <row r="326" spans="1:25" x14ac:dyDescent="0.25">
      <c r="F326" s="18">
        <f t="shared" si="30"/>
        <v>0</v>
      </c>
      <c r="G326" s="1" t="str">
        <f t="shared" si="33"/>
        <v/>
      </c>
      <c r="M326" s="18">
        <f t="shared" si="31"/>
        <v>0</v>
      </c>
      <c r="N326" s="1" t="str">
        <f t="shared" si="34"/>
        <v/>
      </c>
      <c r="T326" s="18">
        <f t="shared" si="32"/>
        <v>0</v>
      </c>
      <c r="U326" s="1" t="str">
        <f t="shared" si="35"/>
        <v/>
      </c>
      <c r="W326" s="21" t="str">
        <f>IF(C326&gt;0,CONCATENATE("0x",(DEC2HEX(IF(B326&lt;&gt;"",VLOOKUP(B326,Notes!$A$2:$B$37,2,FALSE)*1024,0) + C326*16 + IF(D326="",7,D326)*2 + IF(E326&gt;0, 1, 0))),","),"")</f>
        <v/>
      </c>
      <c r="X326" s="21" t="str">
        <f>IF(J326&gt;0,CONCATENATE("0x",(DEC2HEX(IF(I326&lt;&gt;"",VLOOKUP(I326,Notes!$A$2:$B$37,2,FALSE)*1024,0) + J326*16 + IF(K326="",7,K326)*2 + IF(L326&gt;0, 1, 0))),","),"")</f>
        <v/>
      </c>
      <c r="Y326" s="21" t="str">
        <f>IF(Q326&gt;0,CONCATENATE("0x",(DEC2HEX(IF(P326&lt;&gt;"",VLOOKUP(P326,Notes!$A$2:$B$37,2,FALSE)*1024,0) + Q326*16 + IF(R326="",7,R326)*2 + IF(S326&gt;0, 1, 0))),","),"")</f>
        <v/>
      </c>
    </row>
    <row r="327" spans="1:25" x14ac:dyDescent="0.25">
      <c r="F327" s="18">
        <f t="shared" si="30"/>
        <v>0</v>
      </c>
      <c r="G327" s="1" t="str">
        <f t="shared" si="33"/>
        <v/>
      </c>
      <c r="M327" s="18">
        <f t="shared" si="31"/>
        <v>0</v>
      </c>
      <c r="N327" s="1" t="str">
        <f t="shared" si="34"/>
        <v/>
      </c>
      <c r="T327" s="18">
        <f t="shared" si="32"/>
        <v>0</v>
      </c>
      <c r="U327" s="1" t="str">
        <f t="shared" si="35"/>
        <v/>
      </c>
      <c r="W327" s="21" t="str">
        <f>IF(C327&gt;0,CONCATENATE("0x",(DEC2HEX(IF(B327&lt;&gt;"",VLOOKUP(B327,Notes!$A$2:$B$37,2,FALSE)*1024,0) + C327*16 + IF(D327="",7,D327)*2 + IF(E327&gt;0, 1, 0))),","),"")</f>
        <v/>
      </c>
      <c r="X327" s="21" t="str">
        <f>IF(J327&gt;0,CONCATENATE("0x",(DEC2HEX(IF(I327&lt;&gt;"",VLOOKUP(I327,Notes!$A$2:$B$37,2,FALSE)*1024,0) + J327*16 + IF(K327="",7,K327)*2 + IF(L327&gt;0, 1, 0))),","),"")</f>
        <v/>
      </c>
      <c r="Y327" s="21" t="str">
        <f>IF(Q327&gt;0,CONCATENATE("0x",(DEC2HEX(IF(P327&lt;&gt;"",VLOOKUP(P327,Notes!$A$2:$B$37,2,FALSE)*1024,0) + Q327*16 + IF(R327="",7,R327)*2 + IF(S327&gt;0, 1, 0))),","),"")</f>
        <v/>
      </c>
    </row>
    <row r="328" spans="1:25" x14ac:dyDescent="0.25">
      <c r="F328" s="18">
        <f t="shared" si="30"/>
        <v>0</v>
      </c>
      <c r="G328" s="1" t="str">
        <f t="shared" si="33"/>
        <v/>
      </c>
      <c r="M328" s="18">
        <f t="shared" si="31"/>
        <v>0</v>
      </c>
      <c r="N328" s="1" t="str">
        <f t="shared" si="34"/>
        <v/>
      </c>
      <c r="T328" s="18">
        <f t="shared" si="32"/>
        <v>0</v>
      </c>
      <c r="U328" s="1" t="str">
        <f t="shared" si="35"/>
        <v/>
      </c>
      <c r="W328" s="21" t="str">
        <f>IF(C328&gt;0,CONCATENATE("0x",(DEC2HEX(IF(B328&lt;&gt;"",VLOOKUP(B328,Notes!$A$2:$B$37,2,FALSE)*1024,0) + C328*16 + IF(D328="",7,D328)*2 + IF(E328&gt;0, 1, 0))),","),"")</f>
        <v/>
      </c>
      <c r="X328" s="21" t="str">
        <f>IF(J328&gt;0,CONCATENATE("0x",(DEC2HEX(IF(I328&lt;&gt;"",VLOOKUP(I328,Notes!$A$2:$B$37,2,FALSE)*1024,0) + J328*16 + IF(K328="",7,K328)*2 + IF(L328&gt;0, 1, 0))),","),"")</f>
        <v/>
      </c>
      <c r="Y328" s="21" t="str">
        <f>IF(Q328&gt;0,CONCATENATE("0x",(DEC2HEX(IF(P328&lt;&gt;"",VLOOKUP(P328,Notes!$A$2:$B$37,2,FALSE)*1024,0) + Q328*16 + IF(R328="",7,R328)*2 + IF(S328&gt;0, 1, 0))),","),"")</f>
        <v/>
      </c>
    </row>
    <row r="329" spans="1:25" x14ac:dyDescent="0.25">
      <c r="B329" s="12"/>
      <c r="C329" s="13"/>
      <c r="D329" s="13"/>
      <c r="E329" s="14"/>
      <c r="F329" s="18">
        <f t="shared" si="30"/>
        <v>0</v>
      </c>
      <c r="G329" s="1" t="str">
        <f t="shared" si="33"/>
        <v/>
      </c>
      <c r="I329" s="12"/>
      <c r="J329" s="13"/>
      <c r="K329" s="13"/>
      <c r="L329" s="14"/>
      <c r="M329" s="18">
        <f t="shared" si="31"/>
        <v>0</v>
      </c>
      <c r="N329" s="1" t="str">
        <f t="shared" si="34"/>
        <v/>
      </c>
      <c r="P329" s="12"/>
      <c r="Q329" s="13"/>
      <c r="R329" s="13"/>
      <c r="S329" s="14"/>
      <c r="T329" s="18">
        <f t="shared" si="32"/>
        <v>0</v>
      </c>
      <c r="U329" s="1" t="str">
        <f t="shared" si="35"/>
        <v/>
      </c>
      <c r="W329" s="21" t="str">
        <f>IF(C329&gt;0,CONCATENATE("0x",(DEC2HEX(IF(B329&lt;&gt;"",VLOOKUP(B329,Notes!$A$2:$B$37,2,FALSE)*1024,0) + C329*16 + IF(D329="",7,D329)*2 + IF(E329&gt;0, 1, 0))),","),"")</f>
        <v/>
      </c>
      <c r="X329" s="21" t="str">
        <f>IF(J329&gt;0,CONCATENATE("0x",(DEC2HEX(IF(I329&lt;&gt;"",VLOOKUP(I329,Notes!$A$2:$B$37,2,FALSE)*1024,0) + J329*16 + IF(K329="",7,K329)*2 + IF(L329&gt;0, 1, 0))),","),"")</f>
        <v/>
      </c>
      <c r="Y329" s="21" t="str">
        <f>IF(Q329&gt;0,CONCATENATE("0x",(DEC2HEX(IF(P329&lt;&gt;"",VLOOKUP(P329,Notes!$A$2:$B$37,2,FALSE)*1024,0) + Q329*16 + IF(R329="",7,R329)*2 + IF(S329&gt;0, 1, 0))),","),"")</f>
        <v/>
      </c>
    </row>
    <row r="330" spans="1:25" x14ac:dyDescent="0.25">
      <c r="F330" s="18">
        <f t="shared" si="30"/>
        <v>0</v>
      </c>
      <c r="G330" s="1" t="str">
        <f t="shared" si="33"/>
        <v/>
      </c>
      <c r="M330" s="18">
        <f t="shared" si="31"/>
        <v>0</v>
      </c>
      <c r="N330" s="1" t="str">
        <f t="shared" si="34"/>
        <v/>
      </c>
      <c r="T330" s="18">
        <f t="shared" si="32"/>
        <v>0</v>
      </c>
      <c r="U330" s="1" t="str">
        <f t="shared" si="35"/>
        <v/>
      </c>
      <c r="W330" s="21" t="str">
        <f>IF(C330&gt;0,CONCATENATE("0x",(DEC2HEX(IF(B330&lt;&gt;"",VLOOKUP(B330,Notes!$A$2:$B$37,2,FALSE)*1024,0) + C330*16 + IF(D330="",7,D330)*2 + IF(E330&gt;0, 1, 0))),","),"")</f>
        <v/>
      </c>
      <c r="X330" s="21" t="str">
        <f>IF(J330&gt;0,CONCATENATE("0x",(DEC2HEX(IF(I330&lt;&gt;"",VLOOKUP(I330,Notes!$A$2:$B$37,2,FALSE)*1024,0) + J330*16 + IF(K330="",7,K330)*2 + IF(L330&gt;0, 1, 0))),","),"")</f>
        <v/>
      </c>
      <c r="Y330" s="21" t="str">
        <f>IF(Q330&gt;0,CONCATENATE("0x",(DEC2HEX(IF(P330&lt;&gt;"",VLOOKUP(P330,Notes!$A$2:$B$37,2,FALSE)*1024,0) + Q330*16 + IF(R330="",7,R330)*2 + IF(S330&gt;0, 1, 0))),","),"")</f>
        <v/>
      </c>
    </row>
    <row r="331" spans="1:25" x14ac:dyDescent="0.25">
      <c r="F331" s="18">
        <f t="shared" si="30"/>
        <v>0</v>
      </c>
      <c r="G331" s="1" t="str">
        <f t="shared" si="33"/>
        <v/>
      </c>
      <c r="M331" s="18">
        <f t="shared" si="31"/>
        <v>0</v>
      </c>
      <c r="N331" s="1" t="str">
        <f t="shared" si="34"/>
        <v/>
      </c>
      <c r="T331" s="18">
        <f t="shared" si="32"/>
        <v>0</v>
      </c>
      <c r="U331" s="1" t="str">
        <f t="shared" si="35"/>
        <v/>
      </c>
      <c r="W331" s="21" t="str">
        <f>IF(C331&gt;0,CONCATENATE("0x",(DEC2HEX(IF(B331&lt;&gt;"",VLOOKUP(B331,Notes!$A$2:$B$37,2,FALSE)*1024,0) + C331*16 + IF(D331="",7,D331)*2 + IF(E331&gt;0, 1, 0))),","),"")</f>
        <v/>
      </c>
      <c r="X331" s="21" t="str">
        <f>IF(J331&gt;0,CONCATENATE("0x",(DEC2HEX(IF(I331&lt;&gt;"",VLOOKUP(I331,Notes!$A$2:$B$37,2,FALSE)*1024,0) + J331*16 + IF(K331="",7,K331)*2 + IF(L331&gt;0, 1, 0))),","),"")</f>
        <v/>
      </c>
      <c r="Y331" s="21" t="str">
        <f>IF(Q331&gt;0,CONCATENATE("0x",(DEC2HEX(IF(P331&lt;&gt;"",VLOOKUP(P331,Notes!$A$2:$B$37,2,FALSE)*1024,0) + Q331*16 + IF(R331="",7,R331)*2 + IF(S331&gt;0, 1, 0))),","),"")</f>
        <v/>
      </c>
    </row>
    <row r="332" spans="1:25" x14ac:dyDescent="0.25">
      <c r="F332" s="18">
        <f t="shared" si="30"/>
        <v>0</v>
      </c>
      <c r="G332" s="1" t="str">
        <f t="shared" si="33"/>
        <v/>
      </c>
      <c r="M332" s="18">
        <f t="shared" si="31"/>
        <v>0</v>
      </c>
      <c r="N332" s="1" t="str">
        <f t="shared" si="34"/>
        <v/>
      </c>
      <c r="T332" s="18">
        <f t="shared" si="32"/>
        <v>0</v>
      </c>
      <c r="U332" s="1" t="str">
        <f t="shared" si="35"/>
        <v/>
      </c>
      <c r="W332" s="21" t="str">
        <f>IF(C332&gt;0,CONCATENATE("0x",(DEC2HEX(IF(B332&lt;&gt;"",VLOOKUP(B332,Notes!$A$2:$B$37,2,FALSE)*1024,0) + C332*16 + IF(D332="",7,D332)*2 + IF(E332&gt;0, 1, 0))),","),"")</f>
        <v/>
      </c>
      <c r="X332" s="21" t="str">
        <f>IF(J332&gt;0,CONCATENATE("0x",(DEC2HEX(IF(I332&lt;&gt;"",VLOOKUP(I332,Notes!$A$2:$B$37,2,FALSE)*1024,0) + J332*16 + IF(K332="",7,K332)*2 + IF(L332&gt;0, 1, 0))),","),"")</f>
        <v/>
      </c>
      <c r="Y332" s="21" t="str">
        <f>IF(Q332&gt;0,CONCATENATE("0x",(DEC2HEX(IF(P332&lt;&gt;"",VLOOKUP(P332,Notes!$A$2:$B$37,2,FALSE)*1024,0) + Q332*16 + IF(R332="",7,R332)*2 + IF(S332&gt;0, 1, 0))),","),"")</f>
        <v/>
      </c>
    </row>
    <row r="333" spans="1:25" x14ac:dyDescent="0.25">
      <c r="F333" s="18">
        <f t="shared" si="30"/>
        <v>0</v>
      </c>
      <c r="G333" s="1" t="str">
        <f t="shared" si="33"/>
        <v/>
      </c>
      <c r="M333" s="18">
        <f t="shared" si="31"/>
        <v>0</v>
      </c>
      <c r="N333" s="1" t="str">
        <f t="shared" si="34"/>
        <v/>
      </c>
      <c r="T333" s="18">
        <f t="shared" si="32"/>
        <v>0</v>
      </c>
      <c r="U333" s="1" t="str">
        <f t="shared" si="35"/>
        <v/>
      </c>
      <c r="W333" s="21" t="str">
        <f>IF(C333&gt;0,CONCATENATE("0x",(DEC2HEX(IF(B333&lt;&gt;"",VLOOKUP(B333,Notes!$A$2:$B$37,2,FALSE)*1024,0) + C333*16 + IF(D333="",7,D333)*2 + IF(E333&gt;0, 1, 0))),","),"")</f>
        <v/>
      </c>
      <c r="X333" s="21" t="str">
        <f>IF(J333&gt;0,CONCATENATE("0x",(DEC2HEX(IF(I333&lt;&gt;"",VLOOKUP(I333,Notes!$A$2:$B$37,2,FALSE)*1024,0) + J333*16 + IF(K333="",7,K333)*2 + IF(L333&gt;0, 1, 0))),","),"")</f>
        <v/>
      </c>
      <c r="Y333" s="21" t="str">
        <f>IF(Q333&gt;0,CONCATENATE("0x",(DEC2HEX(IF(P333&lt;&gt;"",VLOOKUP(P333,Notes!$A$2:$B$37,2,FALSE)*1024,0) + Q333*16 + IF(R333="",7,R333)*2 + IF(S333&gt;0, 1, 0))),","),"")</f>
        <v/>
      </c>
    </row>
    <row r="334" spans="1:25" x14ac:dyDescent="0.25">
      <c r="F334" s="18">
        <f t="shared" si="30"/>
        <v>0</v>
      </c>
      <c r="G334" s="1" t="str">
        <f t="shared" si="33"/>
        <v/>
      </c>
      <c r="M334" s="18">
        <f t="shared" si="31"/>
        <v>0</v>
      </c>
      <c r="N334" s="1" t="str">
        <f t="shared" si="34"/>
        <v/>
      </c>
      <c r="T334" s="18">
        <f t="shared" si="32"/>
        <v>0</v>
      </c>
      <c r="U334" s="1" t="str">
        <f t="shared" si="35"/>
        <v/>
      </c>
      <c r="W334" s="21" t="str">
        <f>IF(C334&gt;0,CONCATENATE("0x",(DEC2HEX(IF(B334&lt;&gt;"",VLOOKUP(B334,Notes!$A$2:$B$37,2,FALSE)*1024,0) + C334*16 + IF(D334="",7,D334)*2 + IF(E334&gt;0, 1, 0))),","),"")</f>
        <v/>
      </c>
      <c r="X334" s="21" t="str">
        <f>IF(J334&gt;0,CONCATENATE("0x",(DEC2HEX(IF(I334&lt;&gt;"",VLOOKUP(I334,Notes!$A$2:$B$37,2,FALSE)*1024,0) + J334*16 + IF(K334="",7,K334)*2 + IF(L334&gt;0, 1, 0))),","),"")</f>
        <v/>
      </c>
      <c r="Y334" s="21" t="str">
        <f>IF(Q334&gt;0,CONCATENATE("0x",(DEC2HEX(IF(P334&lt;&gt;"",VLOOKUP(P334,Notes!$A$2:$B$37,2,FALSE)*1024,0) + Q334*16 + IF(R334="",7,R334)*2 + IF(S334&gt;0, 1, 0))),","),"")</f>
        <v/>
      </c>
    </row>
    <row r="335" spans="1:25" x14ac:dyDescent="0.25">
      <c r="F335" s="18">
        <f t="shared" si="30"/>
        <v>0</v>
      </c>
      <c r="G335" s="1" t="str">
        <f t="shared" si="33"/>
        <v/>
      </c>
      <c r="M335" s="18">
        <f t="shared" si="31"/>
        <v>0</v>
      </c>
      <c r="N335" s="1" t="str">
        <f t="shared" si="34"/>
        <v/>
      </c>
      <c r="T335" s="18">
        <f t="shared" si="32"/>
        <v>0</v>
      </c>
      <c r="U335" s="1" t="str">
        <f t="shared" si="35"/>
        <v/>
      </c>
      <c r="W335" s="21" t="str">
        <f>IF(C335&gt;0,CONCATENATE("0x",(DEC2HEX(IF(B335&lt;&gt;"",VLOOKUP(B335,Notes!$A$2:$B$37,2,FALSE)*1024,0) + C335*16 + IF(D335="",7,D335)*2 + IF(E335&gt;0, 1, 0))),","),"")</f>
        <v/>
      </c>
      <c r="X335" s="21" t="str">
        <f>IF(J335&gt;0,CONCATENATE("0x",(DEC2HEX(IF(I335&lt;&gt;"",VLOOKUP(I335,Notes!$A$2:$B$37,2,FALSE)*1024,0) + J335*16 + IF(K335="",7,K335)*2 + IF(L335&gt;0, 1, 0))),","),"")</f>
        <v/>
      </c>
      <c r="Y335" s="21" t="str">
        <f>IF(Q335&gt;0,CONCATENATE("0x",(DEC2HEX(IF(P335&lt;&gt;"",VLOOKUP(P335,Notes!$A$2:$B$37,2,FALSE)*1024,0) + Q335*16 + IF(R335="",7,R335)*2 + IF(S335&gt;0, 1, 0))),","),"")</f>
        <v/>
      </c>
    </row>
    <row r="336" spans="1:25" x14ac:dyDescent="0.25">
      <c r="F336" s="18">
        <f t="shared" si="30"/>
        <v>0</v>
      </c>
      <c r="G336" s="1" t="str">
        <f t="shared" si="33"/>
        <v/>
      </c>
      <c r="M336" s="18">
        <f t="shared" si="31"/>
        <v>0</v>
      </c>
      <c r="N336" s="1" t="str">
        <f t="shared" si="34"/>
        <v/>
      </c>
      <c r="T336" s="18">
        <f t="shared" si="32"/>
        <v>0</v>
      </c>
      <c r="U336" s="1" t="str">
        <f t="shared" si="35"/>
        <v/>
      </c>
      <c r="W336" s="21" t="str">
        <f>IF(C336&gt;0,CONCATENATE("0x",(DEC2HEX(IF(B336&lt;&gt;"",VLOOKUP(B336,Notes!$A$2:$B$37,2,FALSE)*1024,0) + C336*16 + IF(D336="",7,D336)*2 + IF(E336&gt;0, 1, 0))),","),"")</f>
        <v/>
      </c>
      <c r="X336" s="21" t="str">
        <f>IF(J336&gt;0,CONCATENATE("0x",(DEC2HEX(IF(I336&lt;&gt;"",VLOOKUP(I336,Notes!$A$2:$B$37,2,FALSE)*1024,0) + J336*16 + IF(K336="",7,K336)*2 + IF(L336&gt;0, 1, 0))),","),"")</f>
        <v/>
      </c>
      <c r="Y336" s="21" t="str">
        <f>IF(Q336&gt;0,CONCATENATE("0x",(DEC2HEX(IF(P336&lt;&gt;"",VLOOKUP(P336,Notes!$A$2:$B$37,2,FALSE)*1024,0) + Q336*16 + IF(R336="",7,R336)*2 + IF(S336&gt;0, 1, 0))),","),"")</f>
        <v/>
      </c>
    </row>
    <row r="337" spans="2:25" x14ac:dyDescent="0.25">
      <c r="B337" s="12"/>
      <c r="C337" s="13"/>
      <c r="D337" s="13"/>
      <c r="E337" s="14"/>
      <c r="F337" s="18">
        <f t="shared" si="30"/>
        <v>0</v>
      </c>
      <c r="G337" s="1" t="str">
        <f t="shared" si="33"/>
        <v/>
      </c>
      <c r="I337" s="12"/>
      <c r="J337" s="13"/>
      <c r="K337" s="13"/>
      <c r="L337" s="14"/>
      <c r="M337" s="18">
        <f t="shared" si="31"/>
        <v>0</v>
      </c>
      <c r="N337" s="1" t="str">
        <f t="shared" si="34"/>
        <v/>
      </c>
      <c r="P337" s="12"/>
      <c r="Q337" s="13"/>
      <c r="R337" s="13"/>
      <c r="S337" s="14"/>
      <c r="T337" s="18">
        <f t="shared" si="32"/>
        <v>0</v>
      </c>
      <c r="U337" s="1" t="str">
        <f t="shared" si="35"/>
        <v/>
      </c>
      <c r="W337" s="21" t="str">
        <f>IF(C337&gt;0,CONCATENATE("0x",(DEC2HEX(IF(B337&lt;&gt;"",VLOOKUP(B337,Notes!$A$2:$B$37,2,FALSE)*1024,0) + C337*16 + IF(D337="",7,D337)*2 + IF(E337&gt;0, 1, 0))),","),"")</f>
        <v/>
      </c>
      <c r="X337" s="21" t="str">
        <f>IF(J337&gt;0,CONCATENATE("0x",(DEC2HEX(IF(I337&lt;&gt;"",VLOOKUP(I337,Notes!$A$2:$B$37,2,FALSE)*1024,0) + J337*16 + IF(K337="",7,K337)*2 + IF(L337&gt;0, 1, 0))),","),"")</f>
        <v/>
      </c>
      <c r="Y337" s="21" t="str">
        <f>IF(Q337&gt;0,CONCATENATE("0x",(DEC2HEX(IF(P337&lt;&gt;"",VLOOKUP(P337,Notes!$A$2:$B$37,2,FALSE)*1024,0) + Q337*16 + IF(R337="",7,R337)*2 + IF(S337&gt;0, 1, 0))),","),"")</f>
        <v/>
      </c>
    </row>
    <row r="338" spans="2:25" x14ac:dyDescent="0.25">
      <c r="F338" s="18">
        <f t="shared" si="30"/>
        <v>0</v>
      </c>
      <c r="G338" s="1" t="str">
        <f t="shared" si="33"/>
        <v/>
      </c>
      <c r="M338" s="18">
        <f t="shared" si="31"/>
        <v>0</v>
      </c>
      <c r="N338" s="1" t="str">
        <f t="shared" si="34"/>
        <v/>
      </c>
      <c r="T338" s="18">
        <f t="shared" si="32"/>
        <v>0</v>
      </c>
      <c r="U338" s="1" t="str">
        <f t="shared" si="35"/>
        <v/>
      </c>
      <c r="W338" s="21" t="str">
        <f>IF(C338&gt;0,CONCATENATE("0x",(DEC2HEX(IF(B338&lt;&gt;"",VLOOKUP(B338,Notes!$A$2:$B$37,2,FALSE)*1024,0) + C338*16 + IF(D338="",7,D338)*2 + IF(E338&gt;0, 1, 0))),","),"")</f>
        <v/>
      </c>
      <c r="X338" s="21" t="str">
        <f>IF(J338&gt;0,CONCATENATE("0x",(DEC2HEX(IF(I338&lt;&gt;"",VLOOKUP(I338,Notes!$A$2:$B$37,2,FALSE)*1024,0) + J338*16 + IF(K338="",7,K338)*2 + IF(L338&gt;0, 1, 0))),","),"")</f>
        <v/>
      </c>
      <c r="Y338" s="21" t="str">
        <f>IF(Q338&gt;0,CONCATENATE("0x",(DEC2HEX(IF(P338&lt;&gt;"",VLOOKUP(P338,Notes!$A$2:$B$37,2,FALSE)*1024,0) + Q338*16 + IF(R338="",7,R338)*2 + IF(S338&gt;0, 1, 0))),","),"")</f>
        <v/>
      </c>
    </row>
    <row r="339" spans="2:25" x14ac:dyDescent="0.25">
      <c r="F339" s="18">
        <f t="shared" si="30"/>
        <v>0</v>
      </c>
      <c r="G339" s="1" t="str">
        <f t="shared" si="33"/>
        <v/>
      </c>
      <c r="M339" s="18">
        <f t="shared" si="31"/>
        <v>0</v>
      </c>
      <c r="N339" s="1" t="str">
        <f t="shared" si="34"/>
        <v/>
      </c>
      <c r="T339" s="18">
        <f t="shared" si="32"/>
        <v>0</v>
      </c>
      <c r="U339" s="1" t="str">
        <f t="shared" si="35"/>
        <v/>
      </c>
      <c r="W339" s="21" t="str">
        <f>IF(C339&gt;0,CONCATENATE("0x",(DEC2HEX(IF(B339&lt;&gt;"",VLOOKUP(B339,Notes!$A$2:$B$37,2,FALSE)*1024,0) + C339*16 + IF(D339="",7,D339)*2 + IF(E339&gt;0, 1, 0))),","),"")</f>
        <v/>
      </c>
      <c r="X339" s="21" t="str">
        <f>IF(J339&gt;0,CONCATENATE("0x",(DEC2HEX(IF(I339&lt;&gt;"",VLOOKUP(I339,Notes!$A$2:$B$37,2,FALSE)*1024,0) + J339*16 + IF(K339="",7,K339)*2 + IF(L339&gt;0, 1, 0))),","),"")</f>
        <v/>
      </c>
      <c r="Y339" s="21" t="str">
        <f>IF(Q339&gt;0,CONCATENATE("0x",(DEC2HEX(IF(P339&lt;&gt;"",VLOOKUP(P339,Notes!$A$2:$B$37,2,FALSE)*1024,0) + Q339*16 + IF(R339="",7,R339)*2 + IF(S339&gt;0, 1, 0))),","),"")</f>
        <v/>
      </c>
    </row>
    <row r="340" spans="2:25" x14ac:dyDescent="0.25">
      <c r="F340" s="18">
        <f t="shared" si="30"/>
        <v>0</v>
      </c>
      <c r="G340" s="1" t="str">
        <f t="shared" si="33"/>
        <v/>
      </c>
      <c r="M340" s="18">
        <f t="shared" si="31"/>
        <v>0</v>
      </c>
      <c r="N340" s="1" t="str">
        <f t="shared" si="34"/>
        <v/>
      </c>
      <c r="T340" s="18">
        <f t="shared" si="32"/>
        <v>0</v>
      </c>
      <c r="U340" s="1" t="str">
        <f t="shared" si="35"/>
        <v/>
      </c>
      <c r="W340" s="21" t="str">
        <f>IF(C340&gt;0,CONCATENATE("0x",(DEC2HEX(IF(B340&lt;&gt;"",VLOOKUP(B340,Notes!$A$2:$B$37,2,FALSE)*1024,0) + C340*16 + IF(D340="",7,D340)*2 + IF(E340&gt;0, 1, 0))),","),"")</f>
        <v/>
      </c>
      <c r="X340" s="21" t="str">
        <f>IF(J340&gt;0,CONCATENATE("0x",(DEC2HEX(IF(I340&lt;&gt;"",VLOOKUP(I340,Notes!$A$2:$B$37,2,FALSE)*1024,0) + J340*16 + IF(K340="",7,K340)*2 + IF(L340&gt;0, 1, 0))),","),"")</f>
        <v/>
      </c>
      <c r="Y340" s="21" t="str">
        <f>IF(Q340&gt;0,CONCATENATE("0x",(DEC2HEX(IF(P340&lt;&gt;"",VLOOKUP(P340,Notes!$A$2:$B$37,2,FALSE)*1024,0) + Q340*16 + IF(R340="",7,R340)*2 + IF(S340&gt;0, 1, 0))),","),"")</f>
        <v/>
      </c>
    </row>
    <row r="341" spans="2:25" x14ac:dyDescent="0.25">
      <c r="F341" s="18">
        <f t="shared" si="30"/>
        <v>0</v>
      </c>
      <c r="G341" s="1" t="str">
        <f t="shared" si="33"/>
        <v/>
      </c>
      <c r="M341" s="18">
        <f t="shared" si="31"/>
        <v>0</v>
      </c>
      <c r="N341" s="1" t="str">
        <f t="shared" si="34"/>
        <v/>
      </c>
      <c r="T341" s="18">
        <f t="shared" si="32"/>
        <v>0</v>
      </c>
      <c r="U341" s="1" t="str">
        <f t="shared" si="35"/>
        <v/>
      </c>
      <c r="W341" s="21" t="str">
        <f>IF(C341&gt;0,CONCATENATE("0x",(DEC2HEX(IF(B341&lt;&gt;"",VLOOKUP(B341,Notes!$A$2:$B$37,2,FALSE)*1024,0) + C341*16 + IF(D341="",7,D341)*2 + IF(E341&gt;0, 1, 0))),","),"")</f>
        <v/>
      </c>
      <c r="X341" s="21" t="str">
        <f>IF(J341&gt;0,CONCATENATE("0x",(DEC2HEX(IF(I341&lt;&gt;"",VLOOKUP(I341,Notes!$A$2:$B$37,2,FALSE)*1024,0) + J341*16 + IF(K341="",7,K341)*2 + IF(L341&gt;0, 1, 0))),","),"")</f>
        <v/>
      </c>
      <c r="Y341" s="21" t="str">
        <f>IF(Q341&gt;0,CONCATENATE("0x",(DEC2HEX(IF(P341&lt;&gt;"",VLOOKUP(P341,Notes!$A$2:$B$37,2,FALSE)*1024,0) + Q341*16 + IF(R341="",7,R341)*2 + IF(S341&gt;0, 1, 0))),","),"")</f>
        <v/>
      </c>
    </row>
    <row r="342" spans="2:25" x14ac:dyDescent="0.25">
      <c r="F342" s="18">
        <f t="shared" si="30"/>
        <v>0</v>
      </c>
      <c r="G342" s="1" t="str">
        <f t="shared" si="33"/>
        <v/>
      </c>
      <c r="M342" s="18">
        <f t="shared" si="31"/>
        <v>0</v>
      </c>
      <c r="N342" s="1" t="str">
        <f t="shared" si="34"/>
        <v/>
      </c>
      <c r="T342" s="18">
        <f t="shared" si="32"/>
        <v>0</v>
      </c>
      <c r="U342" s="1" t="str">
        <f t="shared" si="35"/>
        <v/>
      </c>
      <c r="W342" s="21" t="str">
        <f>IF(C342&gt;0,CONCATENATE("0x",(DEC2HEX(IF(B342&lt;&gt;"",VLOOKUP(B342,Notes!$A$2:$B$37,2,FALSE)*1024,0) + C342*16 + IF(D342="",7,D342)*2 + IF(E342&gt;0, 1, 0))),","),"")</f>
        <v/>
      </c>
      <c r="X342" s="21" t="str">
        <f>IF(J342&gt;0,CONCATENATE("0x",(DEC2HEX(IF(I342&lt;&gt;"",VLOOKUP(I342,Notes!$A$2:$B$37,2,FALSE)*1024,0) + J342*16 + IF(K342="",7,K342)*2 + IF(L342&gt;0, 1, 0))),","),"")</f>
        <v/>
      </c>
      <c r="Y342" s="21" t="str">
        <f>IF(Q342&gt;0,CONCATENATE("0x",(DEC2HEX(IF(P342&lt;&gt;"",VLOOKUP(P342,Notes!$A$2:$B$37,2,FALSE)*1024,0) + Q342*16 + IF(R342="",7,R342)*2 + IF(S342&gt;0, 1, 0))),","),"")</f>
        <v/>
      </c>
    </row>
    <row r="343" spans="2:25" x14ac:dyDescent="0.25">
      <c r="F343" s="18">
        <f t="shared" si="30"/>
        <v>0</v>
      </c>
      <c r="G343" s="1" t="str">
        <f t="shared" si="33"/>
        <v/>
      </c>
      <c r="M343" s="18">
        <f t="shared" si="31"/>
        <v>0</v>
      </c>
      <c r="N343" s="1" t="str">
        <f t="shared" si="34"/>
        <v/>
      </c>
      <c r="T343" s="18">
        <f t="shared" si="32"/>
        <v>0</v>
      </c>
      <c r="U343" s="1" t="str">
        <f t="shared" si="35"/>
        <v/>
      </c>
      <c r="W343" s="21" t="str">
        <f>IF(C343&gt;0,CONCATENATE("0x",(DEC2HEX(IF(B343&lt;&gt;"",VLOOKUP(B343,Notes!$A$2:$B$37,2,FALSE)*1024,0) + C343*16 + IF(D343="",7,D343)*2 + IF(E343&gt;0, 1, 0))),","),"")</f>
        <v/>
      </c>
      <c r="X343" s="21" t="str">
        <f>IF(J343&gt;0,CONCATENATE("0x",(DEC2HEX(IF(I343&lt;&gt;"",VLOOKUP(I343,Notes!$A$2:$B$37,2,FALSE)*1024,0) + J343*16 + IF(K343="",7,K343)*2 + IF(L343&gt;0, 1, 0))),","),"")</f>
        <v/>
      </c>
      <c r="Y343" s="21" t="str">
        <f>IF(Q343&gt;0,CONCATENATE("0x",(DEC2HEX(IF(P343&lt;&gt;"",VLOOKUP(P343,Notes!$A$2:$B$37,2,FALSE)*1024,0) + Q343*16 + IF(R343="",7,R343)*2 + IF(S343&gt;0, 1, 0))),","),"")</f>
        <v/>
      </c>
    </row>
    <row r="344" spans="2:25" x14ac:dyDescent="0.25">
      <c r="F344" s="18">
        <f t="shared" si="30"/>
        <v>0</v>
      </c>
      <c r="G344" s="1" t="str">
        <f t="shared" si="33"/>
        <v/>
      </c>
      <c r="M344" s="18">
        <f t="shared" si="31"/>
        <v>0</v>
      </c>
      <c r="N344" s="1" t="str">
        <f t="shared" si="34"/>
        <v/>
      </c>
      <c r="T344" s="18">
        <f t="shared" si="32"/>
        <v>0</v>
      </c>
      <c r="U344" s="1" t="str">
        <f t="shared" si="35"/>
        <v/>
      </c>
      <c r="W344" s="21" t="str">
        <f>IF(C344&gt;0,CONCATENATE("0x",(DEC2HEX(IF(B344&lt;&gt;"",VLOOKUP(B344,Notes!$A$2:$B$37,2,FALSE)*1024,0) + C344*16 + IF(D344="",7,D344)*2 + IF(E344&gt;0, 1, 0))),","),"")</f>
        <v/>
      </c>
      <c r="X344" s="21" t="str">
        <f>IF(J344&gt;0,CONCATENATE("0x",(DEC2HEX(IF(I344&lt;&gt;"",VLOOKUP(I344,Notes!$A$2:$B$37,2,FALSE)*1024,0) + J344*16 + IF(K344="",7,K344)*2 + IF(L344&gt;0, 1, 0))),","),"")</f>
        <v/>
      </c>
      <c r="Y344" s="21" t="str">
        <f>IF(Q344&gt;0,CONCATENATE("0x",(DEC2HEX(IF(P344&lt;&gt;"",VLOOKUP(P344,Notes!$A$2:$B$37,2,FALSE)*1024,0) + Q344*16 + IF(R344="",7,R344)*2 + IF(S344&gt;0, 1, 0))),","),"")</f>
        <v/>
      </c>
    </row>
    <row r="345" spans="2:25" x14ac:dyDescent="0.25">
      <c r="B345" s="12"/>
      <c r="C345" s="13"/>
      <c r="D345" s="13"/>
      <c r="E345" s="14"/>
      <c r="F345" s="18">
        <f t="shared" si="30"/>
        <v>0</v>
      </c>
      <c r="G345" s="1" t="str">
        <f t="shared" si="33"/>
        <v/>
      </c>
      <c r="I345" s="12"/>
      <c r="J345" s="13"/>
      <c r="K345" s="13"/>
      <c r="L345" s="14"/>
      <c r="M345" s="18">
        <f t="shared" si="31"/>
        <v>0</v>
      </c>
      <c r="N345" s="1" t="str">
        <f t="shared" si="34"/>
        <v/>
      </c>
      <c r="P345" s="12"/>
      <c r="Q345" s="13"/>
      <c r="R345" s="13"/>
      <c r="S345" s="14"/>
      <c r="T345" s="18">
        <f t="shared" si="32"/>
        <v>0</v>
      </c>
      <c r="U345" s="1" t="str">
        <f t="shared" si="35"/>
        <v/>
      </c>
      <c r="W345" s="21" t="str">
        <f>IF(C345&gt;0,CONCATENATE("0x",(DEC2HEX(IF(B345&lt;&gt;"",VLOOKUP(B345,Notes!$A$2:$B$37,2,FALSE)*1024,0) + C345*16 + IF(D345="",7,D345)*2 + IF(E345&gt;0, 1, 0))),","),"")</f>
        <v/>
      </c>
      <c r="X345" s="21" t="str">
        <f>IF(J345&gt;0,CONCATENATE("0x",(DEC2HEX(IF(I345&lt;&gt;"",VLOOKUP(I345,Notes!$A$2:$B$37,2,FALSE)*1024,0) + J345*16 + IF(K345="",7,K345)*2 + IF(L345&gt;0, 1, 0))),","),"")</f>
        <v/>
      </c>
      <c r="Y345" s="21" t="str">
        <f>IF(Q345&gt;0,CONCATENATE("0x",(DEC2HEX(IF(P345&lt;&gt;"",VLOOKUP(P345,Notes!$A$2:$B$37,2,FALSE)*1024,0) + Q345*16 + IF(R345="",7,R345)*2 + IF(S345&gt;0, 1, 0))),","),"")</f>
        <v/>
      </c>
    </row>
    <row r="346" spans="2:25" x14ac:dyDescent="0.25">
      <c r="F346" s="18">
        <f t="shared" si="30"/>
        <v>0</v>
      </c>
      <c r="G346" s="1" t="str">
        <f t="shared" si="33"/>
        <v/>
      </c>
      <c r="M346" s="18">
        <f t="shared" si="31"/>
        <v>0</v>
      </c>
      <c r="N346" s="1" t="str">
        <f t="shared" si="34"/>
        <v/>
      </c>
      <c r="T346" s="18">
        <f t="shared" si="32"/>
        <v>0</v>
      </c>
      <c r="U346" s="1" t="str">
        <f t="shared" si="35"/>
        <v/>
      </c>
      <c r="W346" s="21" t="str">
        <f>IF(C346&gt;0,CONCATENATE("0x",(DEC2HEX(IF(B346&lt;&gt;"",VLOOKUP(B346,Notes!$A$2:$B$37,2,FALSE)*1024,0) + C346*16 + IF(D346="",7,D346)*2 + IF(E346&gt;0, 1, 0))),","),"")</f>
        <v/>
      </c>
      <c r="X346" s="21" t="str">
        <f>IF(J346&gt;0,CONCATENATE("0x",(DEC2HEX(IF(I346&lt;&gt;"",VLOOKUP(I346,Notes!$A$2:$B$37,2,FALSE)*1024,0) + J346*16 + IF(K346="",7,K346)*2 + IF(L346&gt;0, 1, 0))),","),"")</f>
        <v/>
      </c>
      <c r="Y346" s="21" t="str">
        <f>IF(Q346&gt;0,CONCATENATE("0x",(DEC2HEX(IF(P346&lt;&gt;"",VLOOKUP(P346,Notes!$A$2:$B$37,2,FALSE)*1024,0) + Q346*16 + IF(R346="",7,R346)*2 + IF(S346&gt;0, 1, 0))),","),"")</f>
        <v/>
      </c>
    </row>
    <row r="347" spans="2:25" x14ac:dyDescent="0.25">
      <c r="F347" s="18">
        <f t="shared" si="30"/>
        <v>0</v>
      </c>
      <c r="G347" s="1" t="str">
        <f t="shared" si="33"/>
        <v/>
      </c>
      <c r="M347" s="18">
        <f t="shared" si="31"/>
        <v>0</v>
      </c>
      <c r="N347" s="1" t="str">
        <f t="shared" si="34"/>
        <v/>
      </c>
      <c r="T347" s="18">
        <f t="shared" si="32"/>
        <v>0</v>
      </c>
      <c r="U347" s="1" t="str">
        <f t="shared" si="35"/>
        <v/>
      </c>
      <c r="W347" s="21" t="str">
        <f>IF(C347&gt;0,CONCATENATE("0x",(DEC2HEX(IF(B347&lt;&gt;"",VLOOKUP(B347,Notes!$A$2:$B$37,2,FALSE)*1024,0) + C347*16 + IF(D347="",7,D347)*2 + IF(E347&gt;0, 1, 0))),","),"")</f>
        <v/>
      </c>
      <c r="X347" s="21" t="str">
        <f>IF(J347&gt;0,CONCATENATE("0x",(DEC2HEX(IF(I347&lt;&gt;"",VLOOKUP(I347,Notes!$A$2:$B$37,2,FALSE)*1024,0) + J347*16 + IF(K347="",7,K347)*2 + IF(L347&gt;0, 1, 0))),","),"")</f>
        <v/>
      </c>
      <c r="Y347" s="21" t="str">
        <f>IF(Q347&gt;0,CONCATENATE("0x",(DEC2HEX(IF(P347&lt;&gt;"",VLOOKUP(P347,Notes!$A$2:$B$37,2,FALSE)*1024,0) + Q347*16 + IF(R347="",7,R347)*2 + IF(S347&gt;0, 1, 0))),","),"")</f>
        <v/>
      </c>
    </row>
    <row r="348" spans="2:25" x14ac:dyDescent="0.25">
      <c r="F348" s="18">
        <f t="shared" si="30"/>
        <v>0</v>
      </c>
      <c r="G348" s="1" t="str">
        <f t="shared" si="33"/>
        <v/>
      </c>
      <c r="M348" s="18">
        <f t="shared" si="31"/>
        <v>0</v>
      </c>
      <c r="N348" s="1" t="str">
        <f t="shared" si="34"/>
        <v/>
      </c>
      <c r="T348" s="18">
        <f t="shared" si="32"/>
        <v>0</v>
      </c>
      <c r="U348" s="1" t="str">
        <f t="shared" si="35"/>
        <v/>
      </c>
      <c r="W348" s="21" t="str">
        <f>IF(C348&gt;0,CONCATENATE("0x",(DEC2HEX(IF(B348&lt;&gt;"",VLOOKUP(B348,Notes!$A$2:$B$37,2,FALSE)*1024,0) + C348*16 + IF(D348="",7,D348)*2 + IF(E348&gt;0, 1, 0))),","),"")</f>
        <v/>
      </c>
      <c r="X348" s="21" t="str">
        <f>IF(J348&gt;0,CONCATENATE("0x",(DEC2HEX(IF(I348&lt;&gt;"",VLOOKUP(I348,Notes!$A$2:$B$37,2,FALSE)*1024,0) + J348*16 + IF(K348="",7,K348)*2 + IF(L348&gt;0, 1, 0))),","),"")</f>
        <v/>
      </c>
      <c r="Y348" s="21" t="str">
        <f>IF(Q348&gt;0,CONCATENATE("0x",(DEC2HEX(IF(P348&lt;&gt;"",VLOOKUP(P348,Notes!$A$2:$B$37,2,FALSE)*1024,0) + Q348*16 + IF(R348="",7,R348)*2 + IF(S348&gt;0, 1, 0))),","),"")</f>
        <v/>
      </c>
    </row>
    <row r="349" spans="2:25" x14ac:dyDescent="0.25">
      <c r="F349" s="18">
        <f t="shared" si="30"/>
        <v>0</v>
      </c>
      <c r="G349" s="1" t="str">
        <f t="shared" si="33"/>
        <v/>
      </c>
      <c r="M349" s="18">
        <f t="shared" si="31"/>
        <v>0</v>
      </c>
      <c r="N349" s="1" t="str">
        <f t="shared" si="34"/>
        <v/>
      </c>
      <c r="T349" s="18">
        <f t="shared" si="32"/>
        <v>0</v>
      </c>
      <c r="U349" s="1" t="str">
        <f t="shared" si="35"/>
        <v/>
      </c>
      <c r="W349" s="21" t="str">
        <f>IF(C349&gt;0,CONCATENATE("0x",(DEC2HEX(IF(B349&lt;&gt;"",VLOOKUP(B349,Notes!$A$2:$B$37,2,FALSE)*1024,0) + C349*16 + IF(D349="",7,D349)*2 + IF(E349&gt;0, 1, 0))),","),"")</f>
        <v/>
      </c>
      <c r="X349" s="21" t="str">
        <f>IF(J349&gt;0,CONCATENATE("0x",(DEC2HEX(IF(I349&lt;&gt;"",VLOOKUP(I349,Notes!$A$2:$B$37,2,FALSE)*1024,0) + J349*16 + IF(K349="",7,K349)*2 + IF(L349&gt;0, 1, 0))),","),"")</f>
        <v/>
      </c>
      <c r="Y349" s="21" t="str">
        <f>IF(Q349&gt;0,CONCATENATE("0x",(DEC2HEX(IF(P349&lt;&gt;"",VLOOKUP(P349,Notes!$A$2:$B$37,2,FALSE)*1024,0) + Q349*16 + IF(R349="",7,R349)*2 + IF(S349&gt;0, 1, 0))),","),"")</f>
        <v/>
      </c>
    </row>
    <row r="350" spans="2:25" x14ac:dyDescent="0.25">
      <c r="F350" s="18">
        <f t="shared" si="30"/>
        <v>0</v>
      </c>
      <c r="G350" s="1" t="str">
        <f t="shared" si="33"/>
        <v/>
      </c>
      <c r="M350" s="18">
        <f t="shared" si="31"/>
        <v>0</v>
      </c>
      <c r="N350" s="1" t="str">
        <f t="shared" si="34"/>
        <v/>
      </c>
      <c r="T350" s="18">
        <f t="shared" si="32"/>
        <v>0</v>
      </c>
      <c r="U350" s="1" t="str">
        <f t="shared" si="35"/>
        <v/>
      </c>
      <c r="W350" s="21" t="str">
        <f>IF(C350&gt;0,CONCATENATE("0x",(DEC2HEX(IF(B350&lt;&gt;"",VLOOKUP(B350,Notes!$A$2:$B$37,2,FALSE)*1024,0) + C350*16 + IF(D350="",7,D350)*2 + IF(E350&gt;0, 1, 0))),","),"")</f>
        <v/>
      </c>
      <c r="X350" s="21" t="str">
        <f>IF(J350&gt;0,CONCATENATE("0x",(DEC2HEX(IF(I350&lt;&gt;"",VLOOKUP(I350,Notes!$A$2:$B$37,2,FALSE)*1024,0) + J350*16 + IF(K350="",7,K350)*2 + IF(L350&gt;0, 1, 0))),","),"")</f>
        <v/>
      </c>
      <c r="Y350" s="21" t="str">
        <f>IF(Q350&gt;0,CONCATENATE("0x",(DEC2HEX(IF(P350&lt;&gt;"",VLOOKUP(P350,Notes!$A$2:$B$37,2,FALSE)*1024,0) + Q350*16 + IF(R350="",7,R350)*2 + IF(S350&gt;0, 1, 0))),","),"")</f>
        <v/>
      </c>
    </row>
    <row r="351" spans="2:25" x14ac:dyDescent="0.25">
      <c r="F351" s="18">
        <f t="shared" si="30"/>
        <v>0</v>
      </c>
      <c r="G351" s="1" t="str">
        <f t="shared" si="33"/>
        <v/>
      </c>
      <c r="M351" s="18">
        <f t="shared" si="31"/>
        <v>0</v>
      </c>
      <c r="N351" s="1" t="str">
        <f t="shared" si="34"/>
        <v/>
      </c>
      <c r="T351" s="18">
        <f t="shared" si="32"/>
        <v>0</v>
      </c>
      <c r="U351" s="1" t="str">
        <f t="shared" si="35"/>
        <v/>
      </c>
      <c r="W351" s="21" t="str">
        <f>IF(C351&gt;0,CONCATENATE("0x",(DEC2HEX(IF(B351&lt;&gt;"",VLOOKUP(B351,Notes!$A$2:$B$37,2,FALSE)*1024,0) + C351*16 + IF(D351="",7,D351)*2 + IF(E351&gt;0, 1, 0))),","),"")</f>
        <v/>
      </c>
      <c r="X351" s="21" t="str">
        <f>IF(J351&gt;0,CONCATENATE("0x",(DEC2HEX(IF(I351&lt;&gt;"",VLOOKUP(I351,Notes!$A$2:$B$37,2,FALSE)*1024,0) + J351*16 + IF(K351="",7,K351)*2 + IF(L351&gt;0, 1, 0))),","),"")</f>
        <v/>
      </c>
      <c r="Y351" s="21" t="str">
        <f>IF(Q351&gt;0,CONCATENATE("0x",(DEC2HEX(IF(P351&lt;&gt;"",VLOOKUP(P351,Notes!$A$2:$B$37,2,FALSE)*1024,0) + Q351*16 + IF(R351="",7,R351)*2 + IF(S351&gt;0, 1, 0))),","),"")</f>
        <v/>
      </c>
    </row>
    <row r="352" spans="2:25" x14ac:dyDescent="0.25">
      <c r="F352" s="18">
        <f t="shared" si="30"/>
        <v>0</v>
      </c>
      <c r="G352" s="1" t="str">
        <f t="shared" si="33"/>
        <v/>
      </c>
      <c r="M352" s="18">
        <f t="shared" si="31"/>
        <v>0</v>
      </c>
      <c r="N352" s="1" t="str">
        <f t="shared" si="34"/>
        <v/>
      </c>
      <c r="T352" s="18">
        <f t="shared" si="32"/>
        <v>0</v>
      </c>
      <c r="U352" s="1" t="str">
        <f t="shared" si="35"/>
        <v/>
      </c>
      <c r="W352" s="21" t="str">
        <f>IF(C352&gt;0,CONCATENATE("0x",(DEC2HEX(IF(B352&lt;&gt;"",VLOOKUP(B352,Notes!$A$2:$B$37,2,FALSE)*1024,0) + C352*16 + IF(D352="",7,D352)*2 + IF(E352&gt;0, 1, 0))),","),"")</f>
        <v/>
      </c>
      <c r="X352" s="21" t="str">
        <f>IF(J352&gt;0,CONCATENATE("0x",(DEC2HEX(IF(I352&lt;&gt;"",VLOOKUP(I352,Notes!$A$2:$B$37,2,FALSE)*1024,0) + J352*16 + IF(K352="",7,K352)*2 + IF(L352&gt;0, 1, 0))),","),"")</f>
        <v/>
      </c>
      <c r="Y352" s="21" t="str">
        <f>IF(Q352&gt;0,CONCATENATE("0x",(DEC2HEX(IF(P352&lt;&gt;"",VLOOKUP(P352,Notes!$A$2:$B$37,2,FALSE)*1024,0) + Q352*16 + IF(R352="",7,R352)*2 + IF(S352&gt;0, 1, 0))),","),"")</f>
        <v/>
      </c>
    </row>
    <row r="353" spans="1:25" ht="16.5" thickBot="1" x14ac:dyDescent="0.3">
      <c r="B353" s="15"/>
      <c r="C353" s="16"/>
      <c r="D353" s="16"/>
      <c r="E353" s="17"/>
      <c r="F353" s="18">
        <f t="shared" si="30"/>
        <v>0</v>
      </c>
      <c r="G353" s="1" t="str">
        <f t="shared" si="33"/>
        <v/>
      </c>
      <c r="I353" s="15"/>
      <c r="J353" s="16"/>
      <c r="K353" s="16"/>
      <c r="L353" s="17"/>
      <c r="M353" s="18">
        <f t="shared" si="31"/>
        <v>0</v>
      </c>
      <c r="N353" s="1" t="str">
        <f t="shared" si="34"/>
        <v/>
      </c>
      <c r="P353" s="15"/>
      <c r="Q353" s="16"/>
      <c r="R353" s="16"/>
      <c r="S353" s="17"/>
      <c r="T353" s="18">
        <f t="shared" si="32"/>
        <v>0</v>
      </c>
      <c r="U353" s="1" t="str">
        <f t="shared" si="35"/>
        <v/>
      </c>
      <c r="W353" s="21" t="str">
        <f>IF(C353&gt;0,CONCATENATE("0x",(DEC2HEX(IF(B353&lt;&gt;"",VLOOKUP(B353,Notes!$A$2:$B$37,2,FALSE)*1024,0) + C353*16 + IF(D353="",7,D353)*2 + IF(E353&gt;0, 1, 0))),","),"")</f>
        <v/>
      </c>
      <c r="X353" s="21" t="str">
        <f>IF(J353&gt;0,CONCATENATE("0x",(DEC2HEX(IF(I353&lt;&gt;"",VLOOKUP(I353,Notes!$A$2:$B$37,2,FALSE)*1024,0) + J353*16 + IF(K353="",7,K353)*2 + IF(L353&gt;0, 1, 0))),","),"")</f>
        <v/>
      </c>
      <c r="Y353" s="21" t="str">
        <f>IF(Q353&gt;0,CONCATENATE("0x",(DEC2HEX(IF(P353&lt;&gt;"",VLOOKUP(P353,Notes!$A$2:$B$37,2,FALSE)*1024,0) + Q353*16 + IF(R353="",7,R353)*2 + IF(S353&gt;0, 1, 0))),","),"")</f>
        <v/>
      </c>
    </row>
    <row r="354" spans="1:25" ht="16.5" thickTop="1" x14ac:dyDescent="0.25">
      <c r="A354" s="1">
        <v>12</v>
      </c>
      <c r="F354" s="18">
        <f t="shared" si="30"/>
        <v>0</v>
      </c>
      <c r="G354" s="1" t="str">
        <f t="shared" si="33"/>
        <v/>
      </c>
      <c r="M354" s="18">
        <f t="shared" si="31"/>
        <v>0</v>
      </c>
      <c r="N354" s="1" t="str">
        <f t="shared" si="34"/>
        <v/>
      </c>
      <c r="T354" s="18">
        <f t="shared" si="32"/>
        <v>0</v>
      </c>
      <c r="U354" s="1" t="str">
        <f t="shared" si="35"/>
        <v/>
      </c>
      <c r="W354" s="21" t="str">
        <f>IF(C354&gt;0,CONCATENATE("0x",(DEC2HEX(IF(B354&lt;&gt;"",VLOOKUP(B354,Notes!$A$2:$B$37,2,FALSE)*1024,0) + C354*16 + IF(D354="",7,D354)*2 + IF(E354&gt;0, 1, 0))),","),"")</f>
        <v/>
      </c>
      <c r="X354" s="21" t="str">
        <f>IF(J354&gt;0,CONCATENATE("0x",(DEC2HEX(IF(I354&lt;&gt;"",VLOOKUP(I354,Notes!$A$2:$B$37,2,FALSE)*1024,0) + J354*16 + IF(K354="",7,K354)*2 + IF(L354&gt;0, 1, 0))),","),"")</f>
        <v/>
      </c>
      <c r="Y354" s="21" t="str">
        <f>IF(Q354&gt;0,CONCATENATE("0x",(DEC2HEX(IF(P354&lt;&gt;"",VLOOKUP(P354,Notes!$A$2:$B$37,2,FALSE)*1024,0) + Q354*16 + IF(R354="",7,R354)*2 + IF(S354&gt;0, 1, 0))),","),"")</f>
        <v/>
      </c>
    </row>
    <row r="355" spans="1:25" x14ac:dyDescent="0.25">
      <c r="F355" s="18">
        <f t="shared" si="30"/>
        <v>0</v>
      </c>
      <c r="G355" s="1" t="str">
        <f t="shared" si="33"/>
        <v/>
      </c>
      <c r="M355" s="18">
        <f t="shared" si="31"/>
        <v>0</v>
      </c>
      <c r="N355" s="1" t="str">
        <f t="shared" si="34"/>
        <v/>
      </c>
      <c r="T355" s="18">
        <f t="shared" si="32"/>
        <v>0</v>
      </c>
      <c r="U355" s="1" t="str">
        <f t="shared" si="35"/>
        <v/>
      </c>
      <c r="W355" s="21" t="str">
        <f>IF(C355&gt;0,CONCATENATE("0x",(DEC2HEX(IF(B355&lt;&gt;"",VLOOKUP(B355,Notes!$A$2:$B$37,2,FALSE)*1024,0) + C355*16 + IF(D355="",7,D355)*2 + IF(E355&gt;0, 1, 0))),","),"")</f>
        <v/>
      </c>
      <c r="X355" s="21" t="str">
        <f>IF(J355&gt;0,CONCATENATE("0x",(DEC2HEX(IF(I355&lt;&gt;"",VLOOKUP(I355,Notes!$A$2:$B$37,2,FALSE)*1024,0) + J355*16 + IF(K355="",7,K355)*2 + IF(L355&gt;0, 1, 0))),","),"")</f>
        <v/>
      </c>
      <c r="Y355" s="21" t="str">
        <f>IF(Q355&gt;0,CONCATENATE("0x",(DEC2HEX(IF(P355&lt;&gt;"",VLOOKUP(P355,Notes!$A$2:$B$37,2,FALSE)*1024,0) + Q355*16 + IF(R355="",7,R355)*2 + IF(S355&gt;0, 1, 0))),","),"")</f>
        <v/>
      </c>
    </row>
    <row r="356" spans="1:25" x14ac:dyDescent="0.25">
      <c r="F356" s="18">
        <f t="shared" si="30"/>
        <v>0</v>
      </c>
      <c r="G356" s="1" t="str">
        <f t="shared" si="33"/>
        <v/>
      </c>
      <c r="M356" s="18">
        <f t="shared" si="31"/>
        <v>0</v>
      </c>
      <c r="N356" s="1" t="str">
        <f t="shared" si="34"/>
        <v/>
      </c>
      <c r="T356" s="18">
        <f t="shared" si="32"/>
        <v>0</v>
      </c>
      <c r="U356" s="1" t="str">
        <f t="shared" si="35"/>
        <v/>
      </c>
      <c r="W356" s="21" t="str">
        <f>IF(C356&gt;0,CONCATENATE("0x",(DEC2HEX(IF(B356&lt;&gt;"",VLOOKUP(B356,Notes!$A$2:$B$37,2,FALSE)*1024,0) + C356*16 + IF(D356="",7,D356)*2 + IF(E356&gt;0, 1, 0))),","),"")</f>
        <v/>
      </c>
      <c r="X356" s="21" t="str">
        <f>IF(J356&gt;0,CONCATENATE("0x",(DEC2HEX(IF(I356&lt;&gt;"",VLOOKUP(I356,Notes!$A$2:$B$37,2,FALSE)*1024,0) + J356*16 + IF(K356="",7,K356)*2 + IF(L356&gt;0, 1, 0))),","),"")</f>
        <v/>
      </c>
      <c r="Y356" s="21" t="str">
        <f>IF(Q356&gt;0,CONCATENATE("0x",(DEC2HEX(IF(P356&lt;&gt;"",VLOOKUP(P356,Notes!$A$2:$B$37,2,FALSE)*1024,0) + Q356*16 + IF(R356="",7,R356)*2 + IF(S356&gt;0, 1, 0))),","),"")</f>
        <v/>
      </c>
    </row>
    <row r="357" spans="1:25" x14ac:dyDescent="0.25">
      <c r="F357" s="18">
        <f t="shared" si="30"/>
        <v>0</v>
      </c>
      <c r="G357" s="1" t="str">
        <f t="shared" si="33"/>
        <v/>
      </c>
      <c r="M357" s="18">
        <f t="shared" si="31"/>
        <v>0</v>
      </c>
      <c r="N357" s="1" t="str">
        <f t="shared" si="34"/>
        <v/>
      </c>
      <c r="T357" s="18">
        <f t="shared" si="32"/>
        <v>0</v>
      </c>
      <c r="U357" s="1" t="str">
        <f t="shared" si="35"/>
        <v/>
      </c>
      <c r="W357" s="21" t="str">
        <f>IF(C357&gt;0,CONCATENATE("0x",(DEC2HEX(IF(B357&lt;&gt;"",VLOOKUP(B357,Notes!$A$2:$B$37,2,FALSE)*1024,0) + C357*16 + IF(D357="",7,D357)*2 + IF(E357&gt;0, 1, 0))),","),"")</f>
        <v/>
      </c>
      <c r="X357" s="21" t="str">
        <f>IF(J357&gt;0,CONCATENATE("0x",(DEC2HEX(IF(I357&lt;&gt;"",VLOOKUP(I357,Notes!$A$2:$B$37,2,FALSE)*1024,0) + J357*16 + IF(K357="",7,K357)*2 + IF(L357&gt;0, 1, 0))),","),"")</f>
        <v/>
      </c>
      <c r="Y357" s="21" t="str">
        <f>IF(Q357&gt;0,CONCATENATE("0x",(DEC2HEX(IF(P357&lt;&gt;"",VLOOKUP(P357,Notes!$A$2:$B$37,2,FALSE)*1024,0) + Q357*16 + IF(R357="",7,R357)*2 + IF(S357&gt;0, 1, 0))),","),"")</f>
        <v/>
      </c>
    </row>
    <row r="358" spans="1:25" x14ac:dyDescent="0.25">
      <c r="F358" s="18">
        <f t="shared" si="30"/>
        <v>0</v>
      </c>
      <c r="G358" s="1" t="str">
        <f t="shared" si="33"/>
        <v/>
      </c>
      <c r="M358" s="18">
        <f t="shared" si="31"/>
        <v>0</v>
      </c>
      <c r="N358" s="1" t="str">
        <f t="shared" si="34"/>
        <v/>
      </c>
      <c r="T358" s="18">
        <f t="shared" si="32"/>
        <v>0</v>
      </c>
      <c r="U358" s="1" t="str">
        <f t="shared" si="35"/>
        <v/>
      </c>
      <c r="W358" s="21" t="str">
        <f>IF(C358&gt;0,CONCATENATE("0x",(DEC2HEX(IF(B358&lt;&gt;"",VLOOKUP(B358,Notes!$A$2:$B$37,2,FALSE)*1024,0) + C358*16 + IF(D358="",7,D358)*2 + IF(E358&gt;0, 1, 0))),","),"")</f>
        <v/>
      </c>
      <c r="X358" s="21" t="str">
        <f>IF(J358&gt;0,CONCATENATE("0x",(DEC2HEX(IF(I358&lt;&gt;"",VLOOKUP(I358,Notes!$A$2:$B$37,2,FALSE)*1024,0) + J358*16 + IF(K358="",7,K358)*2 + IF(L358&gt;0, 1, 0))),","),"")</f>
        <v/>
      </c>
      <c r="Y358" s="21" t="str">
        <f>IF(Q358&gt;0,CONCATENATE("0x",(DEC2HEX(IF(P358&lt;&gt;"",VLOOKUP(P358,Notes!$A$2:$B$37,2,FALSE)*1024,0) + Q358*16 + IF(R358="",7,R358)*2 + IF(S358&gt;0, 1, 0))),","),"")</f>
        <v/>
      </c>
    </row>
    <row r="359" spans="1:25" x14ac:dyDescent="0.25">
      <c r="F359" s="18">
        <f t="shared" si="30"/>
        <v>0</v>
      </c>
      <c r="G359" s="1" t="str">
        <f t="shared" si="33"/>
        <v/>
      </c>
      <c r="M359" s="18">
        <f t="shared" si="31"/>
        <v>0</v>
      </c>
      <c r="N359" s="1" t="str">
        <f t="shared" si="34"/>
        <v/>
      </c>
      <c r="T359" s="18">
        <f t="shared" si="32"/>
        <v>0</v>
      </c>
      <c r="U359" s="1" t="str">
        <f t="shared" si="35"/>
        <v/>
      </c>
      <c r="W359" s="21" t="str">
        <f>IF(C359&gt;0,CONCATENATE("0x",(DEC2HEX(IF(B359&lt;&gt;"",VLOOKUP(B359,Notes!$A$2:$B$37,2,FALSE)*1024,0) + C359*16 + IF(D359="",7,D359)*2 + IF(E359&gt;0, 1, 0))),","),"")</f>
        <v/>
      </c>
      <c r="X359" s="21" t="str">
        <f>IF(J359&gt;0,CONCATENATE("0x",(DEC2HEX(IF(I359&lt;&gt;"",VLOOKUP(I359,Notes!$A$2:$B$37,2,FALSE)*1024,0) + J359*16 + IF(K359="",7,K359)*2 + IF(L359&gt;0, 1, 0))),","),"")</f>
        <v/>
      </c>
      <c r="Y359" s="21" t="str">
        <f>IF(Q359&gt;0,CONCATENATE("0x",(DEC2HEX(IF(P359&lt;&gt;"",VLOOKUP(P359,Notes!$A$2:$B$37,2,FALSE)*1024,0) + Q359*16 + IF(R359="",7,R359)*2 + IF(S359&gt;0, 1, 0))),","),"")</f>
        <v/>
      </c>
    </row>
    <row r="360" spans="1:25" x14ac:dyDescent="0.25">
      <c r="F360" s="18">
        <f t="shared" si="30"/>
        <v>0</v>
      </c>
      <c r="G360" s="1" t="str">
        <f t="shared" si="33"/>
        <v/>
      </c>
      <c r="M360" s="18">
        <f t="shared" si="31"/>
        <v>0</v>
      </c>
      <c r="N360" s="1" t="str">
        <f t="shared" si="34"/>
        <v/>
      </c>
      <c r="T360" s="18">
        <f t="shared" si="32"/>
        <v>0</v>
      </c>
      <c r="U360" s="1" t="str">
        <f t="shared" si="35"/>
        <v/>
      </c>
      <c r="W360" s="21" t="str">
        <f>IF(C360&gt;0,CONCATENATE("0x",(DEC2HEX(IF(B360&lt;&gt;"",VLOOKUP(B360,Notes!$A$2:$B$37,2,FALSE)*1024,0) + C360*16 + IF(D360="",7,D360)*2 + IF(E360&gt;0, 1, 0))),","),"")</f>
        <v/>
      </c>
      <c r="X360" s="21" t="str">
        <f>IF(J360&gt;0,CONCATENATE("0x",(DEC2HEX(IF(I360&lt;&gt;"",VLOOKUP(I360,Notes!$A$2:$B$37,2,FALSE)*1024,0) + J360*16 + IF(K360="",7,K360)*2 + IF(L360&gt;0, 1, 0))),","),"")</f>
        <v/>
      </c>
      <c r="Y360" s="21" t="str">
        <f>IF(Q360&gt;0,CONCATENATE("0x",(DEC2HEX(IF(P360&lt;&gt;"",VLOOKUP(P360,Notes!$A$2:$B$37,2,FALSE)*1024,0) + Q360*16 + IF(R360="",7,R360)*2 + IF(S360&gt;0, 1, 0))),","),"")</f>
        <v/>
      </c>
    </row>
    <row r="361" spans="1:25" x14ac:dyDescent="0.25">
      <c r="B361" s="12"/>
      <c r="C361" s="13"/>
      <c r="D361" s="13"/>
      <c r="E361" s="14"/>
      <c r="F361" s="18">
        <f t="shared" si="30"/>
        <v>0</v>
      </c>
      <c r="G361" s="1" t="str">
        <f t="shared" si="33"/>
        <v/>
      </c>
      <c r="I361" s="12"/>
      <c r="J361" s="13"/>
      <c r="K361" s="13"/>
      <c r="L361" s="14"/>
      <c r="M361" s="18">
        <f t="shared" si="31"/>
        <v>0</v>
      </c>
      <c r="N361" s="1" t="str">
        <f t="shared" si="34"/>
        <v/>
      </c>
      <c r="P361" s="12"/>
      <c r="Q361" s="13"/>
      <c r="R361" s="13"/>
      <c r="S361" s="14"/>
      <c r="T361" s="18">
        <f t="shared" si="32"/>
        <v>0</v>
      </c>
      <c r="U361" s="1" t="str">
        <f t="shared" si="35"/>
        <v/>
      </c>
      <c r="W361" s="21" t="str">
        <f>IF(C361&gt;0,CONCATENATE("0x",(DEC2HEX(IF(B361&lt;&gt;"",VLOOKUP(B361,Notes!$A$2:$B$37,2,FALSE)*1024,0) + C361*16 + IF(D361="",7,D361)*2 + IF(E361&gt;0, 1, 0))),","),"")</f>
        <v/>
      </c>
      <c r="X361" s="21" t="str">
        <f>IF(J361&gt;0,CONCATENATE("0x",(DEC2HEX(IF(I361&lt;&gt;"",VLOOKUP(I361,Notes!$A$2:$B$37,2,FALSE)*1024,0) + J361*16 + IF(K361="",7,K361)*2 + IF(L361&gt;0, 1, 0))),","),"")</f>
        <v/>
      </c>
      <c r="Y361" s="21" t="str">
        <f>IF(Q361&gt;0,CONCATENATE("0x",(DEC2HEX(IF(P361&lt;&gt;"",VLOOKUP(P361,Notes!$A$2:$B$37,2,FALSE)*1024,0) + Q361*16 + IF(R361="",7,R361)*2 + IF(S361&gt;0, 1, 0))),","),"")</f>
        <v/>
      </c>
    </row>
    <row r="362" spans="1:25" x14ac:dyDescent="0.25">
      <c r="F362" s="18">
        <f t="shared" si="30"/>
        <v>0</v>
      </c>
      <c r="G362" s="1" t="str">
        <f t="shared" si="33"/>
        <v/>
      </c>
      <c r="M362" s="18">
        <f t="shared" si="31"/>
        <v>0</v>
      </c>
      <c r="N362" s="1" t="str">
        <f t="shared" si="34"/>
        <v/>
      </c>
      <c r="T362" s="18">
        <f t="shared" si="32"/>
        <v>0</v>
      </c>
      <c r="U362" s="1" t="str">
        <f t="shared" si="35"/>
        <v/>
      </c>
      <c r="W362" s="21" t="str">
        <f>IF(C362&gt;0,CONCATENATE("0x",(DEC2HEX(IF(B362&lt;&gt;"",VLOOKUP(B362,Notes!$A$2:$B$37,2,FALSE)*1024,0) + C362*16 + IF(D362="",7,D362)*2 + IF(E362&gt;0, 1, 0))),","),"")</f>
        <v/>
      </c>
      <c r="X362" s="21" t="str">
        <f>IF(J362&gt;0,CONCATENATE("0x",(DEC2HEX(IF(I362&lt;&gt;"",VLOOKUP(I362,Notes!$A$2:$B$37,2,FALSE)*1024,0) + J362*16 + IF(K362="",7,K362)*2 + IF(L362&gt;0, 1, 0))),","),"")</f>
        <v/>
      </c>
      <c r="Y362" s="21" t="str">
        <f>IF(Q362&gt;0,CONCATENATE("0x",(DEC2HEX(IF(P362&lt;&gt;"",VLOOKUP(P362,Notes!$A$2:$B$37,2,FALSE)*1024,0) + Q362*16 + IF(R362="",7,R362)*2 + IF(S362&gt;0, 1, 0))),","),"")</f>
        <v/>
      </c>
    </row>
    <row r="363" spans="1:25" x14ac:dyDescent="0.25">
      <c r="F363" s="18">
        <f t="shared" si="30"/>
        <v>0</v>
      </c>
      <c r="G363" s="1" t="str">
        <f t="shared" si="33"/>
        <v/>
      </c>
      <c r="M363" s="18">
        <f t="shared" si="31"/>
        <v>0</v>
      </c>
      <c r="N363" s="1" t="str">
        <f t="shared" si="34"/>
        <v/>
      </c>
      <c r="T363" s="18">
        <f t="shared" si="32"/>
        <v>0</v>
      </c>
      <c r="U363" s="1" t="str">
        <f t="shared" si="35"/>
        <v/>
      </c>
      <c r="W363" s="21" t="str">
        <f>IF(C363&gt;0,CONCATENATE("0x",(DEC2HEX(IF(B363&lt;&gt;"",VLOOKUP(B363,Notes!$A$2:$B$37,2,FALSE)*1024,0) + C363*16 + IF(D363="",7,D363)*2 + IF(E363&gt;0, 1, 0))),","),"")</f>
        <v/>
      </c>
      <c r="X363" s="21" t="str">
        <f>IF(J363&gt;0,CONCATENATE("0x",(DEC2HEX(IF(I363&lt;&gt;"",VLOOKUP(I363,Notes!$A$2:$B$37,2,FALSE)*1024,0) + J363*16 + IF(K363="",7,K363)*2 + IF(L363&gt;0, 1, 0))),","),"")</f>
        <v/>
      </c>
      <c r="Y363" s="21" t="str">
        <f>IF(Q363&gt;0,CONCATENATE("0x",(DEC2HEX(IF(P363&lt;&gt;"",VLOOKUP(P363,Notes!$A$2:$B$37,2,FALSE)*1024,0) + Q363*16 + IF(R363="",7,R363)*2 + IF(S363&gt;0, 1, 0))),","),"")</f>
        <v/>
      </c>
    </row>
    <row r="364" spans="1:25" x14ac:dyDescent="0.25">
      <c r="F364" s="18">
        <f t="shared" si="30"/>
        <v>0</v>
      </c>
      <c r="G364" s="1" t="str">
        <f t="shared" si="33"/>
        <v/>
      </c>
      <c r="M364" s="18">
        <f t="shared" si="31"/>
        <v>0</v>
      </c>
      <c r="N364" s="1" t="str">
        <f t="shared" si="34"/>
        <v/>
      </c>
      <c r="T364" s="18">
        <f t="shared" si="32"/>
        <v>0</v>
      </c>
      <c r="U364" s="1" t="str">
        <f t="shared" si="35"/>
        <v/>
      </c>
      <c r="W364" s="21" t="str">
        <f>IF(C364&gt;0,CONCATENATE("0x",(DEC2HEX(IF(B364&lt;&gt;"",VLOOKUP(B364,Notes!$A$2:$B$37,2,FALSE)*1024,0) + C364*16 + IF(D364="",7,D364)*2 + IF(E364&gt;0, 1, 0))),","),"")</f>
        <v/>
      </c>
      <c r="X364" s="21" t="str">
        <f>IF(J364&gt;0,CONCATENATE("0x",(DEC2HEX(IF(I364&lt;&gt;"",VLOOKUP(I364,Notes!$A$2:$B$37,2,FALSE)*1024,0) + J364*16 + IF(K364="",7,K364)*2 + IF(L364&gt;0, 1, 0))),","),"")</f>
        <v/>
      </c>
      <c r="Y364" s="21" t="str">
        <f>IF(Q364&gt;0,CONCATENATE("0x",(DEC2HEX(IF(P364&lt;&gt;"",VLOOKUP(P364,Notes!$A$2:$B$37,2,FALSE)*1024,0) + Q364*16 + IF(R364="",7,R364)*2 + IF(S364&gt;0, 1, 0))),","),"")</f>
        <v/>
      </c>
    </row>
    <row r="365" spans="1:25" x14ac:dyDescent="0.25">
      <c r="F365" s="18">
        <f t="shared" si="30"/>
        <v>0</v>
      </c>
      <c r="G365" s="1" t="str">
        <f t="shared" si="33"/>
        <v/>
      </c>
      <c r="M365" s="18">
        <f t="shared" si="31"/>
        <v>0</v>
      </c>
      <c r="N365" s="1" t="str">
        <f t="shared" si="34"/>
        <v/>
      </c>
      <c r="T365" s="18">
        <f t="shared" si="32"/>
        <v>0</v>
      </c>
      <c r="U365" s="1" t="str">
        <f t="shared" si="35"/>
        <v/>
      </c>
      <c r="W365" s="21" t="str">
        <f>IF(C365&gt;0,CONCATENATE("0x",(DEC2HEX(IF(B365&lt;&gt;"",VLOOKUP(B365,Notes!$A$2:$B$37,2,FALSE)*1024,0) + C365*16 + IF(D365="",7,D365)*2 + IF(E365&gt;0, 1, 0))),","),"")</f>
        <v/>
      </c>
      <c r="X365" s="21" t="str">
        <f>IF(J365&gt;0,CONCATENATE("0x",(DEC2HEX(IF(I365&lt;&gt;"",VLOOKUP(I365,Notes!$A$2:$B$37,2,FALSE)*1024,0) + J365*16 + IF(K365="",7,K365)*2 + IF(L365&gt;0, 1, 0))),","),"")</f>
        <v/>
      </c>
      <c r="Y365" s="21" t="str">
        <f>IF(Q365&gt;0,CONCATENATE("0x",(DEC2HEX(IF(P365&lt;&gt;"",VLOOKUP(P365,Notes!$A$2:$B$37,2,FALSE)*1024,0) + Q365*16 + IF(R365="",7,R365)*2 + IF(S365&gt;0, 1, 0))),","),"")</f>
        <v/>
      </c>
    </row>
    <row r="366" spans="1:25" x14ac:dyDescent="0.25">
      <c r="F366" s="18">
        <f t="shared" si="30"/>
        <v>0</v>
      </c>
      <c r="G366" s="1" t="str">
        <f t="shared" si="33"/>
        <v/>
      </c>
      <c r="M366" s="18">
        <f t="shared" si="31"/>
        <v>0</v>
      </c>
      <c r="N366" s="1" t="str">
        <f t="shared" si="34"/>
        <v/>
      </c>
      <c r="T366" s="18">
        <f t="shared" si="32"/>
        <v>0</v>
      </c>
      <c r="U366" s="1" t="str">
        <f t="shared" si="35"/>
        <v/>
      </c>
      <c r="W366" s="21" t="str">
        <f>IF(C366&gt;0,CONCATENATE("0x",(DEC2HEX(IF(B366&lt;&gt;"",VLOOKUP(B366,Notes!$A$2:$B$37,2,FALSE)*1024,0) + C366*16 + IF(D366="",7,D366)*2 + IF(E366&gt;0, 1, 0))),","),"")</f>
        <v/>
      </c>
      <c r="X366" s="21" t="str">
        <f>IF(J366&gt;0,CONCATENATE("0x",(DEC2HEX(IF(I366&lt;&gt;"",VLOOKUP(I366,Notes!$A$2:$B$37,2,FALSE)*1024,0) + J366*16 + IF(K366="",7,K366)*2 + IF(L366&gt;0, 1, 0))),","),"")</f>
        <v/>
      </c>
      <c r="Y366" s="21" t="str">
        <f>IF(Q366&gt;0,CONCATENATE("0x",(DEC2HEX(IF(P366&lt;&gt;"",VLOOKUP(P366,Notes!$A$2:$B$37,2,FALSE)*1024,0) + Q366*16 + IF(R366="",7,R366)*2 + IF(S366&gt;0, 1, 0))),","),"")</f>
        <v/>
      </c>
    </row>
    <row r="367" spans="1:25" x14ac:dyDescent="0.25">
      <c r="F367" s="18">
        <f t="shared" si="30"/>
        <v>0</v>
      </c>
      <c r="G367" s="1" t="str">
        <f t="shared" si="33"/>
        <v/>
      </c>
      <c r="M367" s="18">
        <f t="shared" si="31"/>
        <v>0</v>
      </c>
      <c r="N367" s="1" t="str">
        <f t="shared" si="34"/>
        <v/>
      </c>
      <c r="T367" s="18">
        <f t="shared" si="32"/>
        <v>0</v>
      </c>
      <c r="U367" s="1" t="str">
        <f t="shared" si="35"/>
        <v/>
      </c>
      <c r="W367" s="21" t="str">
        <f>IF(C367&gt;0,CONCATENATE("0x",(DEC2HEX(IF(B367&lt;&gt;"",VLOOKUP(B367,Notes!$A$2:$B$37,2,FALSE)*1024,0) + C367*16 + IF(D367="",7,D367)*2 + IF(E367&gt;0, 1, 0))),","),"")</f>
        <v/>
      </c>
      <c r="X367" s="21" t="str">
        <f>IF(J367&gt;0,CONCATENATE("0x",(DEC2HEX(IF(I367&lt;&gt;"",VLOOKUP(I367,Notes!$A$2:$B$37,2,FALSE)*1024,0) + J367*16 + IF(K367="",7,K367)*2 + IF(L367&gt;0, 1, 0))),","),"")</f>
        <v/>
      </c>
      <c r="Y367" s="21" t="str">
        <f>IF(Q367&gt;0,CONCATENATE("0x",(DEC2HEX(IF(P367&lt;&gt;"",VLOOKUP(P367,Notes!$A$2:$B$37,2,FALSE)*1024,0) + Q367*16 + IF(R367="",7,R367)*2 + IF(S367&gt;0, 1, 0))),","),"")</f>
        <v/>
      </c>
    </row>
    <row r="368" spans="1:25" x14ac:dyDescent="0.25">
      <c r="F368" s="18">
        <f t="shared" si="30"/>
        <v>0</v>
      </c>
      <c r="G368" s="1" t="str">
        <f t="shared" si="33"/>
        <v/>
      </c>
      <c r="M368" s="18">
        <f t="shared" si="31"/>
        <v>0</v>
      </c>
      <c r="N368" s="1" t="str">
        <f t="shared" si="34"/>
        <v/>
      </c>
      <c r="T368" s="18">
        <f t="shared" si="32"/>
        <v>0</v>
      </c>
      <c r="U368" s="1" t="str">
        <f t="shared" si="35"/>
        <v/>
      </c>
      <c r="W368" s="21" t="str">
        <f>IF(C368&gt;0,CONCATENATE("0x",(DEC2HEX(IF(B368&lt;&gt;"",VLOOKUP(B368,Notes!$A$2:$B$37,2,FALSE)*1024,0) + C368*16 + IF(D368="",7,D368)*2 + IF(E368&gt;0, 1, 0))),","),"")</f>
        <v/>
      </c>
      <c r="X368" s="21" t="str">
        <f>IF(J368&gt;0,CONCATENATE("0x",(DEC2HEX(IF(I368&lt;&gt;"",VLOOKUP(I368,Notes!$A$2:$B$37,2,FALSE)*1024,0) + J368*16 + IF(K368="",7,K368)*2 + IF(L368&gt;0, 1, 0))),","),"")</f>
        <v/>
      </c>
      <c r="Y368" s="21" t="str">
        <f>IF(Q368&gt;0,CONCATENATE("0x",(DEC2HEX(IF(P368&lt;&gt;"",VLOOKUP(P368,Notes!$A$2:$B$37,2,FALSE)*1024,0) + Q368*16 + IF(R368="",7,R368)*2 + IF(S368&gt;0, 1, 0))),","),"")</f>
        <v/>
      </c>
    </row>
    <row r="369" spans="2:25" x14ac:dyDescent="0.25">
      <c r="B369" s="12"/>
      <c r="C369" s="13"/>
      <c r="D369" s="13"/>
      <c r="E369" s="14"/>
      <c r="F369" s="18">
        <f t="shared" si="30"/>
        <v>0</v>
      </c>
      <c r="G369" s="1" t="str">
        <f t="shared" si="33"/>
        <v/>
      </c>
      <c r="I369" s="12"/>
      <c r="J369" s="13"/>
      <c r="K369" s="13"/>
      <c r="L369" s="14"/>
      <c r="M369" s="18">
        <f t="shared" si="31"/>
        <v>0</v>
      </c>
      <c r="N369" s="1" t="str">
        <f t="shared" si="34"/>
        <v/>
      </c>
      <c r="P369" s="12"/>
      <c r="Q369" s="13"/>
      <c r="R369" s="13"/>
      <c r="S369" s="14"/>
      <c r="T369" s="18">
        <f t="shared" si="32"/>
        <v>0</v>
      </c>
      <c r="U369" s="1" t="str">
        <f t="shared" si="35"/>
        <v/>
      </c>
      <c r="W369" s="21" t="str">
        <f>IF(C369&gt;0,CONCATENATE("0x",(DEC2HEX(IF(B369&lt;&gt;"",VLOOKUP(B369,Notes!$A$2:$B$37,2,FALSE)*1024,0) + C369*16 + IF(D369="",7,D369)*2 + IF(E369&gt;0, 1, 0))),","),"")</f>
        <v/>
      </c>
      <c r="X369" s="21" t="str">
        <f>IF(J369&gt;0,CONCATENATE("0x",(DEC2HEX(IF(I369&lt;&gt;"",VLOOKUP(I369,Notes!$A$2:$B$37,2,FALSE)*1024,0) + J369*16 + IF(K369="",7,K369)*2 + IF(L369&gt;0, 1, 0))),","),"")</f>
        <v/>
      </c>
      <c r="Y369" s="21" t="str">
        <f>IF(Q369&gt;0,CONCATENATE("0x",(DEC2HEX(IF(P369&lt;&gt;"",VLOOKUP(P369,Notes!$A$2:$B$37,2,FALSE)*1024,0) + Q369*16 + IF(R369="",7,R369)*2 + IF(S369&gt;0, 1, 0))),","),"")</f>
        <v/>
      </c>
    </row>
    <row r="370" spans="2:25" x14ac:dyDescent="0.25">
      <c r="F370" s="18">
        <f t="shared" si="30"/>
        <v>0</v>
      </c>
      <c r="G370" s="1" t="str">
        <f t="shared" si="33"/>
        <v/>
      </c>
      <c r="M370" s="18">
        <f t="shared" si="31"/>
        <v>0</v>
      </c>
      <c r="N370" s="1" t="str">
        <f t="shared" si="34"/>
        <v/>
      </c>
      <c r="T370" s="18">
        <f t="shared" si="32"/>
        <v>0</v>
      </c>
      <c r="U370" s="1" t="str">
        <f t="shared" si="35"/>
        <v/>
      </c>
      <c r="W370" s="21" t="str">
        <f>IF(C370&gt;0,CONCATENATE("0x",(DEC2HEX(IF(B370&lt;&gt;"",VLOOKUP(B370,Notes!$A$2:$B$37,2,FALSE)*1024,0) + C370*16 + IF(D370="",7,D370)*2 + IF(E370&gt;0, 1, 0))),","),"")</f>
        <v/>
      </c>
      <c r="X370" s="21" t="str">
        <f>IF(J370&gt;0,CONCATENATE("0x",(DEC2HEX(IF(I370&lt;&gt;"",VLOOKUP(I370,Notes!$A$2:$B$37,2,FALSE)*1024,0) + J370*16 + IF(K370="",7,K370)*2 + IF(L370&gt;0, 1, 0))),","),"")</f>
        <v/>
      </c>
      <c r="Y370" s="21" t="str">
        <f>IF(Q370&gt;0,CONCATENATE("0x",(DEC2HEX(IF(P370&lt;&gt;"",VLOOKUP(P370,Notes!$A$2:$B$37,2,FALSE)*1024,0) + Q370*16 + IF(R370="",7,R370)*2 + IF(S370&gt;0, 1, 0))),","),"")</f>
        <v/>
      </c>
    </row>
    <row r="371" spans="2:25" x14ac:dyDescent="0.25">
      <c r="F371" s="18">
        <f t="shared" si="30"/>
        <v>0</v>
      </c>
      <c r="G371" s="1" t="str">
        <f t="shared" si="33"/>
        <v/>
      </c>
      <c r="M371" s="18">
        <f t="shared" si="31"/>
        <v>0</v>
      </c>
      <c r="N371" s="1" t="str">
        <f t="shared" si="34"/>
        <v/>
      </c>
      <c r="T371" s="18">
        <f t="shared" si="32"/>
        <v>0</v>
      </c>
      <c r="U371" s="1" t="str">
        <f t="shared" si="35"/>
        <v/>
      </c>
      <c r="W371" s="21" t="str">
        <f>IF(C371&gt;0,CONCATENATE("0x",(DEC2HEX(IF(B371&lt;&gt;"",VLOOKUP(B371,Notes!$A$2:$B$37,2,FALSE)*1024,0) + C371*16 + IF(D371="",7,D371)*2 + IF(E371&gt;0, 1, 0))),","),"")</f>
        <v/>
      </c>
      <c r="X371" s="21" t="str">
        <f>IF(J371&gt;0,CONCATENATE("0x",(DEC2HEX(IF(I371&lt;&gt;"",VLOOKUP(I371,Notes!$A$2:$B$37,2,FALSE)*1024,0) + J371*16 + IF(K371="",7,K371)*2 + IF(L371&gt;0, 1, 0))),","),"")</f>
        <v/>
      </c>
      <c r="Y371" s="21" t="str">
        <f>IF(Q371&gt;0,CONCATENATE("0x",(DEC2HEX(IF(P371&lt;&gt;"",VLOOKUP(P371,Notes!$A$2:$B$37,2,FALSE)*1024,0) + Q371*16 + IF(R371="",7,R371)*2 + IF(S371&gt;0, 1, 0))),","),"")</f>
        <v/>
      </c>
    </row>
    <row r="372" spans="2:25" x14ac:dyDescent="0.25">
      <c r="F372" s="18">
        <f t="shared" si="30"/>
        <v>0</v>
      </c>
      <c r="G372" s="1" t="str">
        <f t="shared" si="33"/>
        <v/>
      </c>
      <c r="M372" s="18">
        <f t="shared" si="31"/>
        <v>0</v>
      </c>
      <c r="N372" s="1" t="str">
        <f t="shared" si="34"/>
        <v/>
      </c>
      <c r="T372" s="18">
        <f t="shared" si="32"/>
        <v>0</v>
      </c>
      <c r="U372" s="1" t="str">
        <f t="shared" si="35"/>
        <v/>
      </c>
      <c r="W372" s="21" t="str">
        <f>IF(C372&gt;0,CONCATENATE("0x",(DEC2HEX(IF(B372&lt;&gt;"",VLOOKUP(B372,Notes!$A$2:$B$37,2,FALSE)*1024,0) + C372*16 + IF(D372="",7,D372)*2 + IF(E372&gt;0, 1, 0))),","),"")</f>
        <v/>
      </c>
      <c r="X372" s="21" t="str">
        <f>IF(J372&gt;0,CONCATENATE("0x",(DEC2HEX(IF(I372&lt;&gt;"",VLOOKUP(I372,Notes!$A$2:$B$37,2,FALSE)*1024,0) + J372*16 + IF(K372="",7,K372)*2 + IF(L372&gt;0, 1, 0))),","),"")</f>
        <v/>
      </c>
      <c r="Y372" s="21" t="str">
        <f>IF(Q372&gt;0,CONCATENATE("0x",(DEC2HEX(IF(P372&lt;&gt;"",VLOOKUP(P372,Notes!$A$2:$B$37,2,FALSE)*1024,0) + Q372*16 + IF(R372="",7,R372)*2 + IF(S372&gt;0, 1, 0))),","),"")</f>
        <v/>
      </c>
    </row>
    <row r="373" spans="2:25" x14ac:dyDescent="0.25">
      <c r="F373" s="18">
        <f t="shared" si="30"/>
        <v>0</v>
      </c>
      <c r="G373" s="1" t="str">
        <f t="shared" si="33"/>
        <v/>
      </c>
      <c r="M373" s="18">
        <f t="shared" si="31"/>
        <v>0</v>
      </c>
      <c r="N373" s="1" t="str">
        <f t="shared" si="34"/>
        <v/>
      </c>
      <c r="T373" s="18">
        <f t="shared" si="32"/>
        <v>0</v>
      </c>
      <c r="U373" s="1" t="str">
        <f t="shared" si="35"/>
        <v/>
      </c>
      <c r="W373" s="21" t="str">
        <f>IF(C373&gt;0,CONCATENATE("0x",(DEC2HEX(IF(B373&lt;&gt;"",VLOOKUP(B373,Notes!$A$2:$B$37,2,FALSE)*1024,0) + C373*16 + IF(D373="",7,D373)*2 + IF(E373&gt;0, 1, 0))),","),"")</f>
        <v/>
      </c>
      <c r="X373" s="21" t="str">
        <f>IF(J373&gt;0,CONCATENATE("0x",(DEC2HEX(IF(I373&lt;&gt;"",VLOOKUP(I373,Notes!$A$2:$B$37,2,FALSE)*1024,0) + J373*16 + IF(K373="",7,K373)*2 + IF(L373&gt;0, 1, 0))),","),"")</f>
        <v/>
      </c>
      <c r="Y373" s="21" t="str">
        <f>IF(Q373&gt;0,CONCATENATE("0x",(DEC2HEX(IF(P373&lt;&gt;"",VLOOKUP(P373,Notes!$A$2:$B$37,2,FALSE)*1024,0) + Q373*16 + IF(R373="",7,R373)*2 + IF(S373&gt;0, 1, 0))),","),"")</f>
        <v/>
      </c>
    </row>
    <row r="374" spans="2:25" x14ac:dyDescent="0.25">
      <c r="F374" s="18">
        <f t="shared" si="30"/>
        <v>0</v>
      </c>
      <c r="G374" s="1" t="str">
        <f t="shared" si="33"/>
        <v/>
      </c>
      <c r="M374" s="18">
        <f t="shared" si="31"/>
        <v>0</v>
      </c>
      <c r="N374" s="1" t="str">
        <f t="shared" si="34"/>
        <v/>
      </c>
      <c r="T374" s="18">
        <f t="shared" si="32"/>
        <v>0</v>
      </c>
      <c r="U374" s="1" t="str">
        <f t="shared" si="35"/>
        <v/>
      </c>
      <c r="W374" s="21" t="str">
        <f>IF(C374&gt;0,CONCATENATE("0x",(DEC2HEX(IF(B374&lt;&gt;"",VLOOKUP(B374,Notes!$A$2:$B$37,2,FALSE)*1024,0) + C374*16 + IF(D374="",7,D374)*2 + IF(E374&gt;0, 1, 0))),","),"")</f>
        <v/>
      </c>
      <c r="X374" s="21" t="str">
        <f>IF(J374&gt;0,CONCATENATE("0x",(DEC2HEX(IF(I374&lt;&gt;"",VLOOKUP(I374,Notes!$A$2:$B$37,2,FALSE)*1024,0) + J374*16 + IF(K374="",7,K374)*2 + IF(L374&gt;0, 1, 0))),","),"")</f>
        <v/>
      </c>
      <c r="Y374" s="21" t="str">
        <f>IF(Q374&gt;0,CONCATENATE("0x",(DEC2HEX(IF(P374&lt;&gt;"",VLOOKUP(P374,Notes!$A$2:$B$37,2,FALSE)*1024,0) + Q374*16 + IF(R374="",7,R374)*2 + IF(S374&gt;0, 1, 0))),","),"")</f>
        <v/>
      </c>
    </row>
    <row r="375" spans="2:25" x14ac:dyDescent="0.25">
      <c r="F375" s="18">
        <f t="shared" si="30"/>
        <v>0</v>
      </c>
      <c r="G375" s="1" t="str">
        <f t="shared" si="33"/>
        <v/>
      </c>
      <c r="M375" s="18">
        <f t="shared" si="31"/>
        <v>0</v>
      </c>
      <c r="N375" s="1" t="str">
        <f t="shared" si="34"/>
        <v/>
      </c>
      <c r="T375" s="18">
        <f t="shared" si="32"/>
        <v>0</v>
      </c>
      <c r="U375" s="1" t="str">
        <f t="shared" si="35"/>
        <v/>
      </c>
      <c r="W375" s="21" t="str">
        <f>IF(C375&gt;0,CONCATENATE("0x",(DEC2HEX(IF(B375&lt;&gt;"",VLOOKUP(B375,Notes!$A$2:$B$37,2,FALSE)*1024,0) + C375*16 + IF(D375="",7,D375)*2 + IF(E375&gt;0, 1, 0))),","),"")</f>
        <v/>
      </c>
      <c r="X375" s="21" t="str">
        <f>IF(J375&gt;0,CONCATENATE("0x",(DEC2HEX(IF(I375&lt;&gt;"",VLOOKUP(I375,Notes!$A$2:$B$37,2,FALSE)*1024,0) + J375*16 + IF(K375="",7,K375)*2 + IF(L375&gt;0, 1, 0))),","),"")</f>
        <v/>
      </c>
      <c r="Y375" s="21" t="str">
        <f>IF(Q375&gt;0,CONCATENATE("0x",(DEC2HEX(IF(P375&lt;&gt;"",VLOOKUP(P375,Notes!$A$2:$B$37,2,FALSE)*1024,0) + Q375*16 + IF(R375="",7,R375)*2 + IF(S375&gt;0, 1, 0))),","),"")</f>
        <v/>
      </c>
    </row>
    <row r="376" spans="2:25" x14ac:dyDescent="0.25">
      <c r="F376" s="18">
        <f t="shared" si="30"/>
        <v>0</v>
      </c>
      <c r="G376" s="1" t="str">
        <f t="shared" si="33"/>
        <v/>
      </c>
      <c r="M376" s="18">
        <f t="shared" si="31"/>
        <v>0</v>
      </c>
      <c r="N376" s="1" t="str">
        <f t="shared" si="34"/>
        <v/>
      </c>
      <c r="T376" s="18">
        <f t="shared" si="32"/>
        <v>0</v>
      </c>
      <c r="U376" s="1" t="str">
        <f t="shared" si="35"/>
        <v/>
      </c>
      <c r="W376" s="21" t="str">
        <f>IF(C376&gt;0,CONCATENATE("0x",(DEC2HEX(IF(B376&lt;&gt;"",VLOOKUP(B376,Notes!$A$2:$B$37,2,FALSE)*1024,0) + C376*16 + IF(D376="",7,D376)*2 + IF(E376&gt;0, 1, 0))),","),"")</f>
        <v/>
      </c>
      <c r="X376" s="21" t="str">
        <f>IF(J376&gt;0,CONCATENATE("0x",(DEC2HEX(IF(I376&lt;&gt;"",VLOOKUP(I376,Notes!$A$2:$B$37,2,FALSE)*1024,0) + J376*16 + IF(K376="",7,K376)*2 + IF(L376&gt;0, 1, 0))),","),"")</f>
        <v/>
      </c>
      <c r="Y376" s="21" t="str">
        <f>IF(Q376&gt;0,CONCATENATE("0x",(DEC2HEX(IF(P376&lt;&gt;"",VLOOKUP(P376,Notes!$A$2:$B$37,2,FALSE)*1024,0) + Q376*16 + IF(R376="",7,R376)*2 + IF(S376&gt;0, 1, 0))),","),"")</f>
        <v/>
      </c>
    </row>
    <row r="377" spans="2:25" x14ac:dyDescent="0.25">
      <c r="B377" s="12"/>
      <c r="C377" s="13"/>
      <c r="D377" s="13"/>
      <c r="E377" s="14"/>
      <c r="F377" s="18">
        <f t="shared" si="30"/>
        <v>0</v>
      </c>
      <c r="G377" s="1" t="str">
        <f t="shared" si="33"/>
        <v/>
      </c>
      <c r="I377" s="12"/>
      <c r="J377" s="13"/>
      <c r="K377" s="13"/>
      <c r="L377" s="14"/>
      <c r="M377" s="18">
        <f t="shared" si="31"/>
        <v>0</v>
      </c>
      <c r="N377" s="1" t="str">
        <f t="shared" si="34"/>
        <v/>
      </c>
      <c r="P377" s="12"/>
      <c r="Q377" s="13"/>
      <c r="R377" s="13"/>
      <c r="S377" s="14"/>
      <c r="T377" s="18">
        <f t="shared" si="32"/>
        <v>0</v>
      </c>
      <c r="U377" s="1" t="str">
        <f t="shared" si="35"/>
        <v/>
      </c>
      <c r="W377" s="21" t="str">
        <f>IF(C377&gt;0,CONCATENATE("0x",(DEC2HEX(IF(B377&lt;&gt;"",VLOOKUP(B377,Notes!$A$2:$B$37,2,FALSE)*1024,0) + C377*16 + IF(D377="",7,D377)*2 + IF(E377&gt;0, 1, 0))),","),"")</f>
        <v/>
      </c>
      <c r="X377" s="21" t="str">
        <f>IF(J377&gt;0,CONCATENATE("0x",(DEC2HEX(IF(I377&lt;&gt;"",VLOOKUP(I377,Notes!$A$2:$B$37,2,FALSE)*1024,0) + J377*16 + IF(K377="",7,K377)*2 + IF(L377&gt;0, 1, 0))),","),"")</f>
        <v/>
      </c>
      <c r="Y377" s="21" t="str">
        <f>IF(Q377&gt;0,CONCATENATE("0x",(DEC2HEX(IF(P377&lt;&gt;"",VLOOKUP(P377,Notes!$A$2:$B$37,2,FALSE)*1024,0) + Q377*16 + IF(R377="",7,R377)*2 + IF(S377&gt;0, 1, 0))),","),"")</f>
        <v/>
      </c>
    </row>
    <row r="378" spans="2:25" x14ac:dyDescent="0.25">
      <c r="F378" s="18">
        <f t="shared" si="30"/>
        <v>0</v>
      </c>
      <c r="G378" s="1" t="str">
        <f t="shared" si="33"/>
        <v/>
      </c>
      <c r="M378" s="18">
        <f t="shared" si="31"/>
        <v>0</v>
      </c>
      <c r="N378" s="1" t="str">
        <f t="shared" si="34"/>
        <v/>
      </c>
      <c r="T378" s="18">
        <f t="shared" si="32"/>
        <v>0</v>
      </c>
      <c r="U378" s="1" t="str">
        <f t="shared" si="35"/>
        <v/>
      </c>
      <c r="W378" s="21" t="str">
        <f>IF(C378&gt;0,CONCATENATE("0x",(DEC2HEX(IF(B378&lt;&gt;"",VLOOKUP(B378,Notes!$A$2:$B$37,2,FALSE)*1024,0) + C378*16 + IF(D378="",7,D378)*2 + IF(E378&gt;0, 1, 0))),","),"")</f>
        <v/>
      </c>
      <c r="X378" s="21" t="str">
        <f>IF(J378&gt;0,CONCATENATE("0x",(DEC2HEX(IF(I378&lt;&gt;"",VLOOKUP(I378,Notes!$A$2:$B$37,2,FALSE)*1024,0) + J378*16 + IF(K378="",7,K378)*2 + IF(L378&gt;0, 1, 0))),","),"")</f>
        <v/>
      </c>
      <c r="Y378" s="21" t="str">
        <f>IF(Q378&gt;0,CONCATENATE("0x",(DEC2HEX(IF(P378&lt;&gt;"",VLOOKUP(P378,Notes!$A$2:$B$37,2,FALSE)*1024,0) + Q378*16 + IF(R378="",7,R378)*2 + IF(S378&gt;0, 1, 0))),","),"")</f>
        <v/>
      </c>
    </row>
    <row r="379" spans="2:25" x14ac:dyDescent="0.25">
      <c r="F379" s="18">
        <f t="shared" si="30"/>
        <v>0</v>
      </c>
      <c r="G379" s="1" t="str">
        <f t="shared" si="33"/>
        <v/>
      </c>
      <c r="M379" s="18">
        <f t="shared" si="31"/>
        <v>0</v>
      </c>
      <c r="N379" s="1" t="str">
        <f t="shared" si="34"/>
        <v/>
      </c>
      <c r="T379" s="18">
        <f t="shared" si="32"/>
        <v>0</v>
      </c>
      <c r="U379" s="1" t="str">
        <f t="shared" si="35"/>
        <v/>
      </c>
      <c r="W379" s="21" t="str">
        <f>IF(C379&gt;0,CONCATENATE("0x",(DEC2HEX(IF(B379&lt;&gt;"",VLOOKUP(B379,Notes!$A$2:$B$37,2,FALSE)*1024,0) + C379*16 + IF(D379="",7,D379)*2 + IF(E379&gt;0, 1, 0))),","),"")</f>
        <v/>
      </c>
      <c r="X379" s="21" t="str">
        <f>IF(J379&gt;0,CONCATENATE("0x",(DEC2HEX(IF(I379&lt;&gt;"",VLOOKUP(I379,Notes!$A$2:$B$37,2,FALSE)*1024,0) + J379*16 + IF(K379="",7,K379)*2 + IF(L379&gt;0, 1, 0))),","),"")</f>
        <v/>
      </c>
      <c r="Y379" s="21" t="str">
        <f>IF(Q379&gt;0,CONCATENATE("0x",(DEC2HEX(IF(P379&lt;&gt;"",VLOOKUP(P379,Notes!$A$2:$B$37,2,FALSE)*1024,0) + Q379*16 + IF(R379="",7,R379)*2 + IF(S379&gt;0, 1, 0))),","),"")</f>
        <v/>
      </c>
    </row>
    <row r="380" spans="2:25" x14ac:dyDescent="0.25">
      <c r="F380" s="18">
        <f t="shared" si="30"/>
        <v>0</v>
      </c>
      <c r="G380" s="1" t="str">
        <f t="shared" si="33"/>
        <v/>
      </c>
      <c r="M380" s="18">
        <f t="shared" si="31"/>
        <v>0</v>
      </c>
      <c r="N380" s="1" t="str">
        <f t="shared" si="34"/>
        <v/>
      </c>
      <c r="T380" s="18">
        <f t="shared" si="32"/>
        <v>0</v>
      </c>
      <c r="U380" s="1" t="str">
        <f t="shared" si="35"/>
        <v/>
      </c>
      <c r="W380" s="21" t="str">
        <f>IF(C380&gt;0,CONCATENATE("0x",(DEC2HEX(IF(B380&lt;&gt;"",VLOOKUP(B380,Notes!$A$2:$B$37,2,FALSE)*1024,0) + C380*16 + IF(D380="",7,D380)*2 + IF(E380&gt;0, 1, 0))),","),"")</f>
        <v/>
      </c>
      <c r="X380" s="21" t="str">
        <f>IF(J380&gt;0,CONCATENATE("0x",(DEC2HEX(IF(I380&lt;&gt;"",VLOOKUP(I380,Notes!$A$2:$B$37,2,FALSE)*1024,0) + J380*16 + IF(K380="",7,K380)*2 + IF(L380&gt;0, 1, 0))),","),"")</f>
        <v/>
      </c>
      <c r="Y380" s="21" t="str">
        <f>IF(Q380&gt;0,CONCATENATE("0x",(DEC2HEX(IF(P380&lt;&gt;"",VLOOKUP(P380,Notes!$A$2:$B$37,2,FALSE)*1024,0) + Q380*16 + IF(R380="",7,R380)*2 + IF(S380&gt;0, 1, 0))),","),"")</f>
        <v/>
      </c>
    </row>
    <row r="381" spans="2:25" x14ac:dyDescent="0.25">
      <c r="F381" s="18">
        <f t="shared" si="30"/>
        <v>0</v>
      </c>
      <c r="G381" s="1" t="str">
        <f t="shared" si="33"/>
        <v/>
      </c>
      <c r="M381" s="18">
        <f t="shared" si="31"/>
        <v>0</v>
      </c>
      <c r="N381" s="1" t="str">
        <f t="shared" si="34"/>
        <v/>
      </c>
      <c r="T381" s="18">
        <f t="shared" si="32"/>
        <v>0</v>
      </c>
      <c r="U381" s="1" t="str">
        <f t="shared" si="35"/>
        <v/>
      </c>
      <c r="W381" s="21" t="str">
        <f>IF(C381&gt;0,CONCATENATE("0x",(DEC2HEX(IF(B381&lt;&gt;"",VLOOKUP(B381,Notes!$A$2:$B$37,2,FALSE)*1024,0) + C381*16 + IF(D381="",7,D381)*2 + IF(E381&gt;0, 1, 0))),","),"")</f>
        <v/>
      </c>
      <c r="X381" s="21" t="str">
        <f>IF(J381&gt;0,CONCATENATE("0x",(DEC2HEX(IF(I381&lt;&gt;"",VLOOKUP(I381,Notes!$A$2:$B$37,2,FALSE)*1024,0) + J381*16 + IF(K381="",7,K381)*2 + IF(L381&gt;0, 1, 0))),","),"")</f>
        <v/>
      </c>
      <c r="Y381" s="21" t="str">
        <f>IF(Q381&gt;0,CONCATENATE("0x",(DEC2HEX(IF(P381&lt;&gt;"",VLOOKUP(P381,Notes!$A$2:$B$37,2,FALSE)*1024,0) + Q381*16 + IF(R381="",7,R381)*2 + IF(S381&gt;0, 1, 0))),","),"")</f>
        <v/>
      </c>
    </row>
    <row r="382" spans="2:25" x14ac:dyDescent="0.25">
      <c r="F382" s="18">
        <f t="shared" si="30"/>
        <v>0</v>
      </c>
      <c r="G382" s="1" t="str">
        <f t="shared" si="33"/>
        <v/>
      </c>
      <c r="M382" s="18">
        <f t="shared" si="31"/>
        <v>0</v>
      </c>
      <c r="N382" s="1" t="str">
        <f t="shared" si="34"/>
        <v/>
      </c>
      <c r="T382" s="18">
        <f t="shared" si="32"/>
        <v>0</v>
      </c>
      <c r="U382" s="1" t="str">
        <f t="shared" si="35"/>
        <v/>
      </c>
      <c r="W382" s="21" t="str">
        <f>IF(C382&gt;0,CONCATENATE("0x",(DEC2HEX(IF(B382&lt;&gt;"",VLOOKUP(B382,Notes!$A$2:$B$37,2,FALSE)*1024,0) + C382*16 + IF(D382="",7,D382)*2 + IF(E382&gt;0, 1, 0))),","),"")</f>
        <v/>
      </c>
      <c r="X382" s="21" t="str">
        <f>IF(J382&gt;0,CONCATENATE("0x",(DEC2HEX(IF(I382&lt;&gt;"",VLOOKUP(I382,Notes!$A$2:$B$37,2,FALSE)*1024,0) + J382*16 + IF(K382="",7,K382)*2 + IF(L382&gt;0, 1, 0))),","),"")</f>
        <v/>
      </c>
      <c r="Y382" s="21" t="str">
        <f>IF(Q382&gt;0,CONCATENATE("0x",(DEC2HEX(IF(P382&lt;&gt;"",VLOOKUP(P382,Notes!$A$2:$B$37,2,FALSE)*1024,0) + Q382*16 + IF(R382="",7,R382)*2 + IF(S382&gt;0, 1, 0))),","),"")</f>
        <v/>
      </c>
    </row>
    <row r="383" spans="2:25" x14ac:dyDescent="0.25">
      <c r="F383" s="18">
        <f t="shared" si="30"/>
        <v>0</v>
      </c>
      <c r="G383" s="1" t="str">
        <f t="shared" si="33"/>
        <v/>
      </c>
      <c r="M383" s="18">
        <f t="shared" si="31"/>
        <v>0</v>
      </c>
      <c r="N383" s="1" t="str">
        <f t="shared" si="34"/>
        <v/>
      </c>
      <c r="T383" s="18">
        <f t="shared" si="32"/>
        <v>0</v>
      </c>
      <c r="U383" s="1" t="str">
        <f t="shared" si="35"/>
        <v/>
      </c>
      <c r="W383" s="21" t="str">
        <f>IF(C383&gt;0,CONCATENATE("0x",(DEC2HEX(IF(B383&lt;&gt;"",VLOOKUP(B383,Notes!$A$2:$B$37,2,FALSE)*1024,0) + C383*16 + IF(D383="",7,D383)*2 + IF(E383&gt;0, 1, 0))),","),"")</f>
        <v/>
      </c>
      <c r="X383" s="21" t="str">
        <f>IF(J383&gt;0,CONCATENATE("0x",(DEC2HEX(IF(I383&lt;&gt;"",VLOOKUP(I383,Notes!$A$2:$B$37,2,FALSE)*1024,0) + J383*16 + IF(K383="",7,K383)*2 + IF(L383&gt;0, 1, 0))),","),"")</f>
        <v/>
      </c>
      <c r="Y383" s="21" t="str">
        <f>IF(Q383&gt;0,CONCATENATE("0x",(DEC2HEX(IF(P383&lt;&gt;"",VLOOKUP(P383,Notes!$A$2:$B$37,2,FALSE)*1024,0) + Q383*16 + IF(R383="",7,R383)*2 + IF(S383&gt;0, 1, 0))),","),"")</f>
        <v/>
      </c>
    </row>
    <row r="384" spans="2:25" x14ac:dyDescent="0.25">
      <c r="F384" s="18">
        <f t="shared" si="30"/>
        <v>0</v>
      </c>
      <c r="G384" s="1" t="str">
        <f t="shared" si="33"/>
        <v/>
      </c>
      <c r="M384" s="18">
        <f t="shared" si="31"/>
        <v>0</v>
      </c>
      <c r="N384" s="1" t="str">
        <f t="shared" si="34"/>
        <v/>
      </c>
      <c r="T384" s="18">
        <f t="shared" si="32"/>
        <v>0</v>
      </c>
      <c r="U384" s="1" t="str">
        <f t="shared" si="35"/>
        <v/>
      </c>
      <c r="W384" s="21" t="str">
        <f>IF(C384&gt;0,CONCATENATE("0x",(DEC2HEX(IF(B384&lt;&gt;"",VLOOKUP(B384,Notes!$A$2:$B$37,2,FALSE)*1024,0) + C384*16 + IF(D384="",7,D384)*2 + IF(E384&gt;0, 1, 0))),","),"")</f>
        <v/>
      </c>
      <c r="X384" s="21" t="str">
        <f>IF(J384&gt;0,CONCATENATE("0x",(DEC2HEX(IF(I384&lt;&gt;"",VLOOKUP(I384,Notes!$A$2:$B$37,2,FALSE)*1024,0) + J384*16 + IF(K384="",7,K384)*2 + IF(L384&gt;0, 1, 0))),","),"")</f>
        <v/>
      </c>
      <c r="Y384" s="21" t="str">
        <f>IF(Q384&gt;0,CONCATENATE("0x",(DEC2HEX(IF(P384&lt;&gt;"",VLOOKUP(P384,Notes!$A$2:$B$37,2,FALSE)*1024,0) + Q384*16 + IF(R384="",7,R384)*2 + IF(S384&gt;0, 1, 0))),","),"")</f>
        <v/>
      </c>
    </row>
    <row r="385" spans="1:25" ht="16.5" thickBot="1" x14ac:dyDescent="0.3">
      <c r="B385" s="15"/>
      <c r="C385" s="16"/>
      <c r="D385" s="16"/>
      <c r="E385" s="17"/>
      <c r="F385" s="18">
        <f t="shared" si="30"/>
        <v>0</v>
      </c>
      <c r="G385" s="1" t="str">
        <f t="shared" si="33"/>
        <v/>
      </c>
      <c r="I385" s="15"/>
      <c r="J385" s="16"/>
      <c r="K385" s="16"/>
      <c r="L385" s="17"/>
      <c r="M385" s="18">
        <f t="shared" si="31"/>
        <v>0</v>
      </c>
      <c r="N385" s="1" t="str">
        <f t="shared" si="34"/>
        <v/>
      </c>
      <c r="P385" s="15"/>
      <c r="Q385" s="16"/>
      <c r="R385" s="16"/>
      <c r="S385" s="17"/>
      <c r="T385" s="18">
        <f t="shared" si="32"/>
        <v>0</v>
      </c>
      <c r="U385" s="1" t="str">
        <f t="shared" si="35"/>
        <v/>
      </c>
      <c r="W385" s="21" t="str">
        <f>IF(C385&gt;0,CONCATENATE("0x",(DEC2HEX(IF(B385&lt;&gt;"",VLOOKUP(B385,Notes!$A$2:$B$37,2,FALSE)*1024,0) + C385*16 + IF(D385="",7,D385)*2 + IF(E385&gt;0, 1, 0))),","),"")</f>
        <v/>
      </c>
      <c r="X385" s="21" t="str">
        <f>IF(J385&gt;0,CONCATENATE("0x",(DEC2HEX(IF(I385&lt;&gt;"",VLOOKUP(I385,Notes!$A$2:$B$37,2,FALSE)*1024,0) + J385*16 + IF(K385="",7,K385)*2 + IF(L385&gt;0, 1, 0))),","),"")</f>
        <v/>
      </c>
      <c r="Y385" s="21" t="str">
        <f>IF(Q385&gt;0,CONCATENATE("0x",(DEC2HEX(IF(P385&lt;&gt;"",VLOOKUP(P385,Notes!$A$2:$B$37,2,FALSE)*1024,0) + Q385*16 + IF(R385="",7,R385)*2 + IF(S385&gt;0, 1, 0))),","),"")</f>
        <v/>
      </c>
    </row>
    <row r="386" spans="1:25" ht="16.5" thickTop="1" x14ac:dyDescent="0.25">
      <c r="A386" s="1">
        <v>13</v>
      </c>
      <c r="F386" s="18">
        <f t="shared" si="30"/>
        <v>0</v>
      </c>
      <c r="G386" s="1" t="str">
        <f t="shared" si="33"/>
        <v/>
      </c>
      <c r="M386" s="18">
        <f t="shared" si="31"/>
        <v>0</v>
      </c>
      <c r="N386" s="1" t="str">
        <f t="shared" si="34"/>
        <v/>
      </c>
      <c r="T386" s="18">
        <f t="shared" si="32"/>
        <v>0</v>
      </c>
      <c r="U386" s="1" t="str">
        <f t="shared" si="35"/>
        <v/>
      </c>
      <c r="W386" s="21" t="str">
        <f>IF(C386&gt;0,CONCATENATE("0x",(DEC2HEX(IF(B386&lt;&gt;"",VLOOKUP(B386,Notes!$A$2:$B$37,2,FALSE)*1024,0) + C386*16 + IF(D386="",7,D386)*2 + IF(E386&gt;0, 1, 0))),","),"")</f>
        <v/>
      </c>
      <c r="X386" s="21" t="str">
        <f>IF(J386&gt;0,CONCATENATE("0x",(DEC2HEX(IF(I386&lt;&gt;"",VLOOKUP(I386,Notes!$A$2:$B$37,2,FALSE)*1024,0) + J386*16 + IF(K386="",7,K386)*2 + IF(L386&gt;0, 1, 0))),","),"")</f>
        <v/>
      </c>
      <c r="Y386" s="21" t="str">
        <f>IF(Q386&gt;0,CONCATENATE("0x",(DEC2HEX(IF(P386&lt;&gt;"",VLOOKUP(P386,Notes!$A$2:$B$37,2,FALSE)*1024,0) + Q386*16 + IF(R386="",7,R386)*2 + IF(S386&gt;0, 1, 0))),","),"")</f>
        <v/>
      </c>
    </row>
    <row r="387" spans="1:25" x14ac:dyDescent="0.25">
      <c r="F387" s="18">
        <f t="shared" ref="F387:F450" si="36">IF(C387&gt;0, C387, MAX(F386-1,0))</f>
        <v>0</v>
      </c>
      <c r="G387" s="1" t="str">
        <f t="shared" si="33"/>
        <v/>
      </c>
      <c r="M387" s="18">
        <f t="shared" ref="M387:M450" si="37">IF(J387&gt;0, J387, MAX(M386-1,0))</f>
        <v>0</v>
      </c>
      <c r="N387" s="1" t="str">
        <f t="shared" si="34"/>
        <v/>
      </c>
      <c r="T387" s="18">
        <f t="shared" ref="T387:T450" si="38">IF(Q387&gt;0, Q387, MAX(T386-1,0))</f>
        <v>0</v>
      </c>
      <c r="U387" s="1" t="str">
        <f t="shared" si="35"/>
        <v/>
      </c>
      <c r="W387" s="21" t="str">
        <f>IF(C387&gt;0,CONCATENATE("0x",(DEC2HEX(IF(B387&lt;&gt;"",VLOOKUP(B387,Notes!$A$2:$B$37,2,FALSE)*1024,0) + C387*16 + IF(D387="",7,D387)*2 + IF(E387&gt;0, 1, 0))),","),"")</f>
        <v/>
      </c>
      <c r="X387" s="21" t="str">
        <f>IF(J387&gt;0,CONCATENATE("0x",(DEC2HEX(IF(I387&lt;&gt;"",VLOOKUP(I387,Notes!$A$2:$B$37,2,FALSE)*1024,0) + J387*16 + IF(K387="",7,K387)*2 + IF(L387&gt;0, 1, 0))),","),"")</f>
        <v/>
      </c>
      <c r="Y387" s="21" t="str">
        <f>IF(Q387&gt;0,CONCATENATE("0x",(DEC2HEX(IF(P387&lt;&gt;"",VLOOKUP(P387,Notes!$A$2:$B$37,2,FALSE)*1024,0) + Q387*16 + IF(R387="",7,R387)*2 + IF(S387&gt;0, 1, 0))),","),"")</f>
        <v/>
      </c>
    </row>
    <row r="388" spans="1:25" x14ac:dyDescent="0.25">
      <c r="F388" s="18">
        <f t="shared" si="36"/>
        <v>0</v>
      </c>
      <c r="G388" s="1" t="str">
        <f t="shared" ref="G388:G451" si="39">IF(AND(F387&gt;1,C388&gt;0), "OVERLAPPING","")</f>
        <v/>
      </c>
      <c r="M388" s="18">
        <f t="shared" si="37"/>
        <v>0</v>
      </c>
      <c r="N388" s="1" t="str">
        <f t="shared" ref="N388:N451" si="40">IF(AND(M387&gt;1,J388&gt;0), "OVERLAPPING","")</f>
        <v/>
      </c>
      <c r="T388" s="18">
        <f t="shared" si="38"/>
        <v>0</v>
      </c>
      <c r="U388" s="1" t="str">
        <f t="shared" ref="U388:U451" si="41">IF(AND(T387&gt;1,Q388&gt;0), "OVERLAPPING","")</f>
        <v/>
      </c>
      <c r="W388" s="21" t="str">
        <f>IF(C388&gt;0,CONCATENATE("0x",(DEC2HEX(IF(B388&lt;&gt;"",VLOOKUP(B388,Notes!$A$2:$B$37,2,FALSE)*1024,0) + C388*16 + IF(D388="",7,D388)*2 + IF(E388&gt;0, 1, 0))),","),"")</f>
        <v/>
      </c>
      <c r="X388" s="21" t="str">
        <f>IF(J388&gt;0,CONCATENATE("0x",(DEC2HEX(IF(I388&lt;&gt;"",VLOOKUP(I388,Notes!$A$2:$B$37,2,FALSE)*1024,0) + J388*16 + IF(K388="",7,K388)*2 + IF(L388&gt;0, 1, 0))),","),"")</f>
        <v/>
      </c>
      <c r="Y388" s="21" t="str">
        <f>IF(Q388&gt;0,CONCATENATE("0x",(DEC2HEX(IF(P388&lt;&gt;"",VLOOKUP(P388,Notes!$A$2:$B$37,2,FALSE)*1024,0) + Q388*16 + IF(R388="",7,R388)*2 + IF(S388&gt;0, 1, 0))),","),"")</f>
        <v/>
      </c>
    </row>
    <row r="389" spans="1:25" x14ac:dyDescent="0.25">
      <c r="F389" s="18">
        <f t="shared" si="36"/>
        <v>0</v>
      </c>
      <c r="G389" s="1" t="str">
        <f t="shared" si="39"/>
        <v/>
      </c>
      <c r="M389" s="18">
        <f t="shared" si="37"/>
        <v>0</v>
      </c>
      <c r="N389" s="1" t="str">
        <f t="shared" si="40"/>
        <v/>
      </c>
      <c r="T389" s="18">
        <f t="shared" si="38"/>
        <v>0</v>
      </c>
      <c r="U389" s="1" t="str">
        <f t="shared" si="41"/>
        <v/>
      </c>
      <c r="W389" s="21" t="str">
        <f>IF(C389&gt;0,CONCATENATE("0x",(DEC2HEX(IF(B389&lt;&gt;"",VLOOKUP(B389,Notes!$A$2:$B$37,2,FALSE)*1024,0) + C389*16 + IF(D389="",7,D389)*2 + IF(E389&gt;0, 1, 0))),","),"")</f>
        <v/>
      </c>
      <c r="X389" s="21" t="str">
        <f>IF(J389&gt;0,CONCATENATE("0x",(DEC2HEX(IF(I389&lt;&gt;"",VLOOKUP(I389,Notes!$A$2:$B$37,2,FALSE)*1024,0) + J389*16 + IF(K389="",7,K389)*2 + IF(L389&gt;0, 1, 0))),","),"")</f>
        <v/>
      </c>
      <c r="Y389" s="21" t="str">
        <f>IF(Q389&gt;0,CONCATENATE("0x",(DEC2HEX(IF(P389&lt;&gt;"",VLOOKUP(P389,Notes!$A$2:$B$37,2,FALSE)*1024,0) + Q389*16 + IF(R389="",7,R389)*2 + IF(S389&gt;0, 1, 0))),","),"")</f>
        <v/>
      </c>
    </row>
    <row r="390" spans="1:25" x14ac:dyDescent="0.25">
      <c r="F390" s="18">
        <f t="shared" si="36"/>
        <v>0</v>
      </c>
      <c r="G390" s="1" t="str">
        <f t="shared" si="39"/>
        <v/>
      </c>
      <c r="M390" s="18">
        <f t="shared" si="37"/>
        <v>0</v>
      </c>
      <c r="N390" s="1" t="str">
        <f t="shared" si="40"/>
        <v/>
      </c>
      <c r="T390" s="18">
        <f t="shared" si="38"/>
        <v>0</v>
      </c>
      <c r="U390" s="1" t="str">
        <f t="shared" si="41"/>
        <v/>
      </c>
      <c r="W390" s="21" t="str">
        <f>IF(C390&gt;0,CONCATENATE("0x",(DEC2HEX(IF(B390&lt;&gt;"",VLOOKUP(B390,Notes!$A$2:$B$37,2,FALSE)*1024,0) + C390*16 + IF(D390="",7,D390)*2 + IF(E390&gt;0, 1, 0))),","),"")</f>
        <v/>
      </c>
      <c r="X390" s="21" t="str">
        <f>IF(J390&gt;0,CONCATENATE("0x",(DEC2HEX(IF(I390&lt;&gt;"",VLOOKUP(I390,Notes!$A$2:$B$37,2,FALSE)*1024,0) + J390*16 + IF(K390="",7,K390)*2 + IF(L390&gt;0, 1, 0))),","),"")</f>
        <v/>
      </c>
      <c r="Y390" s="21" t="str">
        <f>IF(Q390&gt;0,CONCATENATE("0x",(DEC2HEX(IF(P390&lt;&gt;"",VLOOKUP(P390,Notes!$A$2:$B$37,2,FALSE)*1024,0) + Q390*16 + IF(R390="",7,R390)*2 + IF(S390&gt;0, 1, 0))),","),"")</f>
        <v/>
      </c>
    </row>
    <row r="391" spans="1:25" x14ac:dyDescent="0.25">
      <c r="F391" s="18">
        <f t="shared" si="36"/>
        <v>0</v>
      </c>
      <c r="G391" s="1" t="str">
        <f t="shared" si="39"/>
        <v/>
      </c>
      <c r="M391" s="18">
        <f t="shared" si="37"/>
        <v>0</v>
      </c>
      <c r="N391" s="1" t="str">
        <f t="shared" si="40"/>
        <v/>
      </c>
      <c r="T391" s="18">
        <f t="shared" si="38"/>
        <v>0</v>
      </c>
      <c r="U391" s="1" t="str">
        <f t="shared" si="41"/>
        <v/>
      </c>
      <c r="W391" s="21" t="str">
        <f>IF(C391&gt;0,CONCATENATE("0x",(DEC2HEX(IF(B391&lt;&gt;"",VLOOKUP(B391,Notes!$A$2:$B$37,2,FALSE)*1024,0) + C391*16 + IF(D391="",7,D391)*2 + IF(E391&gt;0, 1, 0))),","),"")</f>
        <v/>
      </c>
      <c r="X391" s="21" t="str">
        <f>IF(J391&gt;0,CONCATENATE("0x",(DEC2HEX(IF(I391&lt;&gt;"",VLOOKUP(I391,Notes!$A$2:$B$37,2,FALSE)*1024,0) + J391*16 + IF(K391="",7,K391)*2 + IF(L391&gt;0, 1, 0))),","),"")</f>
        <v/>
      </c>
      <c r="Y391" s="21" t="str">
        <f>IF(Q391&gt;0,CONCATENATE("0x",(DEC2HEX(IF(P391&lt;&gt;"",VLOOKUP(P391,Notes!$A$2:$B$37,2,FALSE)*1024,0) + Q391*16 + IF(R391="",7,R391)*2 + IF(S391&gt;0, 1, 0))),","),"")</f>
        <v/>
      </c>
    </row>
    <row r="392" spans="1:25" x14ac:dyDescent="0.25">
      <c r="F392" s="18">
        <f t="shared" si="36"/>
        <v>0</v>
      </c>
      <c r="G392" s="1" t="str">
        <f t="shared" si="39"/>
        <v/>
      </c>
      <c r="M392" s="18">
        <f t="shared" si="37"/>
        <v>0</v>
      </c>
      <c r="N392" s="1" t="str">
        <f t="shared" si="40"/>
        <v/>
      </c>
      <c r="T392" s="18">
        <f t="shared" si="38"/>
        <v>0</v>
      </c>
      <c r="U392" s="1" t="str">
        <f t="shared" si="41"/>
        <v/>
      </c>
      <c r="W392" s="21" t="str">
        <f>IF(C392&gt;0,CONCATENATE("0x",(DEC2HEX(IF(B392&lt;&gt;"",VLOOKUP(B392,Notes!$A$2:$B$37,2,FALSE)*1024,0) + C392*16 + IF(D392="",7,D392)*2 + IF(E392&gt;0, 1, 0))),","),"")</f>
        <v/>
      </c>
      <c r="X392" s="21" t="str">
        <f>IF(J392&gt;0,CONCATENATE("0x",(DEC2HEX(IF(I392&lt;&gt;"",VLOOKUP(I392,Notes!$A$2:$B$37,2,FALSE)*1024,0) + J392*16 + IF(K392="",7,K392)*2 + IF(L392&gt;0, 1, 0))),","),"")</f>
        <v/>
      </c>
      <c r="Y392" s="21" t="str">
        <f>IF(Q392&gt;0,CONCATENATE("0x",(DEC2HEX(IF(P392&lt;&gt;"",VLOOKUP(P392,Notes!$A$2:$B$37,2,FALSE)*1024,0) + Q392*16 + IF(R392="",7,R392)*2 + IF(S392&gt;0, 1, 0))),","),"")</f>
        <v/>
      </c>
    </row>
    <row r="393" spans="1:25" x14ac:dyDescent="0.25">
      <c r="B393" s="12"/>
      <c r="C393" s="13"/>
      <c r="D393" s="13"/>
      <c r="E393" s="14"/>
      <c r="F393" s="18">
        <f t="shared" si="36"/>
        <v>0</v>
      </c>
      <c r="G393" s="1" t="str">
        <f t="shared" si="39"/>
        <v/>
      </c>
      <c r="I393" s="12"/>
      <c r="J393" s="13"/>
      <c r="K393" s="13"/>
      <c r="L393" s="14"/>
      <c r="M393" s="18">
        <f t="shared" si="37"/>
        <v>0</v>
      </c>
      <c r="N393" s="1" t="str">
        <f t="shared" si="40"/>
        <v/>
      </c>
      <c r="P393" s="12"/>
      <c r="Q393" s="13"/>
      <c r="R393" s="13"/>
      <c r="S393" s="14"/>
      <c r="T393" s="18">
        <f t="shared" si="38"/>
        <v>0</v>
      </c>
      <c r="U393" s="1" t="str">
        <f t="shared" si="41"/>
        <v/>
      </c>
      <c r="W393" s="21" t="str">
        <f>IF(C393&gt;0,CONCATENATE("0x",(DEC2HEX(IF(B393&lt;&gt;"",VLOOKUP(B393,Notes!$A$2:$B$37,2,FALSE)*1024,0) + C393*16 + IF(D393="",7,D393)*2 + IF(E393&gt;0, 1, 0))),","),"")</f>
        <v/>
      </c>
      <c r="X393" s="21" t="str">
        <f>IF(J393&gt;0,CONCATENATE("0x",(DEC2HEX(IF(I393&lt;&gt;"",VLOOKUP(I393,Notes!$A$2:$B$37,2,FALSE)*1024,0) + J393*16 + IF(K393="",7,K393)*2 + IF(L393&gt;0, 1, 0))),","),"")</f>
        <v/>
      </c>
      <c r="Y393" s="21" t="str">
        <f>IF(Q393&gt;0,CONCATENATE("0x",(DEC2HEX(IF(P393&lt;&gt;"",VLOOKUP(P393,Notes!$A$2:$B$37,2,FALSE)*1024,0) + Q393*16 + IF(R393="",7,R393)*2 + IF(S393&gt;0, 1, 0))),","),"")</f>
        <v/>
      </c>
    </row>
    <row r="394" spans="1:25" x14ac:dyDescent="0.25">
      <c r="F394" s="18">
        <f t="shared" si="36"/>
        <v>0</v>
      </c>
      <c r="G394" s="1" t="str">
        <f t="shared" si="39"/>
        <v/>
      </c>
      <c r="M394" s="18">
        <f t="shared" si="37"/>
        <v>0</v>
      </c>
      <c r="N394" s="1" t="str">
        <f t="shared" si="40"/>
        <v/>
      </c>
      <c r="T394" s="18">
        <f t="shared" si="38"/>
        <v>0</v>
      </c>
      <c r="U394" s="1" t="str">
        <f t="shared" si="41"/>
        <v/>
      </c>
      <c r="W394" s="21" t="str">
        <f>IF(C394&gt;0,CONCATENATE("0x",(DEC2HEX(IF(B394&lt;&gt;"",VLOOKUP(B394,Notes!$A$2:$B$37,2,FALSE)*1024,0) + C394*16 + IF(D394="",7,D394)*2 + IF(E394&gt;0, 1, 0))),","),"")</f>
        <v/>
      </c>
      <c r="X394" s="21" t="str">
        <f>IF(J394&gt;0,CONCATENATE("0x",(DEC2HEX(IF(I394&lt;&gt;"",VLOOKUP(I394,Notes!$A$2:$B$37,2,FALSE)*1024,0) + J394*16 + IF(K394="",7,K394)*2 + IF(L394&gt;0, 1, 0))),","),"")</f>
        <v/>
      </c>
      <c r="Y394" s="21" t="str">
        <f>IF(Q394&gt;0,CONCATENATE("0x",(DEC2HEX(IF(P394&lt;&gt;"",VLOOKUP(P394,Notes!$A$2:$B$37,2,FALSE)*1024,0) + Q394*16 + IF(R394="",7,R394)*2 + IF(S394&gt;0, 1, 0))),","),"")</f>
        <v/>
      </c>
    </row>
    <row r="395" spans="1:25" x14ac:dyDescent="0.25">
      <c r="F395" s="18">
        <f t="shared" si="36"/>
        <v>0</v>
      </c>
      <c r="G395" s="1" t="str">
        <f t="shared" si="39"/>
        <v/>
      </c>
      <c r="M395" s="18">
        <f t="shared" si="37"/>
        <v>0</v>
      </c>
      <c r="N395" s="1" t="str">
        <f t="shared" si="40"/>
        <v/>
      </c>
      <c r="T395" s="18">
        <f t="shared" si="38"/>
        <v>0</v>
      </c>
      <c r="U395" s="1" t="str">
        <f t="shared" si="41"/>
        <v/>
      </c>
      <c r="W395" s="21" t="str">
        <f>IF(C395&gt;0,CONCATENATE("0x",(DEC2HEX(IF(B395&lt;&gt;"",VLOOKUP(B395,Notes!$A$2:$B$37,2,FALSE)*1024,0) + C395*16 + IF(D395="",7,D395)*2 + IF(E395&gt;0, 1, 0))),","),"")</f>
        <v/>
      </c>
      <c r="X395" s="21" t="str">
        <f>IF(J395&gt;0,CONCATENATE("0x",(DEC2HEX(IF(I395&lt;&gt;"",VLOOKUP(I395,Notes!$A$2:$B$37,2,FALSE)*1024,0) + J395*16 + IF(K395="",7,K395)*2 + IF(L395&gt;0, 1, 0))),","),"")</f>
        <v/>
      </c>
      <c r="Y395" s="21" t="str">
        <f>IF(Q395&gt;0,CONCATENATE("0x",(DEC2HEX(IF(P395&lt;&gt;"",VLOOKUP(P395,Notes!$A$2:$B$37,2,FALSE)*1024,0) + Q395*16 + IF(R395="",7,R395)*2 + IF(S395&gt;0, 1, 0))),","),"")</f>
        <v/>
      </c>
    </row>
    <row r="396" spans="1:25" x14ac:dyDescent="0.25">
      <c r="F396" s="18">
        <f t="shared" si="36"/>
        <v>0</v>
      </c>
      <c r="G396" s="1" t="str">
        <f t="shared" si="39"/>
        <v/>
      </c>
      <c r="M396" s="18">
        <f t="shared" si="37"/>
        <v>0</v>
      </c>
      <c r="N396" s="1" t="str">
        <f t="shared" si="40"/>
        <v/>
      </c>
      <c r="T396" s="18">
        <f t="shared" si="38"/>
        <v>0</v>
      </c>
      <c r="U396" s="1" t="str">
        <f t="shared" si="41"/>
        <v/>
      </c>
      <c r="W396" s="21" t="str">
        <f>IF(C396&gt;0,CONCATENATE("0x",(DEC2HEX(IF(B396&lt;&gt;"",VLOOKUP(B396,Notes!$A$2:$B$37,2,FALSE)*1024,0) + C396*16 + IF(D396="",7,D396)*2 + IF(E396&gt;0, 1, 0))),","),"")</f>
        <v/>
      </c>
      <c r="X396" s="21" t="str">
        <f>IF(J396&gt;0,CONCATENATE("0x",(DEC2HEX(IF(I396&lt;&gt;"",VLOOKUP(I396,Notes!$A$2:$B$37,2,FALSE)*1024,0) + J396*16 + IF(K396="",7,K396)*2 + IF(L396&gt;0, 1, 0))),","),"")</f>
        <v/>
      </c>
      <c r="Y396" s="21" t="str">
        <f>IF(Q396&gt;0,CONCATENATE("0x",(DEC2HEX(IF(P396&lt;&gt;"",VLOOKUP(P396,Notes!$A$2:$B$37,2,FALSE)*1024,0) + Q396*16 + IF(R396="",7,R396)*2 + IF(S396&gt;0, 1, 0))),","),"")</f>
        <v/>
      </c>
    </row>
    <row r="397" spans="1:25" x14ac:dyDescent="0.25">
      <c r="F397" s="18">
        <f t="shared" si="36"/>
        <v>0</v>
      </c>
      <c r="G397" s="1" t="str">
        <f t="shared" si="39"/>
        <v/>
      </c>
      <c r="M397" s="18">
        <f t="shared" si="37"/>
        <v>0</v>
      </c>
      <c r="N397" s="1" t="str">
        <f t="shared" si="40"/>
        <v/>
      </c>
      <c r="T397" s="18">
        <f t="shared" si="38"/>
        <v>0</v>
      </c>
      <c r="U397" s="1" t="str">
        <f t="shared" si="41"/>
        <v/>
      </c>
      <c r="W397" s="21" t="str">
        <f>IF(C397&gt;0,CONCATENATE("0x",(DEC2HEX(IF(B397&lt;&gt;"",VLOOKUP(B397,Notes!$A$2:$B$37,2,FALSE)*1024,0) + C397*16 + IF(D397="",7,D397)*2 + IF(E397&gt;0, 1, 0))),","),"")</f>
        <v/>
      </c>
      <c r="X397" s="21" t="str">
        <f>IF(J397&gt;0,CONCATENATE("0x",(DEC2HEX(IF(I397&lt;&gt;"",VLOOKUP(I397,Notes!$A$2:$B$37,2,FALSE)*1024,0) + J397*16 + IF(K397="",7,K397)*2 + IF(L397&gt;0, 1, 0))),","),"")</f>
        <v/>
      </c>
      <c r="Y397" s="21" t="str">
        <f>IF(Q397&gt;0,CONCATENATE("0x",(DEC2HEX(IF(P397&lt;&gt;"",VLOOKUP(P397,Notes!$A$2:$B$37,2,FALSE)*1024,0) + Q397*16 + IF(R397="",7,R397)*2 + IF(S397&gt;0, 1, 0))),","),"")</f>
        <v/>
      </c>
    </row>
    <row r="398" spans="1:25" x14ac:dyDescent="0.25">
      <c r="F398" s="18">
        <f t="shared" si="36"/>
        <v>0</v>
      </c>
      <c r="G398" s="1" t="str">
        <f t="shared" si="39"/>
        <v/>
      </c>
      <c r="M398" s="18">
        <f t="shared" si="37"/>
        <v>0</v>
      </c>
      <c r="N398" s="1" t="str">
        <f t="shared" si="40"/>
        <v/>
      </c>
      <c r="T398" s="18">
        <f t="shared" si="38"/>
        <v>0</v>
      </c>
      <c r="U398" s="1" t="str">
        <f t="shared" si="41"/>
        <v/>
      </c>
      <c r="W398" s="21" t="str">
        <f>IF(C398&gt;0,CONCATENATE("0x",(DEC2HEX(IF(B398&lt;&gt;"",VLOOKUP(B398,Notes!$A$2:$B$37,2,FALSE)*1024,0) + C398*16 + IF(D398="",7,D398)*2 + IF(E398&gt;0, 1, 0))),","),"")</f>
        <v/>
      </c>
      <c r="X398" s="21" t="str">
        <f>IF(J398&gt;0,CONCATENATE("0x",(DEC2HEX(IF(I398&lt;&gt;"",VLOOKUP(I398,Notes!$A$2:$B$37,2,FALSE)*1024,0) + J398*16 + IF(K398="",7,K398)*2 + IF(L398&gt;0, 1, 0))),","),"")</f>
        <v/>
      </c>
      <c r="Y398" s="21" t="str">
        <f>IF(Q398&gt;0,CONCATENATE("0x",(DEC2HEX(IF(P398&lt;&gt;"",VLOOKUP(P398,Notes!$A$2:$B$37,2,FALSE)*1024,0) + Q398*16 + IF(R398="",7,R398)*2 + IF(S398&gt;0, 1, 0))),","),"")</f>
        <v/>
      </c>
    </row>
    <row r="399" spans="1:25" x14ac:dyDescent="0.25">
      <c r="F399" s="18">
        <f t="shared" si="36"/>
        <v>0</v>
      </c>
      <c r="G399" s="1" t="str">
        <f t="shared" si="39"/>
        <v/>
      </c>
      <c r="M399" s="18">
        <f t="shared" si="37"/>
        <v>0</v>
      </c>
      <c r="N399" s="1" t="str">
        <f t="shared" si="40"/>
        <v/>
      </c>
      <c r="T399" s="18">
        <f t="shared" si="38"/>
        <v>0</v>
      </c>
      <c r="U399" s="1" t="str">
        <f t="shared" si="41"/>
        <v/>
      </c>
      <c r="W399" s="21" t="str">
        <f>IF(C399&gt;0,CONCATENATE("0x",(DEC2HEX(IF(B399&lt;&gt;"",VLOOKUP(B399,Notes!$A$2:$B$37,2,FALSE)*1024,0) + C399*16 + IF(D399="",7,D399)*2 + IF(E399&gt;0, 1, 0))),","),"")</f>
        <v/>
      </c>
      <c r="X399" s="21" t="str">
        <f>IF(J399&gt;0,CONCATENATE("0x",(DEC2HEX(IF(I399&lt;&gt;"",VLOOKUP(I399,Notes!$A$2:$B$37,2,FALSE)*1024,0) + J399*16 + IF(K399="",7,K399)*2 + IF(L399&gt;0, 1, 0))),","),"")</f>
        <v/>
      </c>
      <c r="Y399" s="21" t="str">
        <f>IF(Q399&gt;0,CONCATENATE("0x",(DEC2HEX(IF(P399&lt;&gt;"",VLOOKUP(P399,Notes!$A$2:$B$37,2,FALSE)*1024,0) + Q399*16 + IF(R399="",7,R399)*2 + IF(S399&gt;0, 1, 0))),","),"")</f>
        <v/>
      </c>
    </row>
    <row r="400" spans="1:25" x14ac:dyDescent="0.25">
      <c r="F400" s="18">
        <f t="shared" si="36"/>
        <v>0</v>
      </c>
      <c r="G400" s="1" t="str">
        <f t="shared" si="39"/>
        <v/>
      </c>
      <c r="M400" s="18">
        <f t="shared" si="37"/>
        <v>0</v>
      </c>
      <c r="N400" s="1" t="str">
        <f t="shared" si="40"/>
        <v/>
      </c>
      <c r="T400" s="18">
        <f t="shared" si="38"/>
        <v>0</v>
      </c>
      <c r="U400" s="1" t="str">
        <f t="shared" si="41"/>
        <v/>
      </c>
      <c r="W400" s="21" t="str">
        <f>IF(C400&gt;0,CONCATENATE("0x",(DEC2HEX(IF(B400&lt;&gt;"",VLOOKUP(B400,Notes!$A$2:$B$37,2,FALSE)*1024,0) + C400*16 + IF(D400="",7,D400)*2 + IF(E400&gt;0, 1, 0))),","),"")</f>
        <v/>
      </c>
      <c r="X400" s="21" t="str">
        <f>IF(J400&gt;0,CONCATENATE("0x",(DEC2HEX(IF(I400&lt;&gt;"",VLOOKUP(I400,Notes!$A$2:$B$37,2,FALSE)*1024,0) + J400*16 + IF(K400="",7,K400)*2 + IF(L400&gt;0, 1, 0))),","),"")</f>
        <v/>
      </c>
      <c r="Y400" s="21" t="str">
        <f>IF(Q400&gt;0,CONCATENATE("0x",(DEC2HEX(IF(P400&lt;&gt;"",VLOOKUP(P400,Notes!$A$2:$B$37,2,FALSE)*1024,0) + Q400*16 + IF(R400="",7,R400)*2 + IF(S400&gt;0, 1, 0))),","),"")</f>
        <v/>
      </c>
    </row>
    <row r="401" spans="2:25" x14ac:dyDescent="0.25">
      <c r="B401" s="12"/>
      <c r="C401" s="13"/>
      <c r="D401" s="13"/>
      <c r="E401" s="14"/>
      <c r="F401" s="18">
        <f t="shared" si="36"/>
        <v>0</v>
      </c>
      <c r="G401" s="1" t="str">
        <f t="shared" si="39"/>
        <v/>
      </c>
      <c r="I401" s="12"/>
      <c r="J401" s="13"/>
      <c r="K401" s="13"/>
      <c r="L401" s="14"/>
      <c r="M401" s="18">
        <f t="shared" si="37"/>
        <v>0</v>
      </c>
      <c r="N401" s="1" t="str">
        <f t="shared" si="40"/>
        <v/>
      </c>
      <c r="P401" s="12"/>
      <c r="Q401" s="13"/>
      <c r="R401" s="13"/>
      <c r="S401" s="14"/>
      <c r="T401" s="18">
        <f t="shared" si="38"/>
        <v>0</v>
      </c>
      <c r="U401" s="1" t="str">
        <f t="shared" si="41"/>
        <v/>
      </c>
      <c r="W401" s="21" t="str">
        <f>IF(C401&gt;0,CONCATENATE("0x",(DEC2HEX(IF(B401&lt;&gt;"",VLOOKUP(B401,Notes!$A$2:$B$37,2,FALSE)*1024,0) + C401*16 + IF(D401="",7,D401)*2 + IF(E401&gt;0, 1, 0))),","),"")</f>
        <v/>
      </c>
      <c r="X401" s="21" t="str">
        <f>IF(J401&gt;0,CONCATENATE("0x",(DEC2HEX(IF(I401&lt;&gt;"",VLOOKUP(I401,Notes!$A$2:$B$37,2,FALSE)*1024,0) + J401*16 + IF(K401="",7,K401)*2 + IF(L401&gt;0, 1, 0))),","),"")</f>
        <v/>
      </c>
      <c r="Y401" s="21" t="str">
        <f>IF(Q401&gt;0,CONCATENATE("0x",(DEC2HEX(IF(P401&lt;&gt;"",VLOOKUP(P401,Notes!$A$2:$B$37,2,FALSE)*1024,0) + Q401*16 + IF(R401="",7,R401)*2 + IF(S401&gt;0, 1, 0))),","),"")</f>
        <v/>
      </c>
    </row>
    <row r="402" spans="2:25" x14ac:dyDescent="0.25">
      <c r="F402" s="18">
        <f t="shared" si="36"/>
        <v>0</v>
      </c>
      <c r="G402" s="1" t="str">
        <f t="shared" si="39"/>
        <v/>
      </c>
      <c r="M402" s="18">
        <f t="shared" si="37"/>
        <v>0</v>
      </c>
      <c r="N402" s="1" t="str">
        <f t="shared" si="40"/>
        <v/>
      </c>
      <c r="T402" s="18">
        <f t="shared" si="38"/>
        <v>0</v>
      </c>
      <c r="U402" s="1" t="str">
        <f t="shared" si="41"/>
        <v/>
      </c>
      <c r="W402" s="21" t="str">
        <f>IF(C402&gt;0,CONCATENATE("0x",(DEC2HEX(IF(B402&lt;&gt;"",VLOOKUP(B402,Notes!$A$2:$B$37,2,FALSE)*1024,0) + C402*16 + IF(D402="",7,D402)*2 + IF(E402&gt;0, 1, 0))),","),"")</f>
        <v/>
      </c>
      <c r="X402" s="21" t="str">
        <f>IF(J402&gt;0,CONCATENATE("0x",(DEC2HEX(IF(I402&lt;&gt;"",VLOOKUP(I402,Notes!$A$2:$B$37,2,FALSE)*1024,0) + J402*16 + IF(K402="",7,K402)*2 + IF(L402&gt;0, 1, 0))),","),"")</f>
        <v/>
      </c>
      <c r="Y402" s="21" t="str">
        <f>IF(Q402&gt;0,CONCATENATE("0x",(DEC2HEX(IF(P402&lt;&gt;"",VLOOKUP(P402,Notes!$A$2:$B$37,2,FALSE)*1024,0) + Q402*16 + IF(R402="",7,R402)*2 + IF(S402&gt;0, 1, 0))),","),"")</f>
        <v/>
      </c>
    </row>
    <row r="403" spans="2:25" x14ac:dyDescent="0.25">
      <c r="F403" s="18">
        <f t="shared" si="36"/>
        <v>0</v>
      </c>
      <c r="G403" s="1" t="str">
        <f t="shared" si="39"/>
        <v/>
      </c>
      <c r="M403" s="18">
        <f t="shared" si="37"/>
        <v>0</v>
      </c>
      <c r="N403" s="1" t="str">
        <f t="shared" si="40"/>
        <v/>
      </c>
      <c r="T403" s="18">
        <f t="shared" si="38"/>
        <v>0</v>
      </c>
      <c r="U403" s="1" t="str">
        <f t="shared" si="41"/>
        <v/>
      </c>
      <c r="W403" s="21" t="str">
        <f>IF(C403&gt;0,CONCATENATE("0x",(DEC2HEX(IF(B403&lt;&gt;"",VLOOKUP(B403,Notes!$A$2:$B$37,2,FALSE)*1024,0) + C403*16 + IF(D403="",7,D403)*2 + IF(E403&gt;0, 1, 0))),","),"")</f>
        <v/>
      </c>
      <c r="X403" s="21" t="str">
        <f>IF(J403&gt;0,CONCATENATE("0x",(DEC2HEX(IF(I403&lt;&gt;"",VLOOKUP(I403,Notes!$A$2:$B$37,2,FALSE)*1024,0) + J403*16 + IF(K403="",7,K403)*2 + IF(L403&gt;0, 1, 0))),","),"")</f>
        <v/>
      </c>
      <c r="Y403" s="21" t="str">
        <f>IF(Q403&gt;0,CONCATENATE("0x",(DEC2HEX(IF(P403&lt;&gt;"",VLOOKUP(P403,Notes!$A$2:$B$37,2,FALSE)*1024,0) + Q403*16 + IF(R403="",7,R403)*2 + IF(S403&gt;0, 1, 0))),","),"")</f>
        <v/>
      </c>
    </row>
    <row r="404" spans="2:25" x14ac:dyDescent="0.25">
      <c r="F404" s="18">
        <f t="shared" si="36"/>
        <v>0</v>
      </c>
      <c r="G404" s="1" t="str">
        <f t="shared" si="39"/>
        <v/>
      </c>
      <c r="M404" s="18">
        <f t="shared" si="37"/>
        <v>0</v>
      </c>
      <c r="N404" s="1" t="str">
        <f t="shared" si="40"/>
        <v/>
      </c>
      <c r="T404" s="18">
        <f t="shared" si="38"/>
        <v>0</v>
      </c>
      <c r="U404" s="1" t="str">
        <f t="shared" si="41"/>
        <v/>
      </c>
      <c r="W404" s="21" t="str">
        <f>IF(C404&gt;0,CONCATENATE("0x",(DEC2HEX(IF(B404&lt;&gt;"",VLOOKUP(B404,Notes!$A$2:$B$37,2,FALSE)*1024,0) + C404*16 + IF(D404="",7,D404)*2 + IF(E404&gt;0, 1, 0))),","),"")</f>
        <v/>
      </c>
      <c r="X404" s="21" t="str">
        <f>IF(J404&gt;0,CONCATENATE("0x",(DEC2HEX(IF(I404&lt;&gt;"",VLOOKUP(I404,Notes!$A$2:$B$37,2,FALSE)*1024,0) + J404*16 + IF(K404="",7,K404)*2 + IF(L404&gt;0, 1, 0))),","),"")</f>
        <v/>
      </c>
      <c r="Y404" s="21" t="str">
        <f>IF(Q404&gt;0,CONCATENATE("0x",(DEC2HEX(IF(P404&lt;&gt;"",VLOOKUP(P404,Notes!$A$2:$B$37,2,FALSE)*1024,0) + Q404*16 + IF(R404="",7,R404)*2 + IF(S404&gt;0, 1, 0))),","),"")</f>
        <v/>
      </c>
    </row>
    <row r="405" spans="2:25" x14ac:dyDescent="0.25">
      <c r="F405" s="18">
        <f t="shared" si="36"/>
        <v>0</v>
      </c>
      <c r="G405" s="1" t="str">
        <f t="shared" si="39"/>
        <v/>
      </c>
      <c r="M405" s="18">
        <f t="shared" si="37"/>
        <v>0</v>
      </c>
      <c r="N405" s="1" t="str">
        <f t="shared" si="40"/>
        <v/>
      </c>
      <c r="T405" s="18">
        <f t="shared" si="38"/>
        <v>0</v>
      </c>
      <c r="U405" s="1" t="str">
        <f t="shared" si="41"/>
        <v/>
      </c>
      <c r="W405" s="21" t="str">
        <f>IF(C405&gt;0,CONCATENATE("0x",(DEC2HEX(IF(B405&lt;&gt;"",VLOOKUP(B405,Notes!$A$2:$B$37,2,FALSE)*1024,0) + C405*16 + IF(D405="",7,D405)*2 + IF(E405&gt;0, 1, 0))),","),"")</f>
        <v/>
      </c>
      <c r="X405" s="21" t="str">
        <f>IF(J405&gt;0,CONCATENATE("0x",(DEC2HEX(IF(I405&lt;&gt;"",VLOOKUP(I405,Notes!$A$2:$B$37,2,FALSE)*1024,0) + J405*16 + IF(K405="",7,K405)*2 + IF(L405&gt;0, 1, 0))),","),"")</f>
        <v/>
      </c>
      <c r="Y405" s="21" t="str">
        <f>IF(Q405&gt;0,CONCATENATE("0x",(DEC2HEX(IF(P405&lt;&gt;"",VLOOKUP(P405,Notes!$A$2:$B$37,2,FALSE)*1024,0) + Q405*16 + IF(R405="",7,R405)*2 + IF(S405&gt;0, 1, 0))),","),"")</f>
        <v/>
      </c>
    </row>
    <row r="406" spans="2:25" x14ac:dyDescent="0.25">
      <c r="F406" s="18">
        <f t="shared" si="36"/>
        <v>0</v>
      </c>
      <c r="G406" s="1" t="str">
        <f t="shared" si="39"/>
        <v/>
      </c>
      <c r="M406" s="18">
        <f t="shared" si="37"/>
        <v>0</v>
      </c>
      <c r="N406" s="1" t="str">
        <f t="shared" si="40"/>
        <v/>
      </c>
      <c r="T406" s="18">
        <f t="shared" si="38"/>
        <v>0</v>
      </c>
      <c r="U406" s="1" t="str">
        <f t="shared" si="41"/>
        <v/>
      </c>
      <c r="W406" s="21" t="str">
        <f>IF(C406&gt;0,CONCATENATE("0x",(DEC2HEX(IF(B406&lt;&gt;"",VLOOKUP(B406,Notes!$A$2:$B$37,2,FALSE)*1024,0) + C406*16 + IF(D406="",7,D406)*2 + IF(E406&gt;0, 1, 0))),","),"")</f>
        <v/>
      </c>
      <c r="X406" s="21" t="str">
        <f>IF(J406&gt;0,CONCATENATE("0x",(DEC2HEX(IF(I406&lt;&gt;"",VLOOKUP(I406,Notes!$A$2:$B$37,2,FALSE)*1024,0) + J406*16 + IF(K406="",7,K406)*2 + IF(L406&gt;0, 1, 0))),","),"")</f>
        <v/>
      </c>
      <c r="Y406" s="21" t="str">
        <f>IF(Q406&gt;0,CONCATENATE("0x",(DEC2HEX(IF(P406&lt;&gt;"",VLOOKUP(P406,Notes!$A$2:$B$37,2,FALSE)*1024,0) + Q406*16 + IF(R406="",7,R406)*2 + IF(S406&gt;0, 1, 0))),","),"")</f>
        <v/>
      </c>
    </row>
    <row r="407" spans="2:25" x14ac:dyDescent="0.25">
      <c r="F407" s="18">
        <f t="shared" si="36"/>
        <v>0</v>
      </c>
      <c r="G407" s="1" t="str">
        <f t="shared" si="39"/>
        <v/>
      </c>
      <c r="M407" s="18">
        <f t="shared" si="37"/>
        <v>0</v>
      </c>
      <c r="N407" s="1" t="str">
        <f t="shared" si="40"/>
        <v/>
      </c>
      <c r="T407" s="18">
        <f t="shared" si="38"/>
        <v>0</v>
      </c>
      <c r="U407" s="1" t="str">
        <f t="shared" si="41"/>
        <v/>
      </c>
      <c r="W407" s="21" t="str">
        <f>IF(C407&gt;0,CONCATENATE("0x",(DEC2HEX(IF(B407&lt;&gt;"",VLOOKUP(B407,Notes!$A$2:$B$37,2,FALSE)*1024,0) + C407*16 + IF(D407="",7,D407)*2 + IF(E407&gt;0, 1, 0))),","),"")</f>
        <v/>
      </c>
      <c r="X407" s="21" t="str">
        <f>IF(J407&gt;0,CONCATENATE("0x",(DEC2HEX(IF(I407&lt;&gt;"",VLOOKUP(I407,Notes!$A$2:$B$37,2,FALSE)*1024,0) + J407*16 + IF(K407="",7,K407)*2 + IF(L407&gt;0, 1, 0))),","),"")</f>
        <v/>
      </c>
      <c r="Y407" s="21" t="str">
        <f>IF(Q407&gt;0,CONCATENATE("0x",(DEC2HEX(IF(P407&lt;&gt;"",VLOOKUP(P407,Notes!$A$2:$B$37,2,FALSE)*1024,0) + Q407*16 + IF(R407="",7,R407)*2 + IF(S407&gt;0, 1, 0))),","),"")</f>
        <v/>
      </c>
    </row>
    <row r="408" spans="2:25" x14ac:dyDescent="0.25">
      <c r="F408" s="18">
        <f t="shared" si="36"/>
        <v>0</v>
      </c>
      <c r="G408" s="1" t="str">
        <f t="shared" si="39"/>
        <v/>
      </c>
      <c r="M408" s="18">
        <f t="shared" si="37"/>
        <v>0</v>
      </c>
      <c r="N408" s="1" t="str">
        <f t="shared" si="40"/>
        <v/>
      </c>
      <c r="T408" s="18">
        <f t="shared" si="38"/>
        <v>0</v>
      </c>
      <c r="U408" s="1" t="str">
        <f t="shared" si="41"/>
        <v/>
      </c>
      <c r="W408" s="21" t="str">
        <f>IF(C408&gt;0,CONCATENATE("0x",(DEC2HEX(IF(B408&lt;&gt;"",VLOOKUP(B408,Notes!$A$2:$B$37,2,FALSE)*1024,0) + C408*16 + IF(D408="",7,D408)*2 + IF(E408&gt;0, 1, 0))),","),"")</f>
        <v/>
      </c>
      <c r="X408" s="21" t="str">
        <f>IF(J408&gt;0,CONCATENATE("0x",(DEC2HEX(IF(I408&lt;&gt;"",VLOOKUP(I408,Notes!$A$2:$B$37,2,FALSE)*1024,0) + J408*16 + IF(K408="",7,K408)*2 + IF(L408&gt;0, 1, 0))),","),"")</f>
        <v/>
      </c>
      <c r="Y408" s="21" t="str">
        <f>IF(Q408&gt;0,CONCATENATE("0x",(DEC2HEX(IF(P408&lt;&gt;"",VLOOKUP(P408,Notes!$A$2:$B$37,2,FALSE)*1024,0) + Q408*16 + IF(R408="",7,R408)*2 + IF(S408&gt;0, 1, 0))),","),"")</f>
        <v/>
      </c>
    </row>
    <row r="409" spans="2:25" x14ac:dyDescent="0.25">
      <c r="B409" s="12"/>
      <c r="C409" s="13"/>
      <c r="D409" s="13"/>
      <c r="E409" s="14"/>
      <c r="F409" s="18">
        <f t="shared" si="36"/>
        <v>0</v>
      </c>
      <c r="G409" s="1" t="str">
        <f t="shared" si="39"/>
        <v/>
      </c>
      <c r="I409" s="12"/>
      <c r="J409" s="13"/>
      <c r="K409" s="13"/>
      <c r="L409" s="14"/>
      <c r="M409" s="18">
        <f t="shared" si="37"/>
        <v>0</v>
      </c>
      <c r="N409" s="1" t="str">
        <f t="shared" si="40"/>
        <v/>
      </c>
      <c r="P409" s="12"/>
      <c r="Q409" s="13"/>
      <c r="R409" s="13"/>
      <c r="S409" s="14"/>
      <c r="T409" s="18">
        <f t="shared" si="38"/>
        <v>0</v>
      </c>
      <c r="U409" s="1" t="str">
        <f t="shared" si="41"/>
        <v/>
      </c>
      <c r="W409" s="21" t="str">
        <f>IF(C409&gt;0,CONCATENATE("0x",(DEC2HEX(IF(B409&lt;&gt;"",VLOOKUP(B409,Notes!$A$2:$B$37,2,FALSE)*1024,0) + C409*16 + IF(D409="",7,D409)*2 + IF(E409&gt;0, 1, 0))),","),"")</f>
        <v/>
      </c>
      <c r="X409" s="21" t="str">
        <f>IF(J409&gt;0,CONCATENATE("0x",(DEC2HEX(IF(I409&lt;&gt;"",VLOOKUP(I409,Notes!$A$2:$B$37,2,FALSE)*1024,0) + J409*16 + IF(K409="",7,K409)*2 + IF(L409&gt;0, 1, 0))),","),"")</f>
        <v/>
      </c>
      <c r="Y409" s="21" t="str">
        <f>IF(Q409&gt;0,CONCATENATE("0x",(DEC2HEX(IF(P409&lt;&gt;"",VLOOKUP(P409,Notes!$A$2:$B$37,2,FALSE)*1024,0) + Q409*16 + IF(R409="",7,R409)*2 + IF(S409&gt;0, 1, 0))),","),"")</f>
        <v/>
      </c>
    </row>
    <row r="410" spans="2:25" x14ac:dyDescent="0.25">
      <c r="F410" s="18">
        <f t="shared" si="36"/>
        <v>0</v>
      </c>
      <c r="G410" s="1" t="str">
        <f t="shared" si="39"/>
        <v/>
      </c>
      <c r="M410" s="18">
        <f t="shared" si="37"/>
        <v>0</v>
      </c>
      <c r="N410" s="1" t="str">
        <f t="shared" si="40"/>
        <v/>
      </c>
      <c r="T410" s="18">
        <f t="shared" si="38"/>
        <v>0</v>
      </c>
      <c r="U410" s="1" t="str">
        <f t="shared" si="41"/>
        <v/>
      </c>
      <c r="W410" s="21" t="str">
        <f>IF(C410&gt;0,CONCATENATE("0x",(DEC2HEX(IF(B410&lt;&gt;"",VLOOKUP(B410,Notes!$A$2:$B$37,2,FALSE)*1024,0) + C410*16 + IF(D410="",7,D410)*2 + IF(E410&gt;0, 1, 0))),","),"")</f>
        <v/>
      </c>
      <c r="X410" s="21" t="str">
        <f>IF(J410&gt;0,CONCATENATE("0x",(DEC2HEX(IF(I410&lt;&gt;"",VLOOKUP(I410,Notes!$A$2:$B$37,2,FALSE)*1024,0) + J410*16 + IF(K410="",7,K410)*2 + IF(L410&gt;0, 1, 0))),","),"")</f>
        <v/>
      </c>
      <c r="Y410" s="21" t="str">
        <f>IF(Q410&gt;0,CONCATENATE("0x",(DEC2HEX(IF(P410&lt;&gt;"",VLOOKUP(P410,Notes!$A$2:$B$37,2,FALSE)*1024,0) + Q410*16 + IF(R410="",7,R410)*2 + IF(S410&gt;0, 1, 0))),","),"")</f>
        <v/>
      </c>
    </row>
    <row r="411" spans="2:25" x14ac:dyDescent="0.25">
      <c r="F411" s="18">
        <f t="shared" si="36"/>
        <v>0</v>
      </c>
      <c r="G411" s="1" t="str">
        <f t="shared" si="39"/>
        <v/>
      </c>
      <c r="M411" s="18">
        <f t="shared" si="37"/>
        <v>0</v>
      </c>
      <c r="N411" s="1" t="str">
        <f t="shared" si="40"/>
        <v/>
      </c>
      <c r="T411" s="18">
        <f t="shared" si="38"/>
        <v>0</v>
      </c>
      <c r="U411" s="1" t="str">
        <f t="shared" si="41"/>
        <v/>
      </c>
      <c r="W411" s="21" t="str">
        <f>IF(C411&gt;0,CONCATENATE("0x",(DEC2HEX(IF(B411&lt;&gt;"",VLOOKUP(B411,Notes!$A$2:$B$37,2,FALSE)*1024,0) + C411*16 + IF(D411="",7,D411)*2 + IF(E411&gt;0, 1, 0))),","),"")</f>
        <v/>
      </c>
      <c r="X411" s="21" t="str">
        <f>IF(J411&gt;0,CONCATENATE("0x",(DEC2HEX(IF(I411&lt;&gt;"",VLOOKUP(I411,Notes!$A$2:$B$37,2,FALSE)*1024,0) + J411*16 + IF(K411="",7,K411)*2 + IF(L411&gt;0, 1, 0))),","),"")</f>
        <v/>
      </c>
      <c r="Y411" s="21" t="str">
        <f>IF(Q411&gt;0,CONCATENATE("0x",(DEC2HEX(IF(P411&lt;&gt;"",VLOOKUP(P411,Notes!$A$2:$B$37,2,FALSE)*1024,0) + Q411*16 + IF(R411="",7,R411)*2 + IF(S411&gt;0, 1, 0))),","),"")</f>
        <v/>
      </c>
    </row>
    <row r="412" spans="2:25" x14ac:dyDescent="0.25">
      <c r="F412" s="18">
        <f t="shared" si="36"/>
        <v>0</v>
      </c>
      <c r="G412" s="1" t="str">
        <f t="shared" si="39"/>
        <v/>
      </c>
      <c r="M412" s="18">
        <f t="shared" si="37"/>
        <v>0</v>
      </c>
      <c r="N412" s="1" t="str">
        <f t="shared" si="40"/>
        <v/>
      </c>
      <c r="T412" s="18">
        <f t="shared" si="38"/>
        <v>0</v>
      </c>
      <c r="U412" s="1" t="str">
        <f t="shared" si="41"/>
        <v/>
      </c>
      <c r="W412" s="21" t="str">
        <f>IF(C412&gt;0,CONCATENATE("0x",(DEC2HEX(IF(B412&lt;&gt;"",VLOOKUP(B412,Notes!$A$2:$B$37,2,FALSE)*1024,0) + C412*16 + IF(D412="",7,D412)*2 + IF(E412&gt;0, 1, 0))),","),"")</f>
        <v/>
      </c>
      <c r="X412" s="21" t="str">
        <f>IF(J412&gt;0,CONCATENATE("0x",(DEC2HEX(IF(I412&lt;&gt;"",VLOOKUP(I412,Notes!$A$2:$B$37,2,FALSE)*1024,0) + J412*16 + IF(K412="",7,K412)*2 + IF(L412&gt;0, 1, 0))),","),"")</f>
        <v/>
      </c>
      <c r="Y412" s="21" t="str">
        <f>IF(Q412&gt;0,CONCATENATE("0x",(DEC2HEX(IF(P412&lt;&gt;"",VLOOKUP(P412,Notes!$A$2:$B$37,2,FALSE)*1024,0) + Q412*16 + IF(R412="",7,R412)*2 + IF(S412&gt;0, 1, 0))),","),"")</f>
        <v/>
      </c>
    </row>
    <row r="413" spans="2:25" x14ac:dyDescent="0.25">
      <c r="F413" s="18">
        <f t="shared" si="36"/>
        <v>0</v>
      </c>
      <c r="G413" s="1" t="str">
        <f t="shared" si="39"/>
        <v/>
      </c>
      <c r="M413" s="18">
        <f t="shared" si="37"/>
        <v>0</v>
      </c>
      <c r="N413" s="1" t="str">
        <f t="shared" si="40"/>
        <v/>
      </c>
      <c r="T413" s="18">
        <f t="shared" si="38"/>
        <v>0</v>
      </c>
      <c r="U413" s="1" t="str">
        <f t="shared" si="41"/>
        <v/>
      </c>
      <c r="W413" s="21" t="str">
        <f>IF(C413&gt;0,CONCATENATE("0x",(DEC2HEX(IF(B413&lt;&gt;"",VLOOKUP(B413,Notes!$A$2:$B$37,2,FALSE)*1024,0) + C413*16 + IF(D413="",7,D413)*2 + IF(E413&gt;0, 1, 0))),","),"")</f>
        <v/>
      </c>
      <c r="X413" s="21" t="str">
        <f>IF(J413&gt;0,CONCATENATE("0x",(DEC2HEX(IF(I413&lt;&gt;"",VLOOKUP(I413,Notes!$A$2:$B$37,2,FALSE)*1024,0) + J413*16 + IF(K413="",7,K413)*2 + IF(L413&gt;0, 1, 0))),","),"")</f>
        <v/>
      </c>
      <c r="Y413" s="21" t="str">
        <f>IF(Q413&gt;0,CONCATENATE("0x",(DEC2HEX(IF(P413&lt;&gt;"",VLOOKUP(P413,Notes!$A$2:$B$37,2,FALSE)*1024,0) + Q413*16 + IF(R413="",7,R413)*2 + IF(S413&gt;0, 1, 0))),","),"")</f>
        <v/>
      </c>
    </row>
    <row r="414" spans="2:25" x14ac:dyDescent="0.25">
      <c r="F414" s="18">
        <f t="shared" si="36"/>
        <v>0</v>
      </c>
      <c r="G414" s="1" t="str">
        <f t="shared" si="39"/>
        <v/>
      </c>
      <c r="M414" s="18">
        <f t="shared" si="37"/>
        <v>0</v>
      </c>
      <c r="N414" s="1" t="str">
        <f t="shared" si="40"/>
        <v/>
      </c>
      <c r="T414" s="18">
        <f t="shared" si="38"/>
        <v>0</v>
      </c>
      <c r="U414" s="1" t="str">
        <f t="shared" si="41"/>
        <v/>
      </c>
      <c r="W414" s="21" t="str">
        <f>IF(C414&gt;0,CONCATENATE("0x",(DEC2HEX(IF(B414&lt;&gt;"",VLOOKUP(B414,Notes!$A$2:$B$37,2,FALSE)*1024,0) + C414*16 + IF(D414="",7,D414)*2 + IF(E414&gt;0, 1, 0))),","),"")</f>
        <v/>
      </c>
      <c r="X414" s="21" t="str">
        <f>IF(J414&gt;0,CONCATENATE("0x",(DEC2HEX(IF(I414&lt;&gt;"",VLOOKUP(I414,Notes!$A$2:$B$37,2,FALSE)*1024,0) + J414*16 + IF(K414="",7,K414)*2 + IF(L414&gt;0, 1, 0))),","),"")</f>
        <v/>
      </c>
      <c r="Y414" s="21" t="str">
        <f>IF(Q414&gt;0,CONCATENATE("0x",(DEC2HEX(IF(P414&lt;&gt;"",VLOOKUP(P414,Notes!$A$2:$B$37,2,FALSE)*1024,0) + Q414*16 + IF(R414="",7,R414)*2 + IF(S414&gt;0, 1, 0))),","),"")</f>
        <v/>
      </c>
    </row>
    <row r="415" spans="2:25" x14ac:dyDescent="0.25">
      <c r="F415" s="18">
        <f t="shared" si="36"/>
        <v>0</v>
      </c>
      <c r="G415" s="1" t="str">
        <f t="shared" si="39"/>
        <v/>
      </c>
      <c r="M415" s="18">
        <f t="shared" si="37"/>
        <v>0</v>
      </c>
      <c r="N415" s="1" t="str">
        <f t="shared" si="40"/>
        <v/>
      </c>
      <c r="T415" s="18">
        <f t="shared" si="38"/>
        <v>0</v>
      </c>
      <c r="U415" s="1" t="str">
        <f t="shared" si="41"/>
        <v/>
      </c>
      <c r="W415" s="21" t="str">
        <f>IF(C415&gt;0,CONCATENATE("0x",(DEC2HEX(IF(B415&lt;&gt;"",VLOOKUP(B415,Notes!$A$2:$B$37,2,FALSE)*1024,0) + C415*16 + IF(D415="",7,D415)*2 + IF(E415&gt;0, 1, 0))),","),"")</f>
        <v/>
      </c>
      <c r="X415" s="21" t="str">
        <f>IF(J415&gt;0,CONCATENATE("0x",(DEC2HEX(IF(I415&lt;&gt;"",VLOOKUP(I415,Notes!$A$2:$B$37,2,FALSE)*1024,0) + J415*16 + IF(K415="",7,K415)*2 + IF(L415&gt;0, 1, 0))),","),"")</f>
        <v/>
      </c>
      <c r="Y415" s="21" t="str">
        <f>IF(Q415&gt;0,CONCATENATE("0x",(DEC2HEX(IF(P415&lt;&gt;"",VLOOKUP(P415,Notes!$A$2:$B$37,2,FALSE)*1024,0) + Q415*16 + IF(R415="",7,R415)*2 + IF(S415&gt;0, 1, 0))),","),"")</f>
        <v/>
      </c>
    </row>
    <row r="416" spans="2:25" x14ac:dyDescent="0.25">
      <c r="F416" s="18">
        <f t="shared" si="36"/>
        <v>0</v>
      </c>
      <c r="G416" s="1" t="str">
        <f t="shared" si="39"/>
        <v/>
      </c>
      <c r="M416" s="18">
        <f t="shared" si="37"/>
        <v>0</v>
      </c>
      <c r="N416" s="1" t="str">
        <f t="shared" si="40"/>
        <v/>
      </c>
      <c r="T416" s="18">
        <f t="shared" si="38"/>
        <v>0</v>
      </c>
      <c r="U416" s="1" t="str">
        <f t="shared" si="41"/>
        <v/>
      </c>
      <c r="W416" s="21" t="str">
        <f>IF(C416&gt;0,CONCATENATE("0x",(DEC2HEX(IF(B416&lt;&gt;"",VLOOKUP(B416,Notes!$A$2:$B$37,2,FALSE)*1024,0) + C416*16 + IF(D416="",7,D416)*2 + IF(E416&gt;0, 1, 0))),","),"")</f>
        <v/>
      </c>
      <c r="X416" s="21" t="str">
        <f>IF(J416&gt;0,CONCATENATE("0x",(DEC2HEX(IF(I416&lt;&gt;"",VLOOKUP(I416,Notes!$A$2:$B$37,2,FALSE)*1024,0) + J416*16 + IF(K416="",7,K416)*2 + IF(L416&gt;0, 1, 0))),","),"")</f>
        <v/>
      </c>
      <c r="Y416" s="21" t="str">
        <f>IF(Q416&gt;0,CONCATENATE("0x",(DEC2HEX(IF(P416&lt;&gt;"",VLOOKUP(P416,Notes!$A$2:$B$37,2,FALSE)*1024,0) + Q416*16 + IF(R416="",7,R416)*2 + IF(S416&gt;0, 1, 0))),","),"")</f>
        <v/>
      </c>
    </row>
    <row r="417" spans="1:25" ht="16.5" thickBot="1" x14ac:dyDescent="0.3">
      <c r="B417" s="15"/>
      <c r="C417" s="16"/>
      <c r="D417" s="16"/>
      <c r="E417" s="17"/>
      <c r="F417" s="18">
        <f t="shared" si="36"/>
        <v>0</v>
      </c>
      <c r="G417" s="1" t="str">
        <f t="shared" si="39"/>
        <v/>
      </c>
      <c r="I417" s="15"/>
      <c r="J417" s="16"/>
      <c r="K417" s="16"/>
      <c r="L417" s="17"/>
      <c r="M417" s="18">
        <f t="shared" si="37"/>
        <v>0</v>
      </c>
      <c r="N417" s="1" t="str">
        <f t="shared" si="40"/>
        <v/>
      </c>
      <c r="P417" s="15"/>
      <c r="Q417" s="16"/>
      <c r="R417" s="16"/>
      <c r="S417" s="17"/>
      <c r="T417" s="18">
        <f t="shared" si="38"/>
        <v>0</v>
      </c>
      <c r="U417" s="1" t="str">
        <f t="shared" si="41"/>
        <v/>
      </c>
      <c r="W417" s="21" t="str">
        <f>IF(C417&gt;0,CONCATENATE("0x",(DEC2HEX(IF(B417&lt;&gt;"",VLOOKUP(B417,Notes!$A$2:$B$37,2,FALSE)*1024,0) + C417*16 + IF(D417="",7,D417)*2 + IF(E417&gt;0, 1, 0))),","),"")</f>
        <v/>
      </c>
      <c r="X417" s="21" t="str">
        <f>IF(J417&gt;0,CONCATENATE("0x",(DEC2HEX(IF(I417&lt;&gt;"",VLOOKUP(I417,Notes!$A$2:$B$37,2,FALSE)*1024,0) + J417*16 + IF(K417="",7,K417)*2 + IF(L417&gt;0, 1, 0))),","),"")</f>
        <v/>
      </c>
      <c r="Y417" s="21" t="str">
        <f>IF(Q417&gt;0,CONCATENATE("0x",(DEC2HEX(IF(P417&lt;&gt;"",VLOOKUP(P417,Notes!$A$2:$B$37,2,FALSE)*1024,0) + Q417*16 + IF(R417="",7,R417)*2 + IF(S417&gt;0, 1, 0))),","),"")</f>
        <v/>
      </c>
    </row>
    <row r="418" spans="1:25" ht="16.5" thickTop="1" x14ac:dyDescent="0.25">
      <c r="A418" s="1">
        <v>14</v>
      </c>
      <c r="F418" s="18">
        <f t="shared" si="36"/>
        <v>0</v>
      </c>
      <c r="G418" s="1" t="str">
        <f t="shared" si="39"/>
        <v/>
      </c>
      <c r="M418" s="18">
        <f t="shared" si="37"/>
        <v>0</v>
      </c>
      <c r="N418" s="1" t="str">
        <f t="shared" si="40"/>
        <v/>
      </c>
      <c r="T418" s="18">
        <f t="shared" si="38"/>
        <v>0</v>
      </c>
      <c r="U418" s="1" t="str">
        <f t="shared" si="41"/>
        <v/>
      </c>
      <c r="W418" s="21" t="str">
        <f>IF(C418&gt;0,CONCATENATE("0x",(DEC2HEX(IF(B418&lt;&gt;"",VLOOKUP(B418,Notes!$A$2:$B$37,2,FALSE)*1024,0) + C418*16 + IF(D418="",7,D418)*2 + IF(E418&gt;0, 1, 0))),","),"")</f>
        <v/>
      </c>
      <c r="X418" s="21" t="str">
        <f>IF(J418&gt;0,CONCATENATE("0x",(DEC2HEX(IF(I418&lt;&gt;"",VLOOKUP(I418,Notes!$A$2:$B$37,2,FALSE)*1024,0) + J418*16 + IF(K418="",7,K418)*2 + IF(L418&gt;0, 1, 0))),","),"")</f>
        <v/>
      </c>
      <c r="Y418" s="21" t="str">
        <f>IF(Q418&gt;0,CONCATENATE("0x",(DEC2HEX(IF(P418&lt;&gt;"",VLOOKUP(P418,Notes!$A$2:$B$37,2,FALSE)*1024,0) + Q418*16 + IF(R418="",7,R418)*2 + IF(S418&gt;0, 1, 0))),","),"")</f>
        <v/>
      </c>
    </row>
    <row r="419" spans="1:25" x14ac:dyDescent="0.25">
      <c r="F419" s="18">
        <f t="shared" si="36"/>
        <v>0</v>
      </c>
      <c r="G419" s="1" t="str">
        <f t="shared" si="39"/>
        <v/>
      </c>
      <c r="M419" s="18">
        <f t="shared" si="37"/>
        <v>0</v>
      </c>
      <c r="N419" s="1" t="str">
        <f t="shared" si="40"/>
        <v/>
      </c>
      <c r="T419" s="18">
        <f t="shared" si="38"/>
        <v>0</v>
      </c>
      <c r="U419" s="1" t="str">
        <f t="shared" si="41"/>
        <v/>
      </c>
      <c r="W419" s="21" t="str">
        <f>IF(C419&gt;0,CONCATENATE("0x",(DEC2HEX(IF(B419&lt;&gt;"",VLOOKUP(B419,Notes!$A$2:$B$37,2,FALSE)*1024,0) + C419*16 + IF(D419="",7,D419)*2 + IF(E419&gt;0, 1, 0))),","),"")</f>
        <v/>
      </c>
      <c r="X419" s="21" t="str">
        <f>IF(J419&gt;0,CONCATENATE("0x",(DEC2HEX(IF(I419&lt;&gt;"",VLOOKUP(I419,Notes!$A$2:$B$37,2,FALSE)*1024,0) + J419*16 + IF(K419="",7,K419)*2 + IF(L419&gt;0, 1, 0))),","),"")</f>
        <v/>
      </c>
      <c r="Y419" s="21" t="str">
        <f>IF(Q419&gt;0,CONCATENATE("0x",(DEC2HEX(IF(P419&lt;&gt;"",VLOOKUP(P419,Notes!$A$2:$B$37,2,FALSE)*1024,0) + Q419*16 + IF(R419="",7,R419)*2 + IF(S419&gt;0, 1, 0))),","),"")</f>
        <v/>
      </c>
    </row>
    <row r="420" spans="1:25" x14ac:dyDescent="0.25">
      <c r="F420" s="18">
        <f t="shared" si="36"/>
        <v>0</v>
      </c>
      <c r="G420" s="1" t="str">
        <f t="shared" si="39"/>
        <v/>
      </c>
      <c r="M420" s="18">
        <f t="shared" si="37"/>
        <v>0</v>
      </c>
      <c r="N420" s="1" t="str">
        <f t="shared" si="40"/>
        <v/>
      </c>
      <c r="T420" s="18">
        <f t="shared" si="38"/>
        <v>0</v>
      </c>
      <c r="U420" s="1" t="str">
        <f t="shared" si="41"/>
        <v/>
      </c>
      <c r="W420" s="21" t="str">
        <f>IF(C420&gt;0,CONCATENATE("0x",(DEC2HEX(IF(B420&lt;&gt;"",VLOOKUP(B420,Notes!$A$2:$B$37,2,FALSE)*1024,0) + C420*16 + IF(D420="",7,D420)*2 + IF(E420&gt;0, 1, 0))),","),"")</f>
        <v/>
      </c>
      <c r="X420" s="21" t="str">
        <f>IF(J420&gt;0,CONCATENATE("0x",(DEC2HEX(IF(I420&lt;&gt;"",VLOOKUP(I420,Notes!$A$2:$B$37,2,FALSE)*1024,0) + J420*16 + IF(K420="",7,K420)*2 + IF(L420&gt;0, 1, 0))),","),"")</f>
        <v/>
      </c>
      <c r="Y420" s="21" t="str">
        <f>IF(Q420&gt;0,CONCATENATE("0x",(DEC2HEX(IF(P420&lt;&gt;"",VLOOKUP(P420,Notes!$A$2:$B$37,2,FALSE)*1024,0) + Q420*16 + IF(R420="",7,R420)*2 + IF(S420&gt;0, 1, 0))),","),"")</f>
        <v/>
      </c>
    </row>
    <row r="421" spans="1:25" x14ac:dyDescent="0.25">
      <c r="F421" s="18">
        <f t="shared" si="36"/>
        <v>0</v>
      </c>
      <c r="G421" s="1" t="str">
        <f t="shared" si="39"/>
        <v/>
      </c>
      <c r="M421" s="18">
        <f t="shared" si="37"/>
        <v>0</v>
      </c>
      <c r="N421" s="1" t="str">
        <f t="shared" si="40"/>
        <v/>
      </c>
      <c r="T421" s="18">
        <f t="shared" si="38"/>
        <v>0</v>
      </c>
      <c r="U421" s="1" t="str">
        <f t="shared" si="41"/>
        <v/>
      </c>
      <c r="W421" s="21" t="str">
        <f>IF(C421&gt;0,CONCATENATE("0x",(DEC2HEX(IF(B421&lt;&gt;"",VLOOKUP(B421,Notes!$A$2:$B$37,2,FALSE)*1024,0) + C421*16 + IF(D421="",7,D421)*2 + IF(E421&gt;0, 1, 0))),","),"")</f>
        <v/>
      </c>
      <c r="X421" s="21" t="str">
        <f>IF(J421&gt;0,CONCATENATE("0x",(DEC2HEX(IF(I421&lt;&gt;"",VLOOKUP(I421,Notes!$A$2:$B$37,2,FALSE)*1024,0) + J421*16 + IF(K421="",7,K421)*2 + IF(L421&gt;0, 1, 0))),","),"")</f>
        <v/>
      </c>
      <c r="Y421" s="21" t="str">
        <f>IF(Q421&gt;0,CONCATENATE("0x",(DEC2HEX(IF(P421&lt;&gt;"",VLOOKUP(P421,Notes!$A$2:$B$37,2,FALSE)*1024,0) + Q421*16 + IF(R421="",7,R421)*2 + IF(S421&gt;0, 1, 0))),","),"")</f>
        <v/>
      </c>
    </row>
    <row r="422" spans="1:25" x14ac:dyDescent="0.25">
      <c r="F422" s="18">
        <f t="shared" si="36"/>
        <v>0</v>
      </c>
      <c r="G422" s="1" t="str">
        <f t="shared" si="39"/>
        <v/>
      </c>
      <c r="M422" s="18">
        <f t="shared" si="37"/>
        <v>0</v>
      </c>
      <c r="N422" s="1" t="str">
        <f t="shared" si="40"/>
        <v/>
      </c>
      <c r="T422" s="18">
        <f t="shared" si="38"/>
        <v>0</v>
      </c>
      <c r="U422" s="1" t="str">
        <f t="shared" si="41"/>
        <v/>
      </c>
      <c r="W422" s="21" t="str">
        <f>IF(C422&gt;0,CONCATENATE("0x",(DEC2HEX(IF(B422&lt;&gt;"",VLOOKUP(B422,Notes!$A$2:$B$37,2,FALSE)*1024,0) + C422*16 + IF(D422="",7,D422)*2 + IF(E422&gt;0, 1, 0))),","),"")</f>
        <v/>
      </c>
      <c r="X422" s="21" t="str">
        <f>IF(J422&gt;0,CONCATENATE("0x",(DEC2HEX(IF(I422&lt;&gt;"",VLOOKUP(I422,Notes!$A$2:$B$37,2,FALSE)*1024,0) + J422*16 + IF(K422="",7,K422)*2 + IF(L422&gt;0, 1, 0))),","),"")</f>
        <v/>
      </c>
      <c r="Y422" s="21" t="str">
        <f>IF(Q422&gt;0,CONCATENATE("0x",(DEC2HEX(IF(P422&lt;&gt;"",VLOOKUP(P422,Notes!$A$2:$B$37,2,FALSE)*1024,0) + Q422*16 + IF(R422="",7,R422)*2 + IF(S422&gt;0, 1, 0))),","),"")</f>
        <v/>
      </c>
    </row>
    <row r="423" spans="1:25" x14ac:dyDescent="0.25">
      <c r="F423" s="18">
        <f t="shared" si="36"/>
        <v>0</v>
      </c>
      <c r="G423" s="1" t="str">
        <f t="shared" si="39"/>
        <v/>
      </c>
      <c r="M423" s="18">
        <f t="shared" si="37"/>
        <v>0</v>
      </c>
      <c r="N423" s="1" t="str">
        <f t="shared" si="40"/>
        <v/>
      </c>
      <c r="T423" s="18">
        <f t="shared" si="38"/>
        <v>0</v>
      </c>
      <c r="U423" s="1" t="str">
        <f t="shared" si="41"/>
        <v/>
      </c>
      <c r="W423" s="21" t="str">
        <f>IF(C423&gt;0,CONCATENATE("0x",(DEC2HEX(IF(B423&lt;&gt;"",VLOOKUP(B423,Notes!$A$2:$B$37,2,FALSE)*1024,0) + C423*16 + IF(D423="",7,D423)*2 + IF(E423&gt;0, 1, 0))),","),"")</f>
        <v/>
      </c>
      <c r="X423" s="21" t="str">
        <f>IF(J423&gt;0,CONCATENATE("0x",(DEC2HEX(IF(I423&lt;&gt;"",VLOOKUP(I423,Notes!$A$2:$B$37,2,FALSE)*1024,0) + J423*16 + IF(K423="",7,K423)*2 + IF(L423&gt;0, 1, 0))),","),"")</f>
        <v/>
      </c>
      <c r="Y423" s="21" t="str">
        <f>IF(Q423&gt;0,CONCATENATE("0x",(DEC2HEX(IF(P423&lt;&gt;"",VLOOKUP(P423,Notes!$A$2:$B$37,2,FALSE)*1024,0) + Q423*16 + IF(R423="",7,R423)*2 + IF(S423&gt;0, 1, 0))),","),"")</f>
        <v/>
      </c>
    </row>
    <row r="424" spans="1:25" x14ac:dyDescent="0.25">
      <c r="F424" s="18">
        <f t="shared" si="36"/>
        <v>0</v>
      </c>
      <c r="G424" s="1" t="str">
        <f t="shared" si="39"/>
        <v/>
      </c>
      <c r="M424" s="18">
        <f t="shared" si="37"/>
        <v>0</v>
      </c>
      <c r="N424" s="1" t="str">
        <f t="shared" si="40"/>
        <v/>
      </c>
      <c r="T424" s="18">
        <f t="shared" si="38"/>
        <v>0</v>
      </c>
      <c r="U424" s="1" t="str">
        <f t="shared" si="41"/>
        <v/>
      </c>
      <c r="W424" s="21" t="str">
        <f>IF(C424&gt;0,CONCATENATE("0x",(DEC2HEX(IF(B424&lt;&gt;"",VLOOKUP(B424,Notes!$A$2:$B$37,2,FALSE)*1024,0) + C424*16 + IF(D424="",7,D424)*2 + IF(E424&gt;0, 1, 0))),","),"")</f>
        <v/>
      </c>
      <c r="X424" s="21" t="str">
        <f>IF(J424&gt;0,CONCATENATE("0x",(DEC2HEX(IF(I424&lt;&gt;"",VLOOKUP(I424,Notes!$A$2:$B$37,2,FALSE)*1024,0) + J424*16 + IF(K424="",7,K424)*2 + IF(L424&gt;0, 1, 0))),","),"")</f>
        <v/>
      </c>
      <c r="Y424" s="21" t="str">
        <f>IF(Q424&gt;0,CONCATENATE("0x",(DEC2HEX(IF(P424&lt;&gt;"",VLOOKUP(P424,Notes!$A$2:$B$37,2,FALSE)*1024,0) + Q424*16 + IF(R424="",7,R424)*2 + IF(S424&gt;0, 1, 0))),","),"")</f>
        <v/>
      </c>
    </row>
    <row r="425" spans="1:25" x14ac:dyDescent="0.25">
      <c r="B425" s="12"/>
      <c r="C425" s="13"/>
      <c r="D425" s="13"/>
      <c r="E425" s="14"/>
      <c r="F425" s="18">
        <f t="shared" si="36"/>
        <v>0</v>
      </c>
      <c r="G425" s="1" t="str">
        <f t="shared" si="39"/>
        <v/>
      </c>
      <c r="I425" s="12"/>
      <c r="J425" s="13"/>
      <c r="K425" s="13"/>
      <c r="L425" s="14"/>
      <c r="M425" s="18">
        <f t="shared" si="37"/>
        <v>0</v>
      </c>
      <c r="N425" s="1" t="str">
        <f t="shared" si="40"/>
        <v/>
      </c>
      <c r="P425" s="12"/>
      <c r="Q425" s="13"/>
      <c r="R425" s="13"/>
      <c r="S425" s="14"/>
      <c r="T425" s="18">
        <f t="shared" si="38"/>
        <v>0</v>
      </c>
      <c r="U425" s="1" t="str">
        <f t="shared" si="41"/>
        <v/>
      </c>
      <c r="W425" s="21" t="str">
        <f>IF(C425&gt;0,CONCATENATE("0x",(DEC2HEX(IF(B425&lt;&gt;"",VLOOKUP(B425,Notes!$A$2:$B$37,2,FALSE)*1024,0) + C425*16 + IF(D425="",7,D425)*2 + IF(E425&gt;0, 1, 0))),","),"")</f>
        <v/>
      </c>
      <c r="X425" s="21" t="str">
        <f>IF(J425&gt;0,CONCATENATE("0x",(DEC2HEX(IF(I425&lt;&gt;"",VLOOKUP(I425,Notes!$A$2:$B$37,2,FALSE)*1024,0) + J425*16 + IF(K425="",7,K425)*2 + IF(L425&gt;0, 1, 0))),","),"")</f>
        <v/>
      </c>
      <c r="Y425" s="21" t="str">
        <f>IF(Q425&gt;0,CONCATENATE("0x",(DEC2HEX(IF(P425&lt;&gt;"",VLOOKUP(P425,Notes!$A$2:$B$37,2,FALSE)*1024,0) + Q425*16 + IF(R425="",7,R425)*2 + IF(S425&gt;0, 1, 0))),","),"")</f>
        <v/>
      </c>
    </row>
    <row r="426" spans="1:25" x14ac:dyDescent="0.25">
      <c r="F426" s="18">
        <f t="shared" si="36"/>
        <v>0</v>
      </c>
      <c r="G426" s="1" t="str">
        <f t="shared" si="39"/>
        <v/>
      </c>
      <c r="M426" s="18">
        <f t="shared" si="37"/>
        <v>0</v>
      </c>
      <c r="N426" s="1" t="str">
        <f t="shared" si="40"/>
        <v/>
      </c>
      <c r="T426" s="18">
        <f t="shared" si="38"/>
        <v>0</v>
      </c>
      <c r="U426" s="1" t="str">
        <f t="shared" si="41"/>
        <v/>
      </c>
      <c r="W426" s="21" t="str">
        <f>IF(C426&gt;0,CONCATENATE("0x",(DEC2HEX(IF(B426&lt;&gt;"",VLOOKUP(B426,Notes!$A$2:$B$37,2,FALSE)*1024,0) + C426*16 + IF(D426="",7,D426)*2 + IF(E426&gt;0, 1, 0))),","),"")</f>
        <v/>
      </c>
      <c r="X426" s="21" t="str">
        <f>IF(J426&gt;0,CONCATENATE("0x",(DEC2HEX(IF(I426&lt;&gt;"",VLOOKUP(I426,Notes!$A$2:$B$37,2,FALSE)*1024,0) + J426*16 + IF(K426="",7,K426)*2 + IF(L426&gt;0, 1, 0))),","),"")</f>
        <v/>
      </c>
      <c r="Y426" s="21" t="str">
        <f>IF(Q426&gt;0,CONCATENATE("0x",(DEC2HEX(IF(P426&lt;&gt;"",VLOOKUP(P426,Notes!$A$2:$B$37,2,FALSE)*1024,0) + Q426*16 + IF(R426="",7,R426)*2 + IF(S426&gt;0, 1, 0))),","),"")</f>
        <v/>
      </c>
    </row>
    <row r="427" spans="1:25" x14ac:dyDescent="0.25">
      <c r="F427" s="18">
        <f t="shared" si="36"/>
        <v>0</v>
      </c>
      <c r="G427" s="1" t="str">
        <f t="shared" si="39"/>
        <v/>
      </c>
      <c r="M427" s="18">
        <f t="shared" si="37"/>
        <v>0</v>
      </c>
      <c r="N427" s="1" t="str">
        <f t="shared" si="40"/>
        <v/>
      </c>
      <c r="T427" s="18">
        <f t="shared" si="38"/>
        <v>0</v>
      </c>
      <c r="U427" s="1" t="str">
        <f t="shared" si="41"/>
        <v/>
      </c>
      <c r="W427" s="21" t="str">
        <f>IF(C427&gt;0,CONCATENATE("0x",(DEC2HEX(IF(B427&lt;&gt;"",VLOOKUP(B427,Notes!$A$2:$B$37,2,FALSE)*1024,0) + C427*16 + IF(D427="",7,D427)*2 + IF(E427&gt;0, 1, 0))),","),"")</f>
        <v/>
      </c>
      <c r="X427" s="21" t="str">
        <f>IF(J427&gt;0,CONCATENATE("0x",(DEC2HEX(IF(I427&lt;&gt;"",VLOOKUP(I427,Notes!$A$2:$B$37,2,FALSE)*1024,0) + J427*16 + IF(K427="",7,K427)*2 + IF(L427&gt;0, 1, 0))),","),"")</f>
        <v/>
      </c>
      <c r="Y427" s="21" t="str">
        <f>IF(Q427&gt;0,CONCATENATE("0x",(DEC2HEX(IF(P427&lt;&gt;"",VLOOKUP(P427,Notes!$A$2:$B$37,2,FALSE)*1024,0) + Q427*16 + IF(R427="",7,R427)*2 + IF(S427&gt;0, 1, 0))),","),"")</f>
        <v/>
      </c>
    </row>
    <row r="428" spans="1:25" x14ac:dyDescent="0.25">
      <c r="F428" s="18">
        <f t="shared" si="36"/>
        <v>0</v>
      </c>
      <c r="G428" s="1" t="str">
        <f t="shared" si="39"/>
        <v/>
      </c>
      <c r="M428" s="18">
        <f t="shared" si="37"/>
        <v>0</v>
      </c>
      <c r="N428" s="1" t="str">
        <f t="shared" si="40"/>
        <v/>
      </c>
      <c r="T428" s="18">
        <f t="shared" si="38"/>
        <v>0</v>
      </c>
      <c r="U428" s="1" t="str">
        <f t="shared" si="41"/>
        <v/>
      </c>
      <c r="W428" s="21" t="str">
        <f>IF(C428&gt;0,CONCATENATE("0x",(DEC2HEX(IF(B428&lt;&gt;"",VLOOKUP(B428,Notes!$A$2:$B$37,2,FALSE)*1024,0) + C428*16 + IF(D428="",7,D428)*2 + IF(E428&gt;0, 1, 0))),","),"")</f>
        <v/>
      </c>
      <c r="X428" s="21" t="str">
        <f>IF(J428&gt;0,CONCATENATE("0x",(DEC2HEX(IF(I428&lt;&gt;"",VLOOKUP(I428,Notes!$A$2:$B$37,2,FALSE)*1024,0) + J428*16 + IF(K428="",7,K428)*2 + IF(L428&gt;0, 1, 0))),","),"")</f>
        <v/>
      </c>
      <c r="Y428" s="21" t="str">
        <f>IF(Q428&gt;0,CONCATENATE("0x",(DEC2HEX(IF(P428&lt;&gt;"",VLOOKUP(P428,Notes!$A$2:$B$37,2,FALSE)*1024,0) + Q428*16 + IF(R428="",7,R428)*2 + IF(S428&gt;0, 1, 0))),","),"")</f>
        <v/>
      </c>
    </row>
    <row r="429" spans="1:25" x14ac:dyDescent="0.25">
      <c r="F429" s="18">
        <f t="shared" si="36"/>
        <v>0</v>
      </c>
      <c r="G429" s="1" t="str">
        <f t="shared" si="39"/>
        <v/>
      </c>
      <c r="M429" s="18">
        <f t="shared" si="37"/>
        <v>0</v>
      </c>
      <c r="N429" s="1" t="str">
        <f t="shared" si="40"/>
        <v/>
      </c>
      <c r="T429" s="18">
        <f t="shared" si="38"/>
        <v>0</v>
      </c>
      <c r="U429" s="1" t="str">
        <f t="shared" si="41"/>
        <v/>
      </c>
      <c r="W429" s="21" t="str">
        <f>IF(C429&gt;0,CONCATENATE("0x",(DEC2HEX(IF(B429&lt;&gt;"",VLOOKUP(B429,Notes!$A$2:$B$37,2,FALSE)*1024,0) + C429*16 + IF(D429="",7,D429)*2 + IF(E429&gt;0, 1, 0))),","),"")</f>
        <v/>
      </c>
      <c r="X429" s="21" t="str">
        <f>IF(J429&gt;0,CONCATENATE("0x",(DEC2HEX(IF(I429&lt;&gt;"",VLOOKUP(I429,Notes!$A$2:$B$37,2,FALSE)*1024,0) + J429*16 + IF(K429="",7,K429)*2 + IF(L429&gt;0, 1, 0))),","),"")</f>
        <v/>
      </c>
      <c r="Y429" s="21" t="str">
        <f>IF(Q429&gt;0,CONCATENATE("0x",(DEC2HEX(IF(P429&lt;&gt;"",VLOOKUP(P429,Notes!$A$2:$B$37,2,FALSE)*1024,0) + Q429*16 + IF(R429="",7,R429)*2 + IF(S429&gt;0, 1, 0))),","),"")</f>
        <v/>
      </c>
    </row>
    <row r="430" spans="1:25" x14ac:dyDescent="0.25">
      <c r="F430" s="18">
        <f t="shared" si="36"/>
        <v>0</v>
      </c>
      <c r="G430" s="1" t="str">
        <f t="shared" si="39"/>
        <v/>
      </c>
      <c r="M430" s="18">
        <f t="shared" si="37"/>
        <v>0</v>
      </c>
      <c r="N430" s="1" t="str">
        <f t="shared" si="40"/>
        <v/>
      </c>
      <c r="T430" s="18">
        <f t="shared" si="38"/>
        <v>0</v>
      </c>
      <c r="U430" s="1" t="str">
        <f t="shared" si="41"/>
        <v/>
      </c>
      <c r="W430" s="21" t="str">
        <f>IF(C430&gt;0,CONCATENATE("0x",(DEC2HEX(IF(B430&lt;&gt;"",VLOOKUP(B430,Notes!$A$2:$B$37,2,FALSE)*1024,0) + C430*16 + IF(D430="",7,D430)*2 + IF(E430&gt;0, 1, 0))),","),"")</f>
        <v/>
      </c>
      <c r="X430" s="21" t="str">
        <f>IF(J430&gt;0,CONCATENATE("0x",(DEC2HEX(IF(I430&lt;&gt;"",VLOOKUP(I430,Notes!$A$2:$B$37,2,FALSE)*1024,0) + J430*16 + IF(K430="",7,K430)*2 + IF(L430&gt;0, 1, 0))),","),"")</f>
        <v/>
      </c>
      <c r="Y430" s="21" t="str">
        <f>IF(Q430&gt;0,CONCATENATE("0x",(DEC2HEX(IF(P430&lt;&gt;"",VLOOKUP(P430,Notes!$A$2:$B$37,2,FALSE)*1024,0) + Q430*16 + IF(R430="",7,R430)*2 + IF(S430&gt;0, 1, 0))),","),"")</f>
        <v/>
      </c>
    </row>
    <row r="431" spans="1:25" x14ac:dyDescent="0.25">
      <c r="F431" s="18">
        <f t="shared" si="36"/>
        <v>0</v>
      </c>
      <c r="G431" s="1" t="str">
        <f t="shared" si="39"/>
        <v/>
      </c>
      <c r="M431" s="18">
        <f t="shared" si="37"/>
        <v>0</v>
      </c>
      <c r="N431" s="1" t="str">
        <f t="shared" si="40"/>
        <v/>
      </c>
      <c r="T431" s="18">
        <f t="shared" si="38"/>
        <v>0</v>
      </c>
      <c r="U431" s="1" t="str">
        <f t="shared" si="41"/>
        <v/>
      </c>
      <c r="W431" s="21" t="str">
        <f>IF(C431&gt;0,CONCATENATE("0x",(DEC2HEX(IF(B431&lt;&gt;"",VLOOKUP(B431,Notes!$A$2:$B$37,2,FALSE)*1024,0) + C431*16 + IF(D431="",7,D431)*2 + IF(E431&gt;0, 1, 0))),","),"")</f>
        <v/>
      </c>
      <c r="X431" s="21" t="str">
        <f>IF(J431&gt;0,CONCATENATE("0x",(DEC2HEX(IF(I431&lt;&gt;"",VLOOKUP(I431,Notes!$A$2:$B$37,2,FALSE)*1024,0) + J431*16 + IF(K431="",7,K431)*2 + IF(L431&gt;0, 1, 0))),","),"")</f>
        <v/>
      </c>
      <c r="Y431" s="21" t="str">
        <f>IF(Q431&gt;0,CONCATENATE("0x",(DEC2HEX(IF(P431&lt;&gt;"",VLOOKUP(P431,Notes!$A$2:$B$37,2,FALSE)*1024,0) + Q431*16 + IF(R431="",7,R431)*2 + IF(S431&gt;0, 1, 0))),","),"")</f>
        <v/>
      </c>
    </row>
    <row r="432" spans="1:25" x14ac:dyDescent="0.25">
      <c r="F432" s="18">
        <f t="shared" si="36"/>
        <v>0</v>
      </c>
      <c r="G432" s="1" t="str">
        <f t="shared" si="39"/>
        <v/>
      </c>
      <c r="M432" s="18">
        <f t="shared" si="37"/>
        <v>0</v>
      </c>
      <c r="N432" s="1" t="str">
        <f t="shared" si="40"/>
        <v/>
      </c>
      <c r="T432" s="18">
        <f t="shared" si="38"/>
        <v>0</v>
      </c>
      <c r="U432" s="1" t="str">
        <f t="shared" si="41"/>
        <v/>
      </c>
      <c r="W432" s="21" t="str">
        <f>IF(C432&gt;0,CONCATENATE("0x",(DEC2HEX(IF(B432&lt;&gt;"",VLOOKUP(B432,Notes!$A$2:$B$37,2,FALSE)*1024,0) + C432*16 + IF(D432="",7,D432)*2 + IF(E432&gt;0, 1, 0))),","),"")</f>
        <v/>
      </c>
      <c r="X432" s="21" t="str">
        <f>IF(J432&gt;0,CONCATENATE("0x",(DEC2HEX(IF(I432&lt;&gt;"",VLOOKUP(I432,Notes!$A$2:$B$37,2,FALSE)*1024,0) + J432*16 + IF(K432="",7,K432)*2 + IF(L432&gt;0, 1, 0))),","),"")</f>
        <v/>
      </c>
      <c r="Y432" s="21" t="str">
        <f>IF(Q432&gt;0,CONCATENATE("0x",(DEC2HEX(IF(P432&lt;&gt;"",VLOOKUP(P432,Notes!$A$2:$B$37,2,FALSE)*1024,0) + Q432*16 + IF(R432="",7,R432)*2 + IF(S432&gt;0, 1, 0))),","),"")</f>
        <v/>
      </c>
    </row>
    <row r="433" spans="2:25" x14ac:dyDescent="0.25">
      <c r="B433" s="12"/>
      <c r="C433" s="13"/>
      <c r="D433" s="13"/>
      <c r="E433" s="14"/>
      <c r="F433" s="18">
        <f t="shared" si="36"/>
        <v>0</v>
      </c>
      <c r="G433" s="1" t="str">
        <f t="shared" si="39"/>
        <v/>
      </c>
      <c r="I433" s="12"/>
      <c r="J433" s="13"/>
      <c r="K433" s="13"/>
      <c r="L433" s="14"/>
      <c r="M433" s="18">
        <f t="shared" si="37"/>
        <v>0</v>
      </c>
      <c r="N433" s="1" t="str">
        <f t="shared" si="40"/>
        <v/>
      </c>
      <c r="P433" s="12"/>
      <c r="Q433" s="13"/>
      <c r="R433" s="13"/>
      <c r="S433" s="14"/>
      <c r="T433" s="18">
        <f t="shared" si="38"/>
        <v>0</v>
      </c>
      <c r="U433" s="1" t="str">
        <f t="shared" si="41"/>
        <v/>
      </c>
      <c r="W433" s="21" t="str">
        <f>IF(C433&gt;0,CONCATENATE("0x",(DEC2HEX(IF(B433&lt;&gt;"",VLOOKUP(B433,Notes!$A$2:$B$37,2,FALSE)*1024,0) + C433*16 + IF(D433="",7,D433)*2 + IF(E433&gt;0, 1, 0))),","),"")</f>
        <v/>
      </c>
      <c r="X433" s="21" t="str">
        <f>IF(J433&gt;0,CONCATENATE("0x",(DEC2HEX(IF(I433&lt;&gt;"",VLOOKUP(I433,Notes!$A$2:$B$37,2,FALSE)*1024,0) + J433*16 + IF(K433="",7,K433)*2 + IF(L433&gt;0, 1, 0))),","),"")</f>
        <v/>
      </c>
      <c r="Y433" s="21" t="str">
        <f>IF(Q433&gt;0,CONCATENATE("0x",(DEC2HEX(IF(P433&lt;&gt;"",VLOOKUP(P433,Notes!$A$2:$B$37,2,FALSE)*1024,0) + Q433*16 + IF(R433="",7,R433)*2 + IF(S433&gt;0, 1, 0))),","),"")</f>
        <v/>
      </c>
    </row>
    <row r="434" spans="2:25" x14ac:dyDescent="0.25">
      <c r="F434" s="18">
        <f t="shared" si="36"/>
        <v>0</v>
      </c>
      <c r="G434" s="1" t="str">
        <f t="shared" si="39"/>
        <v/>
      </c>
      <c r="M434" s="18">
        <f t="shared" si="37"/>
        <v>0</v>
      </c>
      <c r="N434" s="1" t="str">
        <f t="shared" si="40"/>
        <v/>
      </c>
      <c r="T434" s="18">
        <f t="shared" si="38"/>
        <v>0</v>
      </c>
      <c r="U434" s="1" t="str">
        <f t="shared" si="41"/>
        <v/>
      </c>
      <c r="W434" s="21" t="str">
        <f>IF(C434&gt;0,CONCATENATE("0x",(DEC2HEX(IF(B434&lt;&gt;"",VLOOKUP(B434,Notes!$A$2:$B$37,2,FALSE)*1024,0) + C434*16 + IF(D434="",7,D434)*2 + IF(E434&gt;0, 1, 0))),","),"")</f>
        <v/>
      </c>
      <c r="X434" s="21" t="str">
        <f>IF(J434&gt;0,CONCATENATE("0x",(DEC2HEX(IF(I434&lt;&gt;"",VLOOKUP(I434,Notes!$A$2:$B$37,2,FALSE)*1024,0) + J434*16 + IF(K434="",7,K434)*2 + IF(L434&gt;0, 1, 0))),","),"")</f>
        <v/>
      </c>
      <c r="Y434" s="21" t="str">
        <f>IF(Q434&gt;0,CONCATENATE("0x",(DEC2HEX(IF(P434&lt;&gt;"",VLOOKUP(P434,Notes!$A$2:$B$37,2,FALSE)*1024,0) + Q434*16 + IF(R434="",7,R434)*2 + IF(S434&gt;0, 1, 0))),","),"")</f>
        <v/>
      </c>
    </row>
    <row r="435" spans="2:25" x14ac:dyDescent="0.25">
      <c r="F435" s="18">
        <f t="shared" si="36"/>
        <v>0</v>
      </c>
      <c r="G435" s="1" t="str">
        <f t="shared" si="39"/>
        <v/>
      </c>
      <c r="M435" s="18">
        <f t="shared" si="37"/>
        <v>0</v>
      </c>
      <c r="N435" s="1" t="str">
        <f t="shared" si="40"/>
        <v/>
      </c>
      <c r="T435" s="18">
        <f t="shared" si="38"/>
        <v>0</v>
      </c>
      <c r="U435" s="1" t="str">
        <f t="shared" si="41"/>
        <v/>
      </c>
      <c r="W435" s="21" t="str">
        <f>IF(C435&gt;0,CONCATENATE("0x",(DEC2HEX(IF(B435&lt;&gt;"",VLOOKUP(B435,Notes!$A$2:$B$37,2,FALSE)*1024,0) + C435*16 + IF(D435="",7,D435)*2 + IF(E435&gt;0, 1, 0))),","),"")</f>
        <v/>
      </c>
      <c r="X435" s="21" t="str">
        <f>IF(J435&gt;0,CONCATENATE("0x",(DEC2HEX(IF(I435&lt;&gt;"",VLOOKUP(I435,Notes!$A$2:$B$37,2,FALSE)*1024,0) + J435*16 + IF(K435="",7,K435)*2 + IF(L435&gt;0, 1, 0))),","),"")</f>
        <v/>
      </c>
      <c r="Y435" s="21" t="str">
        <f>IF(Q435&gt;0,CONCATENATE("0x",(DEC2HEX(IF(P435&lt;&gt;"",VLOOKUP(P435,Notes!$A$2:$B$37,2,FALSE)*1024,0) + Q435*16 + IF(R435="",7,R435)*2 + IF(S435&gt;0, 1, 0))),","),"")</f>
        <v/>
      </c>
    </row>
    <row r="436" spans="2:25" x14ac:dyDescent="0.25">
      <c r="F436" s="18">
        <f t="shared" si="36"/>
        <v>0</v>
      </c>
      <c r="G436" s="1" t="str">
        <f t="shared" si="39"/>
        <v/>
      </c>
      <c r="M436" s="18">
        <f t="shared" si="37"/>
        <v>0</v>
      </c>
      <c r="N436" s="1" t="str">
        <f t="shared" si="40"/>
        <v/>
      </c>
      <c r="T436" s="18">
        <f t="shared" si="38"/>
        <v>0</v>
      </c>
      <c r="U436" s="1" t="str">
        <f t="shared" si="41"/>
        <v/>
      </c>
      <c r="W436" s="21" t="str">
        <f>IF(C436&gt;0,CONCATENATE("0x",(DEC2HEX(IF(B436&lt;&gt;"",VLOOKUP(B436,Notes!$A$2:$B$37,2,FALSE)*1024,0) + C436*16 + IF(D436="",7,D436)*2 + IF(E436&gt;0, 1, 0))),","),"")</f>
        <v/>
      </c>
      <c r="X436" s="21" t="str">
        <f>IF(J436&gt;0,CONCATENATE("0x",(DEC2HEX(IF(I436&lt;&gt;"",VLOOKUP(I436,Notes!$A$2:$B$37,2,FALSE)*1024,0) + J436*16 + IF(K436="",7,K436)*2 + IF(L436&gt;0, 1, 0))),","),"")</f>
        <v/>
      </c>
      <c r="Y436" s="21" t="str">
        <f>IF(Q436&gt;0,CONCATENATE("0x",(DEC2HEX(IF(P436&lt;&gt;"",VLOOKUP(P436,Notes!$A$2:$B$37,2,FALSE)*1024,0) + Q436*16 + IF(R436="",7,R436)*2 + IF(S436&gt;0, 1, 0))),","),"")</f>
        <v/>
      </c>
    </row>
    <row r="437" spans="2:25" x14ac:dyDescent="0.25">
      <c r="F437" s="18">
        <f t="shared" si="36"/>
        <v>0</v>
      </c>
      <c r="G437" s="1" t="str">
        <f t="shared" si="39"/>
        <v/>
      </c>
      <c r="M437" s="18">
        <f t="shared" si="37"/>
        <v>0</v>
      </c>
      <c r="N437" s="1" t="str">
        <f t="shared" si="40"/>
        <v/>
      </c>
      <c r="T437" s="18">
        <f t="shared" si="38"/>
        <v>0</v>
      </c>
      <c r="U437" s="1" t="str">
        <f t="shared" si="41"/>
        <v/>
      </c>
      <c r="W437" s="21" t="str">
        <f>IF(C437&gt;0,CONCATENATE("0x",(DEC2HEX(IF(B437&lt;&gt;"",VLOOKUP(B437,Notes!$A$2:$B$37,2,FALSE)*1024,0) + C437*16 + IF(D437="",7,D437)*2 + IF(E437&gt;0, 1, 0))),","),"")</f>
        <v/>
      </c>
      <c r="X437" s="21" t="str">
        <f>IF(J437&gt;0,CONCATENATE("0x",(DEC2HEX(IF(I437&lt;&gt;"",VLOOKUP(I437,Notes!$A$2:$B$37,2,FALSE)*1024,0) + J437*16 + IF(K437="",7,K437)*2 + IF(L437&gt;0, 1, 0))),","),"")</f>
        <v/>
      </c>
      <c r="Y437" s="21" t="str">
        <f>IF(Q437&gt;0,CONCATENATE("0x",(DEC2HEX(IF(P437&lt;&gt;"",VLOOKUP(P437,Notes!$A$2:$B$37,2,FALSE)*1024,0) + Q437*16 + IF(R437="",7,R437)*2 + IF(S437&gt;0, 1, 0))),","),"")</f>
        <v/>
      </c>
    </row>
    <row r="438" spans="2:25" x14ac:dyDescent="0.25">
      <c r="F438" s="18">
        <f t="shared" si="36"/>
        <v>0</v>
      </c>
      <c r="G438" s="1" t="str">
        <f t="shared" si="39"/>
        <v/>
      </c>
      <c r="M438" s="18">
        <f t="shared" si="37"/>
        <v>0</v>
      </c>
      <c r="N438" s="1" t="str">
        <f t="shared" si="40"/>
        <v/>
      </c>
      <c r="T438" s="18">
        <f t="shared" si="38"/>
        <v>0</v>
      </c>
      <c r="U438" s="1" t="str">
        <f t="shared" si="41"/>
        <v/>
      </c>
      <c r="W438" s="21" t="str">
        <f>IF(C438&gt;0,CONCATENATE("0x",(DEC2HEX(IF(B438&lt;&gt;"",VLOOKUP(B438,Notes!$A$2:$B$37,2,FALSE)*1024,0) + C438*16 + IF(D438="",7,D438)*2 + IF(E438&gt;0, 1, 0))),","),"")</f>
        <v/>
      </c>
      <c r="X438" s="21" t="str">
        <f>IF(J438&gt;0,CONCATENATE("0x",(DEC2HEX(IF(I438&lt;&gt;"",VLOOKUP(I438,Notes!$A$2:$B$37,2,FALSE)*1024,0) + J438*16 + IF(K438="",7,K438)*2 + IF(L438&gt;0, 1, 0))),","),"")</f>
        <v/>
      </c>
      <c r="Y438" s="21" t="str">
        <f>IF(Q438&gt;0,CONCATENATE("0x",(DEC2HEX(IF(P438&lt;&gt;"",VLOOKUP(P438,Notes!$A$2:$B$37,2,FALSE)*1024,0) + Q438*16 + IF(R438="",7,R438)*2 + IF(S438&gt;0, 1, 0))),","),"")</f>
        <v/>
      </c>
    </row>
    <row r="439" spans="2:25" x14ac:dyDescent="0.25">
      <c r="F439" s="18">
        <f t="shared" si="36"/>
        <v>0</v>
      </c>
      <c r="G439" s="1" t="str">
        <f t="shared" si="39"/>
        <v/>
      </c>
      <c r="M439" s="18">
        <f t="shared" si="37"/>
        <v>0</v>
      </c>
      <c r="N439" s="1" t="str">
        <f t="shared" si="40"/>
        <v/>
      </c>
      <c r="T439" s="18">
        <f t="shared" si="38"/>
        <v>0</v>
      </c>
      <c r="U439" s="1" t="str">
        <f t="shared" si="41"/>
        <v/>
      </c>
      <c r="W439" s="21" t="str">
        <f>IF(C439&gt;0,CONCATENATE("0x",(DEC2HEX(IF(B439&lt;&gt;"",VLOOKUP(B439,Notes!$A$2:$B$37,2,FALSE)*1024,0) + C439*16 + IF(D439="",7,D439)*2 + IF(E439&gt;0, 1, 0))),","),"")</f>
        <v/>
      </c>
      <c r="X439" s="21" t="str">
        <f>IF(J439&gt;0,CONCATENATE("0x",(DEC2HEX(IF(I439&lt;&gt;"",VLOOKUP(I439,Notes!$A$2:$B$37,2,FALSE)*1024,0) + J439*16 + IF(K439="",7,K439)*2 + IF(L439&gt;0, 1, 0))),","),"")</f>
        <v/>
      </c>
      <c r="Y439" s="21" t="str">
        <f>IF(Q439&gt;0,CONCATENATE("0x",(DEC2HEX(IF(P439&lt;&gt;"",VLOOKUP(P439,Notes!$A$2:$B$37,2,FALSE)*1024,0) + Q439*16 + IF(R439="",7,R439)*2 + IF(S439&gt;0, 1, 0))),","),"")</f>
        <v/>
      </c>
    </row>
    <row r="440" spans="2:25" x14ac:dyDescent="0.25">
      <c r="F440" s="18">
        <f t="shared" si="36"/>
        <v>0</v>
      </c>
      <c r="G440" s="1" t="str">
        <f t="shared" si="39"/>
        <v/>
      </c>
      <c r="M440" s="18">
        <f t="shared" si="37"/>
        <v>0</v>
      </c>
      <c r="N440" s="1" t="str">
        <f t="shared" si="40"/>
        <v/>
      </c>
      <c r="T440" s="18">
        <f t="shared" si="38"/>
        <v>0</v>
      </c>
      <c r="U440" s="1" t="str">
        <f t="shared" si="41"/>
        <v/>
      </c>
      <c r="W440" s="21" t="str">
        <f>IF(C440&gt;0,CONCATENATE("0x",(DEC2HEX(IF(B440&lt;&gt;"",VLOOKUP(B440,Notes!$A$2:$B$37,2,FALSE)*1024,0) + C440*16 + IF(D440="",7,D440)*2 + IF(E440&gt;0, 1, 0))),","),"")</f>
        <v/>
      </c>
      <c r="X440" s="21" t="str">
        <f>IF(J440&gt;0,CONCATENATE("0x",(DEC2HEX(IF(I440&lt;&gt;"",VLOOKUP(I440,Notes!$A$2:$B$37,2,FALSE)*1024,0) + J440*16 + IF(K440="",7,K440)*2 + IF(L440&gt;0, 1, 0))),","),"")</f>
        <v/>
      </c>
      <c r="Y440" s="21" t="str">
        <f>IF(Q440&gt;0,CONCATENATE("0x",(DEC2HEX(IF(P440&lt;&gt;"",VLOOKUP(P440,Notes!$A$2:$B$37,2,FALSE)*1024,0) + Q440*16 + IF(R440="",7,R440)*2 + IF(S440&gt;0, 1, 0))),","),"")</f>
        <v/>
      </c>
    </row>
    <row r="441" spans="2:25" x14ac:dyDescent="0.25">
      <c r="B441" s="12"/>
      <c r="C441" s="13"/>
      <c r="D441" s="13"/>
      <c r="E441" s="14"/>
      <c r="F441" s="18">
        <f t="shared" si="36"/>
        <v>0</v>
      </c>
      <c r="G441" s="1" t="str">
        <f t="shared" si="39"/>
        <v/>
      </c>
      <c r="I441" s="12"/>
      <c r="J441" s="13"/>
      <c r="K441" s="13"/>
      <c r="L441" s="14"/>
      <c r="M441" s="18">
        <f t="shared" si="37"/>
        <v>0</v>
      </c>
      <c r="N441" s="1" t="str">
        <f t="shared" si="40"/>
        <v/>
      </c>
      <c r="P441" s="12"/>
      <c r="Q441" s="13"/>
      <c r="R441" s="13"/>
      <c r="S441" s="14"/>
      <c r="T441" s="18">
        <f t="shared" si="38"/>
        <v>0</v>
      </c>
      <c r="U441" s="1" t="str">
        <f t="shared" si="41"/>
        <v/>
      </c>
      <c r="W441" s="21" t="str">
        <f>IF(C441&gt;0,CONCATENATE("0x",(DEC2HEX(IF(B441&lt;&gt;"",VLOOKUP(B441,Notes!$A$2:$B$37,2,FALSE)*1024,0) + C441*16 + IF(D441="",7,D441)*2 + IF(E441&gt;0, 1, 0))),","),"")</f>
        <v/>
      </c>
      <c r="X441" s="21" t="str">
        <f>IF(J441&gt;0,CONCATENATE("0x",(DEC2HEX(IF(I441&lt;&gt;"",VLOOKUP(I441,Notes!$A$2:$B$37,2,FALSE)*1024,0) + J441*16 + IF(K441="",7,K441)*2 + IF(L441&gt;0, 1, 0))),","),"")</f>
        <v/>
      </c>
      <c r="Y441" s="21" t="str">
        <f>IF(Q441&gt;0,CONCATENATE("0x",(DEC2HEX(IF(P441&lt;&gt;"",VLOOKUP(P441,Notes!$A$2:$B$37,2,FALSE)*1024,0) + Q441*16 + IF(R441="",7,R441)*2 + IF(S441&gt;0, 1, 0))),","),"")</f>
        <v/>
      </c>
    </row>
    <row r="442" spans="2:25" x14ac:dyDescent="0.25">
      <c r="F442" s="18">
        <f t="shared" si="36"/>
        <v>0</v>
      </c>
      <c r="G442" s="1" t="str">
        <f t="shared" si="39"/>
        <v/>
      </c>
      <c r="M442" s="18">
        <f t="shared" si="37"/>
        <v>0</v>
      </c>
      <c r="N442" s="1" t="str">
        <f t="shared" si="40"/>
        <v/>
      </c>
      <c r="T442" s="18">
        <f t="shared" si="38"/>
        <v>0</v>
      </c>
      <c r="U442" s="1" t="str">
        <f t="shared" si="41"/>
        <v/>
      </c>
      <c r="W442" s="21" t="str">
        <f>IF(C442&gt;0,CONCATENATE("0x",(DEC2HEX(IF(B442&lt;&gt;"",VLOOKUP(B442,Notes!$A$2:$B$37,2,FALSE)*1024,0) + C442*16 + IF(D442="",7,D442)*2 + IF(E442&gt;0, 1, 0))),","),"")</f>
        <v/>
      </c>
      <c r="X442" s="21" t="str">
        <f>IF(J442&gt;0,CONCATENATE("0x",(DEC2HEX(IF(I442&lt;&gt;"",VLOOKUP(I442,Notes!$A$2:$B$37,2,FALSE)*1024,0) + J442*16 + IF(K442="",7,K442)*2 + IF(L442&gt;0, 1, 0))),","),"")</f>
        <v/>
      </c>
      <c r="Y442" s="21" t="str">
        <f>IF(Q442&gt;0,CONCATENATE("0x",(DEC2HEX(IF(P442&lt;&gt;"",VLOOKUP(P442,Notes!$A$2:$B$37,2,FALSE)*1024,0) + Q442*16 + IF(R442="",7,R442)*2 + IF(S442&gt;0, 1, 0))),","),"")</f>
        <v/>
      </c>
    </row>
    <row r="443" spans="2:25" x14ac:dyDescent="0.25">
      <c r="F443" s="18">
        <f t="shared" si="36"/>
        <v>0</v>
      </c>
      <c r="G443" s="1" t="str">
        <f t="shared" si="39"/>
        <v/>
      </c>
      <c r="M443" s="18">
        <f t="shared" si="37"/>
        <v>0</v>
      </c>
      <c r="N443" s="1" t="str">
        <f t="shared" si="40"/>
        <v/>
      </c>
      <c r="T443" s="18">
        <f t="shared" si="38"/>
        <v>0</v>
      </c>
      <c r="U443" s="1" t="str">
        <f t="shared" si="41"/>
        <v/>
      </c>
      <c r="W443" s="21" t="str">
        <f>IF(C443&gt;0,CONCATENATE("0x",(DEC2HEX(IF(B443&lt;&gt;"",VLOOKUP(B443,Notes!$A$2:$B$37,2,FALSE)*1024,0) + C443*16 + IF(D443="",7,D443)*2 + IF(E443&gt;0, 1, 0))),","),"")</f>
        <v/>
      </c>
      <c r="X443" s="21" t="str">
        <f>IF(J443&gt;0,CONCATENATE("0x",(DEC2HEX(IF(I443&lt;&gt;"",VLOOKUP(I443,Notes!$A$2:$B$37,2,FALSE)*1024,0) + J443*16 + IF(K443="",7,K443)*2 + IF(L443&gt;0, 1, 0))),","),"")</f>
        <v/>
      </c>
      <c r="Y443" s="21" t="str">
        <f>IF(Q443&gt;0,CONCATENATE("0x",(DEC2HEX(IF(P443&lt;&gt;"",VLOOKUP(P443,Notes!$A$2:$B$37,2,FALSE)*1024,0) + Q443*16 + IF(R443="",7,R443)*2 + IF(S443&gt;0, 1, 0))),","),"")</f>
        <v/>
      </c>
    </row>
    <row r="444" spans="2:25" x14ac:dyDescent="0.25">
      <c r="F444" s="18">
        <f t="shared" si="36"/>
        <v>0</v>
      </c>
      <c r="G444" s="1" t="str">
        <f t="shared" si="39"/>
        <v/>
      </c>
      <c r="M444" s="18">
        <f t="shared" si="37"/>
        <v>0</v>
      </c>
      <c r="N444" s="1" t="str">
        <f t="shared" si="40"/>
        <v/>
      </c>
      <c r="T444" s="18">
        <f t="shared" si="38"/>
        <v>0</v>
      </c>
      <c r="U444" s="1" t="str">
        <f t="shared" si="41"/>
        <v/>
      </c>
      <c r="W444" s="21" t="str">
        <f>IF(C444&gt;0,CONCATENATE("0x",(DEC2HEX(IF(B444&lt;&gt;"",VLOOKUP(B444,Notes!$A$2:$B$37,2,FALSE)*1024,0) + C444*16 + IF(D444="",7,D444)*2 + IF(E444&gt;0, 1, 0))),","),"")</f>
        <v/>
      </c>
      <c r="X444" s="21" t="str">
        <f>IF(J444&gt;0,CONCATENATE("0x",(DEC2HEX(IF(I444&lt;&gt;"",VLOOKUP(I444,Notes!$A$2:$B$37,2,FALSE)*1024,0) + J444*16 + IF(K444="",7,K444)*2 + IF(L444&gt;0, 1, 0))),","),"")</f>
        <v/>
      </c>
      <c r="Y444" s="21" t="str">
        <f>IF(Q444&gt;0,CONCATENATE("0x",(DEC2HEX(IF(P444&lt;&gt;"",VLOOKUP(P444,Notes!$A$2:$B$37,2,FALSE)*1024,0) + Q444*16 + IF(R444="",7,R444)*2 + IF(S444&gt;0, 1, 0))),","),"")</f>
        <v/>
      </c>
    </row>
    <row r="445" spans="2:25" x14ac:dyDescent="0.25">
      <c r="F445" s="18">
        <f t="shared" si="36"/>
        <v>0</v>
      </c>
      <c r="G445" s="1" t="str">
        <f t="shared" si="39"/>
        <v/>
      </c>
      <c r="M445" s="18">
        <f t="shared" si="37"/>
        <v>0</v>
      </c>
      <c r="N445" s="1" t="str">
        <f t="shared" si="40"/>
        <v/>
      </c>
      <c r="T445" s="18">
        <f t="shared" si="38"/>
        <v>0</v>
      </c>
      <c r="U445" s="1" t="str">
        <f t="shared" si="41"/>
        <v/>
      </c>
      <c r="W445" s="21" t="str">
        <f>IF(C445&gt;0,CONCATENATE("0x",(DEC2HEX(IF(B445&lt;&gt;"",VLOOKUP(B445,Notes!$A$2:$B$37,2,FALSE)*1024,0) + C445*16 + IF(D445="",7,D445)*2 + IF(E445&gt;0, 1, 0))),","),"")</f>
        <v/>
      </c>
      <c r="X445" s="21" t="str">
        <f>IF(J445&gt;0,CONCATENATE("0x",(DEC2HEX(IF(I445&lt;&gt;"",VLOOKUP(I445,Notes!$A$2:$B$37,2,FALSE)*1024,0) + J445*16 + IF(K445="",7,K445)*2 + IF(L445&gt;0, 1, 0))),","),"")</f>
        <v/>
      </c>
      <c r="Y445" s="21" t="str">
        <f>IF(Q445&gt;0,CONCATENATE("0x",(DEC2HEX(IF(P445&lt;&gt;"",VLOOKUP(P445,Notes!$A$2:$B$37,2,FALSE)*1024,0) + Q445*16 + IF(R445="",7,R445)*2 + IF(S445&gt;0, 1, 0))),","),"")</f>
        <v/>
      </c>
    </row>
    <row r="446" spans="2:25" x14ac:dyDescent="0.25">
      <c r="F446" s="18">
        <f t="shared" si="36"/>
        <v>0</v>
      </c>
      <c r="G446" s="1" t="str">
        <f t="shared" si="39"/>
        <v/>
      </c>
      <c r="M446" s="18">
        <f t="shared" si="37"/>
        <v>0</v>
      </c>
      <c r="N446" s="1" t="str">
        <f t="shared" si="40"/>
        <v/>
      </c>
      <c r="T446" s="18">
        <f t="shared" si="38"/>
        <v>0</v>
      </c>
      <c r="U446" s="1" t="str">
        <f t="shared" si="41"/>
        <v/>
      </c>
      <c r="W446" s="21" t="str">
        <f>IF(C446&gt;0,CONCATENATE("0x",(DEC2HEX(IF(B446&lt;&gt;"",VLOOKUP(B446,Notes!$A$2:$B$37,2,FALSE)*1024,0) + C446*16 + IF(D446="",7,D446)*2 + IF(E446&gt;0, 1, 0))),","),"")</f>
        <v/>
      </c>
      <c r="X446" s="21" t="str">
        <f>IF(J446&gt;0,CONCATENATE("0x",(DEC2HEX(IF(I446&lt;&gt;"",VLOOKUP(I446,Notes!$A$2:$B$37,2,FALSE)*1024,0) + J446*16 + IF(K446="",7,K446)*2 + IF(L446&gt;0, 1, 0))),","),"")</f>
        <v/>
      </c>
      <c r="Y446" s="21" t="str">
        <f>IF(Q446&gt;0,CONCATENATE("0x",(DEC2HEX(IF(P446&lt;&gt;"",VLOOKUP(P446,Notes!$A$2:$B$37,2,FALSE)*1024,0) + Q446*16 + IF(R446="",7,R446)*2 + IF(S446&gt;0, 1, 0))),","),"")</f>
        <v/>
      </c>
    </row>
    <row r="447" spans="2:25" x14ac:dyDescent="0.25">
      <c r="F447" s="18">
        <f t="shared" si="36"/>
        <v>0</v>
      </c>
      <c r="G447" s="1" t="str">
        <f t="shared" si="39"/>
        <v/>
      </c>
      <c r="M447" s="18">
        <f t="shared" si="37"/>
        <v>0</v>
      </c>
      <c r="N447" s="1" t="str">
        <f t="shared" si="40"/>
        <v/>
      </c>
      <c r="T447" s="18">
        <f t="shared" si="38"/>
        <v>0</v>
      </c>
      <c r="U447" s="1" t="str">
        <f t="shared" si="41"/>
        <v/>
      </c>
      <c r="W447" s="21" t="str">
        <f>IF(C447&gt;0,CONCATENATE("0x",(DEC2HEX(IF(B447&lt;&gt;"",VLOOKUP(B447,Notes!$A$2:$B$37,2,FALSE)*1024,0) + C447*16 + IF(D447="",7,D447)*2 + IF(E447&gt;0, 1, 0))),","),"")</f>
        <v/>
      </c>
      <c r="X447" s="21" t="str">
        <f>IF(J447&gt;0,CONCATENATE("0x",(DEC2HEX(IF(I447&lt;&gt;"",VLOOKUP(I447,Notes!$A$2:$B$37,2,FALSE)*1024,0) + J447*16 + IF(K447="",7,K447)*2 + IF(L447&gt;0, 1, 0))),","),"")</f>
        <v/>
      </c>
      <c r="Y447" s="21" t="str">
        <f>IF(Q447&gt;0,CONCATENATE("0x",(DEC2HEX(IF(P447&lt;&gt;"",VLOOKUP(P447,Notes!$A$2:$B$37,2,FALSE)*1024,0) + Q447*16 + IF(R447="",7,R447)*2 + IF(S447&gt;0, 1, 0))),","),"")</f>
        <v/>
      </c>
    </row>
    <row r="448" spans="2:25" x14ac:dyDescent="0.25">
      <c r="F448" s="18">
        <f t="shared" si="36"/>
        <v>0</v>
      </c>
      <c r="G448" s="1" t="str">
        <f t="shared" si="39"/>
        <v/>
      </c>
      <c r="M448" s="18">
        <f t="shared" si="37"/>
        <v>0</v>
      </c>
      <c r="N448" s="1" t="str">
        <f t="shared" si="40"/>
        <v/>
      </c>
      <c r="T448" s="18">
        <f t="shared" si="38"/>
        <v>0</v>
      </c>
      <c r="U448" s="1" t="str">
        <f t="shared" si="41"/>
        <v/>
      </c>
      <c r="W448" s="21" t="str">
        <f>IF(C448&gt;0,CONCATENATE("0x",(DEC2HEX(IF(B448&lt;&gt;"",VLOOKUP(B448,Notes!$A$2:$B$37,2,FALSE)*1024,0) + C448*16 + IF(D448="",7,D448)*2 + IF(E448&gt;0, 1, 0))),","),"")</f>
        <v/>
      </c>
      <c r="X448" s="21" t="str">
        <f>IF(J448&gt;0,CONCATENATE("0x",(DEC2HEX(IF(I448&lt;&gt;"",VLOOKUP(I448,Notes!$A$2:$B$37,2,FALSE)*1024,0) + J448*16 + IF(K448="",7,K448)*2 + IF(L448&gt;0, 1, 0))),","),"")</f>
        <v/>
      </c>
      <c r="Y448" s="21" t="str">
        <f>IF(Q448&gt;0,CONCATENATE("0x",(DEC2HEX(IF(P448&lt;&gt;"",VLOOKUP(P448,Notes!$A$2:$B$37,2,FALSE)*1024,0) + Q448*16 + IF(R448="",7,R448)*2 + IF(S448&gt;0, 1, 0))),","),"")</f>
        <v/>
      </c>
    </row>
    <row r="449" spans="1:25" ht="16.5" thickBot="1" x14ac:dyDescent="0.3">
      <c r="B449" s="15"/>
      <c r="C449" s="16"/>
      <c r="D449" s="16"/>
      <c r="E449" s="17"/>
      <c r="F449" s="18">
        <f t="shared" si="36"/>
        <v>0</v>
      </c>
      <c r="G449" s="1" t="str">
        <f t="shared" si="39"/>
        <v/>
      </c>
      <c r="I449" s="15"/>
      <c r="J449" s="16"/>
      <c r="K449" s="16"/>
      <c r="L449" s="17"/>
      <c r="M449" s="18">
        <f t="shared" si="37"/>
        <v>0</v>
      </c>
      <c r="N449" s="1" t="str">
        <f t="shared" si="40"/>
        <v/>
      </c>
      <c r="P449" s="15"/>
      <c r="Q449" s="16"/>
      <c r="R449" s="16"/>
      <c r="S449" s="17"/>
      <c r="T449" s="18">
        <f t="shared" si="38"/>
        <v>0</v>
      </c>
      <c r="U449" s="1" t="str">
        <f t="shared" si="41"/>
        <v/>
      </c>
      <c r="W449" s="21" t="str">
        <f>IF(C449&gt;0,CONCATENATE("0x",(DEC2HEX(IF(B449&lt;&gt;"",VLOOKUP(B449,Notes!$A$2:$B$37,2,FALSE)*1024,0) + C449*16 + IF(D449="",7,D449)*2 + IF(E449&gt;0, 1, 0))),","),"")</f>
        <v/>
      </c>
      <c r="X449" s="21" t="str">
        <f>IF(J449&gt;0,CONCATENATE("0x",(DEC2HEX(IF(I449&lt;&gt;"",VLOOKUP(I449,Notes!$A$2:$B$37,2,FALSE)*1024,0) + J449*16 + IF(K449="",7,K449)*2 + IF(L449&gt;0, 1, 0))),","),"")</f>
        <v/>
      </c>
      <c r="Y449" s="21" t="str">
        <f>IF(Q449&gt;0,CONCATENATE("0x",(DEC2HEX(IF(P449&lt;&gt;"",VLOOKUP(P449,Notes!$A$2:$B$37,2,FALSE)*1024,0) + Q449*16 + IF(R449="",7,R449)*2 + IF(S449&gt;0, 1, 0))),","),"")</f>
        <v/>
      </c>
    </row>
    <row r="450" spans="1:25" ht="16.5" thickTop="1" x14ac:dyDescent="0.25">
      <c r="A450" s="1">
        <v>15</v>
      </c>
      <c r="F450" s="18">
        <f t="shared" si="36"/>
        <v>0</v>
      </c>
      <c r="G450" s="1" t="str">
        <f t="shared" si="39"/>
        <v/>
      </c>
      <c r="M450" s="18">
        <f t="shared" si="37"/>
        <v>0</v>
      </c>
      <c r="N450" s="1" t="str">
        <f t="shared" si="40"/>
        <v/>
      </c>
      <c r="T450" s="18">
        <f t="shared" si="38"/>
        <v>0</v>
      </c>
      <c r="U450" s="1" t="str">
        <f t="shared" si="41"/>
        <v/>
      </c>
      <c r="W450" s="21" t="str">
        <f>IF(C450&gt;0,CONCATENATE("0x",(DEC2HEX(IF(B450&lt;&gt;"",VLOOKUP(B450,Notes!$A$2:$B$37,2,FALSE)*1024,0) + C450*16 + IF(D450="",7,D450)*2 + IF(E450&gt;0, 1, 0))),","),"")</f>
        <v/>
      </c>
      <c r="X450" s="21" t="str">
        <f>IF(J450&gt;0,CONCATENATE("0x",(DEC2HEX(IF(I450&lt;&gt;"",VLOOKUP(I450,Notes!$A$2:$B$37,2,FALSE)*1024,0) + J450*16 + IF(K450="",7,K450)*2 + IF(L450&gt;0, 1, 0))),","),"")</f>
        <v/>
      </c>
      <c r="Y450" s="21" t="str">
        <f>IF(Q450&gt;0,CONCATENATE("0x",(DEC2HEX(IF(P450&lt;&gt;"",VLOOKUP(P450,Notes!$A$2:$B$37,2,FALSE)*1024,0) + Q450*16 + IF(R450="",7,R450)*2 + IF(S450&gt;0, 1, 0))),","),"")</f>
        <v/>
      </c>
    </row>
    <row r="451" spans="1:25" x14ac:dyDescent="0.25">
      <c r="F451" s="18">
        <f t="shared" ref="F451:F514" si="42">IF(C451&gt;0, C451, MAX(F450-1,0))</f>
        <v>0</v>
      </c>
      <c r="G451" s="1" t="str">
        <f t="shared" si="39"/>
        <v/>
      </c>
      <c r="M451" s="18">
        <f t="shared" ref="M451:M514" si="43">IF(J451&gt;0, J451, MAX(M450-1,0))</f>
        <v>0</v>
      </c>
      <c r="N451" s="1" t="str">
        <f t="shared" si="40"/>
        <v/>
      </c>
      <c r="T451" s="18">
        <f t="shared" ref="T451:T514" si="44">IF(Q451&gt;0, Q451, MAX(T450-1,0))</f>
        <v>0</v>
      </c>
      <c r="U451" s="1" t="str">
        <f t="shared" si="41"/>
        <v/>
      </c>
      <c r="W451" s="21" t="str">
        <f>IF(C451&gt;0,CONCATENATE("0x",(DEC2HEX(IF(B451&lt;&gt;"",VLOOKUP(B451,Notes!$A$2:$B$37,2,FALSE)*1024,0) + C451*16 + IF(D451="",7,D451)*2 + IF(E451&gt;0, 1, 0))),","),"")</f>
        <v/>
      </c>
      <c r="X451" s="21" t="str">
        <f>IF(J451&gt;0,CONCATENATE("0x",(DEC2HEX(IF(I451&lt;&gt;"",VLOOKUP(I451,Notes!$A$2:$B$37,2,FALSE)*1024,0) + J451*16 + IF(K451="",7,K451)*2 + IF(L451&gt;0, 1, 0))),","),"")</f>
        <v/>
      </c>
      <c r="Y451" s="21" t="str">
        <f>IF(Q451&gt;0,CONCATENATE("0x",(DEC2HEX(IF(P451&lt;&gt;"",VLOOKUP(P451,Notes!$A$2:$B$37,2,FALSE)*1024,0) + Q451*16 + IF(R451="",7,R451)*2 + IF(S451&gt;0, 1, 0))),","),"")</f>
        <v/>
      </c>
    </row>
    <row r="452" spans="1:25" x14ac:dyDescent="0.25">
      <c r="F452" s="18">
        <f t="shared" si="42"/>
        <v>0</v>
      </c>
      <c r="G452" s="1" t="str">
        <f t="shared" ref="G452:G515" si="45">IF(AND(F451&gt;1,C452&gt;0), "OVERLAPPING","")</f>
        <v/>
      </c>
      <c r="M452" s="18">
        <f t="shared" si="43"/>
        <v>0</v>
      </c>
      <c r="N452" s="1" t="str">
        <f t="shared" ref="N452:N515" si="46">IF(AND(M451&gt;1,J452&gt;0), "OVERLAPPING","")</f>
        <v/>
      </c>
      <c r="T452" s="18">
        <f t="shared" si="44"/>
        <v>0</v>
      </c>
      <c r="U452" s="1" t="str">
        <f t="shared" ref="U452:U515" si="47">IF(AND(T451&gt;1,Q452&gt;0), "OVERLAPPING","")</f>
        <v/>
      </c>
      <c r="W452" s="21" t="str">
        <f>IF(C452&gt;0,CONCATENATE("0x",(DEC2HEX(IF(B452&lt;&gt;"",VLOOKUP(B452,Notes!$A$2:$B$37,2,FALSE)*1024,0) + C452*16 + IF(D452="",7,D452)*2 + IF(E452&gt;0, 1, 0))),","),"")</f>
        <v/>
      </c>
      <c r="X452" s="21" t="str">
        <f>IF(J452&gt;0,CONCATENATE("0x",(DEC2HEX(IF(I452&lt;&gt;"",VLOOKUP(I452,Notes!$A$2:$B$37,2,FALSE)*1024,0) + J452*16 + IF(K452="",7,K452)*2 + IF(L452&gt;0, 1, 0))),","),"")</f>
        <v/>
      </c>
      <c r="Y452" s="21" t="str">
        <f>IF(Q452&gt;0,CONCATENATE("0x",(DEC2HEX(IF(P452&lt;&gt;"",VLOOKUP(P452,Notes!$A$2:$B$37,2,FALSE)*1024,0) + Q452*16 + IF(R452="",7,R452)*2 + IF(S452&gt;0, 1, 0))),","),"")</f>
        <v/>
      </c>
    </row>
    <row r="453" spans="1:25" x14ac:dyDescent="0.25">
      <c r="F453" s="18">
        <f t="shared" si="42"/>
        <v>0</v>
      </c>
      <c r="G453" s="1" t="str">
        <f t="shared" si="45"/>
        <v/>
      </c>
      <c r="M453" s="18">
        <f t="shared" si="43"/>
        <v>0</v>
      </c>
      <c r="N453" s="1" t="str">
        <f t="shared" si="46"/>
        <v/>
      </c>
      <c r="T453" s="18">
        <f t="shared" si="44"/>
        <v>0</v>
      </c>
      <c r="U453" s="1" t="str">
        <f t="shared" si="47"/>
        <v/>
      </c>
      <c r="W453" s="21" t="str">
        <f>IF(C453&gt;0,CONCATENATE("0x",(DEC2HEX(IF(B453&lt;&gt;"",VLOOKUP(B453,Notes!$A$2:$B$37,2,FALSE)*1024,0) + C453*16 + IF(D453="",7,D453)*2 + IF(E453&gt;0, 1, 0))),","),"")</f>
        <v/>
      </c>
      <c r="X453" s="21" t="str">
        <f>IF(J453&gt;0,CONCATENATE("0x",(DEC2HEX(IF(I453&lt;&gt;"",VLOOKUP(I453,Notes!$A$2:$B$37,2,FALSE)*1024,0) + J453*16 + IF(K453="",7,K453)*2 + IF(L453&gt;0, 1, 0))),","),"")</f>
        <v/>
      </c>
      <c r="Y453" s="21" t="str">
        <f>IF(Q453&gt;0,CONCATENATE("0x",(DEC2HEX(IF(P453&lt;&gt;"",VLOOKUP(P453,Notes!$A$2:$B$37,2,FALSE)*1024,0) + Q453*16 + IF(R453="",7,R453)*2 + IF(S453&gt;0, 1, 0))),","),"")</f>
        <v/>
      </c>
    </row>
    <row r="454" spans="1:25" x14ac:dyDescent="0.25">
      <c r="F454" s="18">
        <f t="shared" si="42"/>
        <v>0</v>
      </c>
      <c r="G454" s="1" t="str">
        <f t="shared" si="45"/>
        <v/>
      </c>
      <c r="M454" s="18">
        <f t="shared" si="43"/>
        <v>0</v>
      </c>
      <c r="N454" s="1" t="str">
        <f t="shared" si="46"/>
        <v/>
      </c>
      <c r="T454" s="18">
        <f t="shared" si="44"/>
        <v>0</v>
      </c>
      <c r="U454" s="1" t="str">
        <f t="shared" si="47"/>
        <v/>
      </c>
      <c r="W454" s="21" t="str">
        <f>IF(C454&gt;0,CONCATENATE("0x",(DEC2HEX(IF(B454&lt;&gt;"",VLOOKUP(B454,Notes!$A$2:$B$37,2,FALSE)*1024,0) + C454*16 + IF(D454="",7,D454)*2 + IF(E454&gt;0, 1, 0))),","),"")</f>
        <v/>
      </c>
      <c r="X454" s="21" t="str">
        <f>IF(J454&gt;0,CONCATENATE("0x",(DEC2HEX(IF(I454&lt;&gt;"",VLOOKUP(I454,Notes!$A$2:$B$37,2,FALSE)*1024,0) + J454*16 + IF(K454="",7,K454)*2 + IF(L454&gt;0, 1, 0))),","),"")</f>
        <v/>
      </c>
      <c r="Y454" s="21" t="str">
        <f>IF(Q454&gt;0,CONCATENATE("0x",(DEC2HEX(IF(P454&lt;&gt;"",VLOOKUP(P454,Notes!$A$2:$B$37,2,FALSE)*1024,0) + Q454*16 + IF(R454="",7,R454)*2 + IF(S454&gt;0, 1, 0))),","),"")</f>
        <v/>
      </c>
    </row>
    <row r="455" spans="1:25" x14ac:dyDescent="0.25">
      <c r="F455" s="18">
        <f t="shared" si="42"/>
        <v>0</v>
      </c>
      <c r="G455" s="1" t="str">
        <f t="shared" si="45"/>
        <v/>
      </c>
      <c r="M455" s="18">
        <f t="shared" si="43"/>
        <v>0</v>
      </c>
      <c r="N455" s="1" t="str">
        <f t="shared" si="46"/>
        <v/>
      </c>
      <c r="T455" s="18">
        <f t="shared" si="44"/>
        <v>0</v>
      </c>
      <c r="U455" s="1" t="str">
        <f t="shared" si="47"/>
        <v/>
      </c>
      <c r="W455" s="21" t="str">
        <f>IF(C455&gt;0,CONCATENATE("0x",(DEC2HEX(IF(B455&lt;&gt;"",VLOOKUP(B455,Notes!$A$2:$B$37,2,FALSE)*1024,0) + C455*16 + IF(D455="",7,D455)*2 + IF(E455&gt;0, 1, 0))),","),"")</f>
        <v/>
      </c>
      <c r="X455" s="21" t="str">
        <f>IF(J455&gt;0,CONCATENATE("0x",(DEC2HEX(IF(I455&lt;&gt;"",VLOOKUP(I455,Notes!$A$2:$B$37,2,FALSE)*1024,0) + J455*16 + IF(K455="",7,K455)*2 + IF(L455&gt;0, 1, 0))),","),"")</f>
        <v/>
      </c>
      <c r="Y455" s="21" t="str">
        <f>IF(Q455&gt;0,CONCATENATE("0x",(DEC2HEX(IF(P455&lt;&gt;"",VLOOKUP(P455,Notes!$A$2:$B$37,2,FALSE)*1024,0) + Q455*16 + IF(R455="",7,R455)*2 + IF(S455&gt;0, 1, 0))),","),"")</f>
        <v/>
      </c>
    </row>
    <row r="456" spans="1:25" x14ac:dyDescent="0.25">
      <c r="F456" s="18">
        <f t="shared" si="42"/>
        <v>0</v>
      </c>
      <c r="G456" s="1" t="str">
        <f t="shared" si="45"/>
        <v/>
      </c>
      <c r="M456" s="18">
        <f t="shared" si="43"/>
        <v>0</v>
      </c>
      <c r="N456" s="1" t="str">
        <f t="shared" si="46"/>
        <v/>
      </c>
      <c r="T456" s="18">
        <f t="shared" si="44"/>
        <v>0</v>
      </c>
      <c r="U456" s="1" t="str">
        <f t="shared" si="47"/>
        <v/>
      </c>
      <c r="W456" s="21" t="str">
        <f>IF(C456&gt;0,CONCATENATE("0x",(DEC2HEX(IF(B456&lt;&gt;"",VLOOKUP(B456,Notes!$A$2:$B$37,2,FALSE)*1024,0) + C456*16 + IF(D456="",7,D456)*2 + IF(E456&gt;0, 1, 0))),","),"")</f>
        <v/>
      </c>
      <c r="X456" s="21" t="str">
        <f>IF(J456&gt;0,CONCATENATE("0x",(DEC2HEX(IF(I456&lt;&gt;"",VLOOKUP(I456,Notes!$A$2:$B$37,2,FALSE)*1024,0) + J456*16 + IF(K456="",7,K456)*2 + IF(L456&gt;0, 1, 0))),","),"")</f>
        <v/>
      </c>
      <c r="Y456" s="21" t="str">
        <f>IF(Q456&gt;0,CONCATENATE("0x",(DEC2HEX(IF(P456&lt;&gt;"",VLOOKUP(P456,Notes!$A$2:$B$37,2,FALSE)*1024,0) + Q456*16 + IF(R456="",7,R456)*2 + IF(S456&gt;0, 1, 0))),","),"")</f>
        <v/>
      </c>
    </row>
    <row r="457" spans="1:25" x14ac:dyDescent="0.25">
      <c r="B457" s="12"/>
      <c r="C457" s="13"/>
      <c r="D457" s="13"/>
      <c r="E457" s="14"/>
      <c r="F457" s="18">
        <f t="shared" si="42"/>
        <v>0</v>
      </c>
      <c r="G457" s="1" t="str">
        <f t="shared" si="45"/>
        <v/>
      </c>
      <c r="I457" s="12"/>
      <c r="J457" s="13"/>
      <c r="K457" s="13"/>
      <c r="L457" s="14"/>
      <c r="M457" s="18">
        <f t="shared" si="43"/>
        <v>0</v>
      </c>
      <c r="N457" s="1" t="str">
        <f t="shared" si="46"/>
        <v/>
      </c>
      <c r="P457" s="12"/>
      <c r="Q457" s="13"/>
      <c r="R457" s="13"/>
      <c r="S457" s="14"/>
      <c r="T457" s="18">
        <f t="shared" si="44"/>
        <v>0</v>
      </c>
      <c r="U457" s="1" t="str">
        <f t="shared" si="47"/>
        <v/>
      </c>
      <c r="W457" s="21" t="str">
        <f>IF(C457&gt;0,CONCATENATE("0x",(DEC2HEX(IF(B457&lt;&gt;"",VLOOKUP(B457,Notes!$A$2:$B$37,2,FALSE)*1024,0) + C457*16 + IF(D457="",7,D457)*2 + IF(E457&gt;0, 1, 0))),","),"")</f>
        <v/>
      </c>
      <c r="X457" s="21" t="str">
        <f>IF(J457&gt;0,CONCATENATE("0x",(DEC2HEX(IF(I457&lt;&gt;"",VLOOKUP(I457,Notes!$A$2:$B$37,2,FALSE)*1024,0) + J457*16 + IF(K457="",7,K457)*2 + IF(L457&gt;0, 1, 0))),","),"")</f>
        <v/>
      </c>
      <c r="Y457" s="21" t="str">
        <f>IF(Q457&gt;0,CONCATENATE("0x",(DEC2HEX(IF(P457&lt;&gt;"",VLOOKUP(P457,Notes!$A$2:$B$37,2,FALSE)*1024,0) + Q457*16 + IF(R457="",7,R457)*2 + IF(S457&gt;0, 1, 0))),","),"")</f>
        <v/>
      </c>
    </row>
    <row r="458" spans="1:25" x14ac:dyDescent="0.25">
      <c r="F458" s="18">
        <f t="shared" si="42"/>
        <v>0</v>
      </c>
      <c r="G458" s="1" t="str">
        <f t="shared" si="45"/>
        <v/>
      </c>
      <c r="M458" s="18">
        <f t="shared" si="43"/>
        <v>0</v>
      </c>
      <c r="N458" s="1" t="str">
        <f t="shared" si="46"/>
        <v/>
      </c>
      <c r="T458" s="18">
        <f t="shared" si="44"/>
        <v>0</v>
      </c>
      <c r="U458" s="1" t="str">
        <f t="shared" si="47"/>
        <v/>
      </c>
      <c r="W458" s="21" t="str">
        <f>IF(C458&gt;0,CONCATENATE("0x",(DEC2HEX(IF(B458&lt;&gt;"",VLOOKUP(B458,Notes!$A$2:$B$37,2,FALSE)*1024,0) + C458*16 + IF(D458="",7,D458)*2 + IF(E458&gt;0, 1, 0))),","),"")</f>
        <v/>
      </c>
      <c r="X458" s="21" t="str">
        <f>IF(J458&gt;0,CONCATENATE("0x",(DEC2HEX(IF(I458&lt;&gt;"",VLOOKUP(I458,Notes!$A$2:$B$37,2,FALSE)*1024,0) + J458*16 + IF(K458="",7,K458)*2 + IF(L458&gt;0, 1, 0))),","),"")</f>
        <v/>
      </c>
      <c r="Y458" s="21" t="str">
        <f>IF(Q458&gt;0,CONCATENATE("0x",(DEC2HEX(IF(P458&lt;&gt;"",VLOOKUP(P458,Notes!$A$2:$B$37,2,FALSE)*1024,0) + Q458*16 + IF(R458="",7,R458)*2 + IF(S458&gt;0, 1, 0))),","),"")</f>
        <v/>
      </c>
    </row>
    <row r="459" spans="1:25" x14ac:dyDescent="0.25">
      <c r="F459" s="18">
        <f t="shared" si="42"/>
        <v>0</v>
      </c>
      <c r="G459" s="1" t="str">
        <f t="shared" si="45"/>
        <v/>
      </c>
      <c r="M459" s="18">
        <f t="shared" si="43"/>
        <v>0</v>
      </c>
      <c r="N459" s="1" t="str">
        <f t="shared" si="46"/>
        <v/>
      </c>
      <c r="T459" s="18">
        <f t="shared" si="44"/>
        <v>0</v>
      </c>
      <c r="U459" s="1" t="str">
        <f t="shared" si="47"/>
        <v/>
      </c>
      <c r="W459" s="21" t="str">
        <f>IF(C459&gt;0,CONCATENATE("0x",(DEC2HEX(IF(B459&lt;&gt;"",VLOOKUP(B459,Notes!$A$2:$B$37,2,FALSE)*1024,0) + C459*16 + IF(D459="",7,D459)*2 + IF(E459&gt;0, 1, 0))),","),"")</f>
        <v/>
      </c>
      <c r="X459" s="21" t="str">
        <f>IF(J459&gt;0,CONCATENATE("0x",(DEC2HEX(IF(I459&lt;&gt;"",VLOOKUP(I459,Notes!$A$2:$B$37,2,FALSE)*1024,0) + J459*16 + IF(K459="",7,K459)*2 + IF(L459&gt;0, 1, 0))),","),"")</f>
        <v/>
      </c>
      <c r="Y459" s="21" t="str">
        <f>IF(Q459&gt;0,CONCATENATE("0x",(DEC2HEX(IF(P459&lt;&gt;"",VLOOKUP(P459,Notes!$A$2:$B$37,2,FALSE)*1024,0) + Q459*16 + IF(R459="",7,R459)*2 + IF(S459&gt;0, 1, 0))),","),"")</f>
        <v/>
      </c>
    </row>
    <row r="460" spans="1:25" x14ac:dyDescent="0.25">
      <c r="F460" s="18">
        <f t="shared" si="42"/>
        <v>0</v>
      </c>
      <c r="G460" s="1" t="str">
        <f t="shared" si="45"/>
        <v/>
      </c>
      <c r="M460" s="18">
        <f t="shared" si="43"/>
        <v>0</v>
      </c>
      <c r="N460" s="1" t="str">
        <f t="shared" si="46"/>
        <v/>
      </c>
      <c r="T460" s="18">
        <f t="shared" si="44"/>
        <v>0</v>
      </c>
      <c r="U460" s="1" t="str">
        <f t="shared" si="47"/>
        <v/>
      </c>
      <c r="W460" s="21" t="str">
        <f>IF(C460&gt;0,CONCATENATE("0x",(DEC2HEX(IF(B460&lt;&gt;"",VLOOKUP(B460,Notes!$A$2:$B$37,2,FALSE)*1024,0) + C460*16 + IF(D460="",7,D460)*2 + IF(E460&gt;0, 1, 0))),","),"")</f>
        <v/>
      </c>
      <c r="X460" s="21" t="str">
        <f>IF(J460&gt;0,CONCATENATE("0x",(DEC2HEX(IF(I460&lt;&gt;"",VLOOKUP(I460,Notes!$A$2:$B$37,2,FALSE)*1024,0) + J460*16 + IF(K460="",7,K460)*2 + IF(L460&gt;0, 1, 0))),","),"")</f>
        <v/>
      </c>
      <c r="Y460" s="21" t="str">
        <f>IF(Q460&gt;0,CONCATENATE("0x",(DEC2HEX(IF(P460&lt;&gt;"",VLOOKUP(P460,Notes!$A$2:$B$37,2,FALSE)*1024,0) + Q460*16 + IF(R460="",7,R460)*2 + IF(S460&gt;0, 1, 0))),","),"")</f>
        <v/>
      </c>
    </row>
    <row r="461" spans="1:25" x14ac:dyDescent="0.25">
      <c r="F461" s="18">
        <f t="shared" si="42"/>
        <v>0</v>
      </c>
      <c r="G461" s="1" t="str">
        <f t="shared" si="45"/>
        <v/>
      </c>
      <c r="M461" s="18">
        <f t="shared" si="43"/>
        <v>0</v>
      </c>
      <c r="N461" s="1" t="str">
        <f t="shared" si="46"/>
        <v/>
      </c>
      <c r="T461" s="18">
        <f t="shared" si="44"/>
        <v>0</v>
      </c>
      <c r="U461" s="1" t="str">
        <f t="shared" si="47"/>
        <v/>
      </c>
      <c r="W461" s="21" t="str">
        <f>IF(C461&gt;0,CONCATENATE("0x",(DEC2HEX(IF(B461&lt;&gt;"",VLOOKUP(B461,Notes!$A$2:$B$37,2,FALSE)*1024,0) + C461*16 + IF(D461="",7,D461)*2 + IF(E461&gt;0, 1, 0))),","),"")</f>
        <v/>
      </c>
      <c r="X461" s="21" t="str">
        <f>IF(J461&gt;0,CONCATENATE("0x",(DEC2HEX(IF(I461&lt;&gt;"",VLOOKUP(I461,Notes!$A$2:$B$37,2,FALSE)*1024,0) + J461*16 + IF(K461="",7,K461)*2 + IF(L461&gt;0, 1, 0))),","),"")</f>
        <v/>
      </c>
      <c r="Y461" s="21" t="str">
        <f>IF(Q461&gt;0,CONCATENATE("0x",(DEC2HEX(IF(P461&lt;&gt;"",VLOOKUP(P461,Notes!$A$2:$B$37,2,FALSE)*1024,0) + Q461*16 + IF(R461="",7,R461)*2 + IF(S461&gt;0, 1, 0))),","),"")</f>
        <v/>
      </c>
    </row>
    <row r="462" spans="1:25" x14ac:dyDescent="0.25">
      <c r="F462" s="18">
        <f t="shared" si="42"/>
        <v>0</v>
      </c>
      <c r="G462" s="1" t="str">
        <f t="shared" si="45"/>
        <v/>
      </c>
      <c r="M462" s="18">
        <f t="shared" si="43"/>
        <v>0</v>
      </c>
      <c r="N462" s="1" t="str">
        <f t="shared" si="46"/>
        <v/>
      </c>
      <c r="T462" s="18">
        <f t="shared" si="44"/>
        <v>0</v>
      </c>
      <c r="U462" s="1" t="str">
        <f t="shared" si="47"/>
        <v/>
      </c>
      <c r="W462" s="21" t="str">
        <f>IF(C462&gt;0,CONCATENATE("0x",(DEC2HEX(IF(B462&lt;&gt;"",VLOOKUP(B462,Notes!$A$2:$B$37,2,FALSE)*1024,0) + C462*16 + IF(D462="",7,D462)*2 + IF(E462&gt;0, 1, 0))),","),"")</f>
        <v/>
      </c>
      <c r="X462" s="21" t="str">
        <f>IF(J462&gt;0,CONCATENATE("0x",(DEC2HEX(IF(I462&lt;&gt;"",VLOOKUP(I462,Notes!$A$2:$B$37,2,FALSE)*1024,0) + J462*16 + IF(K462="",7,K462)*2 + IF(L462&gt;0, 1, 0))),","),"")</f>
        <v/>
      </c>
      <c r="Y462" s="21" t="str">
        <f>IF(Q462&gt;0,CONCATENATE("0x",(DEC2HEX(IF(P462&lt;&gt;"",VLOOKUP(P462,Notes!$A$2:$B$37,2,FALSE)*1024,0) + Q462*16 + IF(R462="",7,R462)*2 + IF(S462&gt;0, 1, 0))),","),"")</f>
        <v/>
      </c>
    </row>
    <row r="463" spans="1:25" x14ac:dyDescent="0.25">
      <c r="F463" s="18">
        <f t="shared" si="42"/>
        <v>0</v>
      </c>
      <c r="G463" s="1" t="str">
        <f t="shared" si="45"/>
        <v/>
      </c>
      <c r="M463" s="18">
        <f t="shared" si="43"/>
        <v>0</v>
      </c>
      <c r="N463" s="1" t="str">
        <f t="shared" si="46"/>
        <v/>
      </c>
      <c r="T463" s="18">
        <f t="shared" si="44"/>
        <v>0</v>
      </c>
      <c r="U463" s="1" t="str">
        <f t="shared" si="47"/>
        <v/>
      </c>
      <c r="W463" s="21" t="str">
        <f>IF(C463&gt;0,CONCATENATE("0x",(DEC2HEX(IF(B463&lt;&gt;"",VLOOKUP(B463,Notes!$A$2:$B$37,2,FALSE)*1024,0) + C463*16 + IF(D463="",7,D463)*2 + IF(E463&gt;0, 1, 0))),","),"")</f>
        <v/>
      </c>
      <c r="X463" s="21" t="str">
        <f>IF(J463&gt;0,CONCATENATE("0x",(DEC2HEX(IF(I463&lt;&gt;"",VLOOKUP(I463,Notes!$A$2:$B$37,2,FALSE)*1024,0) + J463*16 + IF(K463="",7,K463)*2 + IF(L463&gt;0, 1, 0))),","),"")</f>
        <v/>
      </c>
      <c r="Y463" s="21" t="str">
        <f>IF(Q463&gt;0,CONCATENATE("0x",(DEC2HEX(IF(P463&lt;&gt;"",VLOOKUP(P463,Notes!$A$2:$B$37,2,FALSE)*1024,0) + Q463*16 + IF(R463="",7,R463)*2 + IF(S463&gt;0, 1, 0))),","),"")</f>
        <v/>
      </c>
    </row>
    <row r="464" spans="1:25" x14ac:dyDescent="0.25">
      <c r="F464" s="18">
        <f t="shared" si="42"/>
        <v>0</v>
      </c>
      <c r="G464" s="1" t="str">
        <f t="shared" si="45"/>
        <v/>
      </c>
      <c r="M464" s="18">
        <f t="shared" si="43"/>
        <v>0</v>
      </c>
      <c r="N464" s="1" t="str">
        <f t="shared" si="46"/>
        <v/>
      </c>
      <c r="T464" s="18">
        <f t="shared" si="44"/>
        <v>0</v>
      </c>
      <c r="U464" s="1" t="str">
        <f t="shared" si="47"/>
        <v/>
      </c>
      <c r="W464" s="21" t="str">
        <f>IF(C464&gt;0,CONCATENATE("0x",(DEC2HEX(IF(B464&lt;&gt;"",VLOOKUP(B464,Notes!$A$2:$B$37,2,FALSE)*1024,0) + C464*16 + IF(D464="",7,D464)*2 + IF(E464&gt;0, 1, 0))),","),"")</f>
        <v/>
      </c>
      <c r="X464" s="21" t="str">
        <f>IF(J464&gt;0,CONCATENATE("0x",(DEC2HEX(IF(I464&lt;&gt;"",VLOOKUP(I464,Notes!$A$2:$B$37,2,FALSE)*1024,0) + J464*16 + IF(K464="",7,K464)*2 + IF(L464&gt;0, 1, 0))),","),"")</f>
        <v/>
      </c>
      <c r="Y464" s="21" t="str">
        <f>IF(Q464&gt;0,CONCATENATE("0x",(DEC2HEX(IF(P464&lt;&gt;"",VLOOKUP(P464,Notes!$A$2:$B$37,2,FALSE)*1024,0) + Q464*16 + IF(R464="",7,R464)*2 + IF(S464&gt;0, 1, 0))),","),"")</f>
        <v/>
      </c>
    </row>
    <row r="465" spans="2:25" x14ac:dyDescent="0.25">
      <c r="B465" s="12"/>
      <c r="C465" s="13"/>
      <c r="D465" s="13"/>
      <c r="E465" s="14"/>
      <c r="F465" s="18">
        <f t="shared" si="42"/>
        <v>0</v>
      </c>
      <c r="G465" s="1" t="str">
        <f t="shared" si="45"/>
        <v/>
      </c>
      <c r="I465" s="12"/>
      <c r="J465" s="13"/>
      <c r="K465" s="13"/>
      <c r="L465" s="14"/>
      <c r="M465" s="18">
        <f t="shared" si="43"/>
        <v>0</v>
      </c>
      <c r="N465" s="1" t="str">
        <f t="shared" si="46"/>
        <v/>
      </c>
      <c r="P465" s="12"/>
      <c r="Q465" s="13"/>
      <c r="R465" s="13"/>
      <c r="S465" s="14"/>
      <c r="T465" s="18">
        <f t="shared" si="44"/>
        <v>0</v>
      </c>
      <c r="U465" s="1" t="str">
        <f t="shared" si="47"/>
        <v/>
      </c>
      <c r="W465" s="21" t="str">
        <f>IF(C465&gt;0,CONCATENATE("0x",(DEC2HEX(IF(B465&lt;&gt;"",VLOOKUP(B465,Notes!$A$2:$B$37,2,FALSE)*1024,0) + C465*16 + IF(D465="",7,D465)*2 + IF(E465&gt;0, 1, 0))),","),"")</f>
        <v/>
      </c>
      <c r="X465" s="21" t="str">
        <f>IF(J465&gt;0,CONCATENATE("0x",(DEC2HEX(IF(I465&lt;&gt;"",VLOOKUP(I465,Notes!$A$2:$B$37,2,FALSE)*1024,0) + J465*16 + IF(K465="",7,K465)*2 + IF(L465&gt;0, 1, 0))),","),"")</f>
        <v/>
      </c>
      <c r="Y465" s="21" t="str">
        <f>IF(Q465&gt;0,CONCATENATE("0x",(DEC2HEX(IF(P465&lt;&gt;"",VLOOKUP(P465,Notes!$A$2:$B$37,2,FALSE)*1024,0) + Q465*16 + IF(R465="",7,R465)*2 + IF(S465&gt;0, 1, 0))),","),"")</f>
        <v/>
      </c>
    </row>
    <row r="466" spans="2:25" x14ac:dyDescent="0.25">
      <c r="F466" s="18">
        <f t="shared" si="42"/>
        <v>0</v>
      </c>
      <c r="G466" s="1" t="str">
        <f t="shared" si="45"/>
        <v/>
      </c>
      <c r="M466" s="18">
        <f t="shared" si="43"/>
        <v>0</v>
      </c>
      <c r="N466" s="1" t="str">
        <f t="shared" si="46"/>
        <v/>
      </c>
      <c r="T466" s="18">
        <f t="shared" si="44"/>
        <v>0</v>
      </c>
      <c r="U466" s="1" t="str">
        <f t="shared" si="47"/>
        <v/>
      </c>
      <c r="W466" s="21" t="str">
        <f>IF(C466&gt;0,CONCATENATE("0x",(DEC2HEX(IF(B466&lt;&gt;"",VLOOKUP(B466,Notes!$A$2:$B$37,2,FALSE)*1024,0) + C466*16 + IF(D466="",7,D466)*2 + IF(E466&gt;0, 1, 0))),","),"")</f>
        <v/>
      </c>
      <c r="X466" s="21" t="str">
        <f>IF(J466&gt;0,CONCATENATE("0x",(DEC2HEX(IF(I466&lt;&gt;"",VLOOKUP(I466,Notes!$A$2:$B$37,2,FALSE)*1024,0) + J466*16 + IF(K466="",7,K466)*2 + IF(L466&gt;0, 1, 0))),","),"")</f>
        <v/>
      </c>
      <c r="Y466" s="21" t="str">
        <f>IF(Q466&gt;0,CONCATENATE("0x",(DEC2HEX(IF(P466&lt;&gt;"",VLOOKUP(P466,Notes!$A$2:$B$37,2,FALSE)*1024,0) + Q466*16 + IF(R466="",7,R466)*2 + IF(S466&gt;0, 1, 0))),","),"")</f>
        <v/>
      </c>
    </row>
    <row r="467" spans="2:25" x14ac:dyDescent="0.25">
      <c r="F467" s="18">
        <f t="shared" si="42"/>
        <v>0</v>
      </c>
      <c r="G467" s="1" t="str">
        <f t="shared" si="45"/>
        <v/>
      </c>
      <c r="M467" s="18">
        <f t="shared" si="43"/>
        <v>0</v>
      </c>
      <c r="N467" s="1" t="str">
        <f t="shared" si="46"/>
        <v/>
      </c>
      <c r="T467" s="18">
        <f t="shared" si="44"/>
        <v>0</v>
      </c>
      <c r="U467" s="1" t="str">
        <f t="shared" si="47"/>
        <v/>
      </c>
      <c r="W467" s="21" t="str">
        <f>IF(C467&gt;0,CONCATENATE("0x",(DEC2HEX(IF(B467&lt;&gt;"",VLOOKUP(B467,Notes!$A$2:$B$37,2,FALSE)*1024,0) + C467*16 + IF(D467="",7,D467)*2 + IF(E467&gt;0, 1, 0))),","),"")</f>
        <v/>
      </c>
      <c r="X467" s="21" t="str">
        <f>IF(J467&gt;0,CONCATENATE("0x",(DEC2HEX(IF(I467&lt;&gt;"",VLOOKUP(I467,Notes!$A$2:$B$37,2,FALSE)*1024,0) + J467*16 + IF(K467="",7,K467)*2 + IF(L467&gt;0, 1, 0))),","),"")</f>
        <v/>
      </c>
      <c r="Y467" s="21" t="str">
        <f>IF(Q467&gt;0,CONCATENATE("0x",(DEC2HEX(IF(P467&lt;&gt;"",VLOOKUP(P467,Notes!$A$2:$B$37,2,FALSE)*1024,0) + Q467*16 + IF(R467="",7,R467)*2 + IF(S467&gt;0, 1, 0))),","),"")</f>
        <v/>
      </c>
    </row>
    <row r="468" spans="2:25" x14ac:dyDescent="0.25">
      <c r="F468" s="18">
        <f t="shared" si="42"/>
        <v>0</v>
      </c>
      <c r="G468" s="1" t="str">
        <f t="shared" si="45"/>
        <v/>
      </c>
      <c r="M468" s="18">
        <f t="shared" si="43"/>
        <v>0</v>
      </c>
      <c r="N468" s="1" t="str">
        <f t="shared" si="46"/>
        <v/>
      </c>
      <c r="T468" s="18">
        <f t="shared" si="44"/>
        <v>0</v>
      </c>
      <c r="U468" s="1" t="str">
        <f t="shared" si="47"/>
        <v/>
      </c>
      <c r="W468" s="21" t="str">
        <f>IF(C468&gt;0,CONCATENATE("0x",(DEC2HEX(IF(B468&lt;&gt;"",VLOOKUP(B468,Notes!$A$2:$B$37,2,FALSE)*1024,0) + C468*16 + IF(D468="",7,D468)*2 + IF(E468&gt;0, 1, 0))),","),"")</f>
        <v/>
      </c>
      <c r="X468" s="21" t="str">
        <f>IF(J468&gt;0,CONCATENATE("0x",(DEC2HEX(IF(I468&lt;&gt;"",VLOOKUP(I468,Notes!$A$2:$B$37,2,FALSE)*1024,0) + J468*16 + IF(K468="",7,K468)*2 + IF(L468&gt;0, 1, 0))),","),"")</f>
        <v/>
      </c>
      <c r="Y468" s="21" t="str">
        <f>IF(Q468&gt;0,CONCATENATE("0x",(DEC2HEX(IF(P468&lt;&gt;"",VLOOKUP(P468,Notes!$A$2:$B$37,2,FALSE)*1024,0) + Q468*16 + IF(R468="",7,R468)*2 + IF(S468&gt;0, 1, 0))),","),"")</f>
        <v/>
      </c>
    </row>
    <row r="469" spans="2:25" x14ac:dyDescent="0.25">
      <c r="F469" s="18">
        <f t="shared" si="42"/>
        <v>0</v>
      </c>
      <c r="G469" s="1" t="str">
        <f t="shared" si="45"/>
        <v/>
      </c>
      <c r="M469" s="18">
        <f t="shared" si="43"/>
        <v>0</v>
      </c>
      <c r="N469" s="1" t="str">
        <f t="shared" si="46"/>
        <v/>
      </c>
      <c r="T469" s="18">
        <f t="shared" si="44"/>
        <v>0</v>
      </c>
      <c r="U469" s="1" t="str">
        <f t="shared" si="47"/>
        <v/>
      </c>
      <c r="W469" s="21" t="str">
        <f>IF(C469&gt;0,CONCATENATE("0x",(DEC2HEX(IF(B469&lt;&gt;"",VLOOKUP(B469,Notes!$A$2:$B$37,2,FALSE)*1024,0) + C469*16 + IF(D469="",7,D469)*2 + IF(E469&gt;0, 1, 0))),","),"")</f>
        <v/>
      </c>
      <c r="X469" s="21" t="str">
        <f>IF(J469&gt;0,CONCATENATE("0x",(DEC2HEX(IF(I469&lt;&gt;"",VLOOKUP(I469,Notes!$A$2:$B$37,2,FALSE)*1024,0) + J469*16 + IF(K469="",7,K469)*2 + IF(L469&gt;0, 1, 0))),","),"")</f>
        <v/>
      </c>
      <c r="Y469" s="21" t="str">
        <f>IF(Q469&gt;0,CONCATENATE("0x",(DEC2HEX(IF(P469&lt;&gt;"",VLOOKUP(P469,Notes!$A$2:$B$37,2,FALSE)*1024,0) + Q469*16 + IF(R469="",7,R469)*2 + IF(S469&gt;0, 1, 0))),","),"")</f>
        <v/>
      </c>
    </row>
    <row r="470" spans="2:25" x14ac:dyDescent="0.25">
      <c r="F470" s="18">
        <f t="shared" si="42"/>
        <v>0</v>
      </c>
      <c r="G470" s="1" t="str">
        <f t="shared" si="45"/>
        <v/>
      </c>
      <c r="M470" s="18">
        <f t="shared" si="43"/>
        <v>0</v>
      </c>
      <c r="N470" s="1" t="str">
        <f t="shared" si="46"/>
        <v/>
      </c>
      <c r="T470" s="18">
        <f t="shared" si="44"/>
        <v>0</v>
      </c>
      <c r="U470" s="1" t="str">
        <f t="shared" si="47"/>
        <v/>
      </c>
      <c r="W470" s="21" t="str">
        <f>IF(C470&gt;0,CONCATENATE("0x",(DEC2HEX(IF(B470&lt;&gt;"",VLOOKUP(B470,Notes!$A$2:$B$37,2,FALSE)*1024,0) + C470*16 + IF(D470="",7,D470)*2 + IF(E470&gt;0, 1, 0))),","),"")</f>
        <v/>
      </c>
      <c r="X470" s="21" t="str">
        <f>IF(J470&gt;0,CONCATENATE("0x",(DEC2HEX(IF(I470&lt;&gt;"",VLOOKUP(I470,Notes!$A$2:$B$37,2,FALSE)*1024,0) + J470*16 + IF(K470="",7,K470)*2 + IF(L470&gt;0, 1, 0))),","),"")</f>
        <v/>
      </c>
      <c r="Y470" s="21" t="str">
        <f>IF(Q470&gt;0,CONCATENATE("0x",(DEC2HEX(IF(P470&lt;&gt;"",VLOOKUP(P470,Notes!$A$2:$B$37,2,FALSE)*1024,0) + Q470*16 + IF(R470="",7,R470)*2 + IF(S470&gt;0, 1, 0))),","),"")</f>
        <v/>
      </c>
    </row>
    <row r="471" spans="2:25" x14ac:dyDescent="0.25">
      <c r="F471" s="18">
        <f t="shared" si="42"/>
        <v>0</v>
      </c>
      <c r="G471" s="1" t="str">
        <f t="shared" si="45"/>
        <v/>
      </c>
      <c r="M471" s="18">
        <f t="shared" si="43"/>
        <v>0</v>
      </c>
      <c r="N471" s="1" t="str">
        <f t="shared" si="46"/>
        <v/>
      </c>
      <c r="T471" s="18">
        <f t="shared" si="44"/>
        <v>0</v>
      </c>
      <c r="U471" s="1" t="str">
        <f t="shared" si="47"/>
        <v/>
      </c>
      <c r="W471" s="21" t="str">
        <f>IF(C471&gt;0,CONCATENATE("0x",(DEC2HEX(IF(B471&lt;&gt;"",VLOOKUP(B471,Notes!$A$2:$B$37,2,FALSE)*1024,0) + C471*16 + IF(D471="",7,D471)*2 + IF(E471&gt;0, 1, 0))),","),"")</f>
        <v/>
      </c>
      <c r="X471" s="21" t="str">
        <f>IF(J471&gt;0,CONCATENATE("0x",(DEC2HEX(IF(I471&lt;&gt;"",VLOOKUP(I471,Notes!$A$2:$B$37,2,FALSE)*1024,0) + J471*16 + IF(K471="",7,K471)*2 + IF(L471&gt;0, 1, 0))),","),"")</f>
        <v/>
      </c>
      <c r="Y471" s="21" t="str">
        <f>IF(Q471&gt;0,CONCATENATE("0x",(DEC2HEX(IF(P471&lt;&gt;"",VLOOKUP(P471,Notes!$A$2:$B$37,2,FALSE)*1024,0) + Q471*16 + IF(R471="",7,R471)*2 + IF(S471&gt;0, 1, 0))),","),"")</f>
        <v/>
      </c>
    </row>
    <row r="472" spans="2:25" x14ac:dyDescent="0.25">
      <c r="F472" s="18">
        <f t="shared" si="42"/>
        <v>0</v>
      </c>
      <c r="G472" s="1" t="str">
        <f t="shared" si="45"/>
        <v/>
      </c>
      <c r="M472" s="18">
        <f t="shared" si="43"/>
        <v>0</v>
      </c>
      <c r="N472" s="1" t="str">
        <f t="shared" si="46"/>
        <v/>
      </c>
      <c r="T472" s="18">
        <f t="shared" si="44"/>
        <v>0</v>
      </c>
      <c r="U472" s="1" t="str">
        <f t="shared" si="47"/>
        <v/>
      </c>
      <c r="W472" s="21" t="str">
        <f>IF(C472&gt;0,CONCATENATE("0x",(DEC2HEX(IF(B472&lt;&gt;"",VLOOKUP(B472,Notes!$A$2:$B$37,2,FALSE)*1024,0) + C472*16 + IF(D472="",7,D472)*2 + IF(E472&gt;0, 1, 0))),","),"")</f>
        <v/>
      </c>
      <c r="X472" s="21" t="str">
        <f>IF(J472&gt;0,CONCATENATE("0x",(DEC2HEX(IF(I472&lt;&gt;"",VLOOKUP(I472,Notes!$A$2:$B$37,2,FALSE)*1024,0) + J472*16 + IF(K472="",7,K472)*2 + IF(L472&gt;0, 1, 0))),","),"")</f>
        <v/>
      </c>
      <c r="Y472" s="21" t="str">
        <f>IF(Q472&gt;0,CONCATENATE("0x",(DEC2HEX(IF(P472&lt;&gt;"",VLOOKUP(P472,Notes!$A$2:$B$37,2,FALSE)*1024,0) + Q472*16 + IF(R472="",7,R472)*2 + IF(S472&gt;0, 1, 0))),","),"")</f>
        <v/>
      </c>
    </row>
    <row r="473" spans="2:25" x14ac:dyDescent="0.25">
      <c r="B473" s="12"/>
      <c r="C473" s="13"/>
      <c r="D473" s="13"/>
      <c r="E473" s="14"/>
      <c r="F473" s="18">
        <f t="shared" si="42"/>
        <v>0</v>
      </c>
      <c r="G473" s="1" t="str">
        <f t="shared" si="45"/>
        <v/>
      </c>
      <c r="I473" s="12"/>
      <c r="J473" s="13"/>
      <c r="K473" s="13"/>
      <c r="L473" s="14"/>
      <c r="M473" s="18">
        <f t="shared" si="43"/>
        <v>0</v>
      </c>
      <c r="N473" s="1" t="str">
        <f t="shared" si="46"/>
        <v/>
      </c>
      <c r="P473" s="12"/>
      <c r="Q473" s="13"/>
      <c r="R473" s="13"/>
      <c r="S473" s="14"/>
      <c r="T473" s="18">
        <f t="shared" si="44"/>
        <v>0</v>
      </c>
      <c r="U473" s="1" t="str">
        <f t="shared" si="47"/>
        <v/>
      </c>
      <c r="W473" s="21" t="str">
        <f>IF(C473&gt;0,CONCATENATE("0x",(DEC2HEX(IF(B473&lt;&gt;"",VLOOKUP(B473,Notes!$A$2:$B$37,2,FALSE)*1024,0) + C473*16 + IF(D473="",7,D473)*2 + IF(E473&gt;0, 1, 0))),","),"")</f>
        <v/>
      </c>
      <c r="X473" s="21" t="str">
        <f>IF(J473&gt;0,CONCATENATE("0x",(DEC2HEX(IF(I473&lt;&gt;"",VLOOKUP(I473,Notes!$A$2:$B$37,2,FALSE)*1024,0) + J473*16 + IF(K473="",7,K473)*2 + IF(L473&gt;0, 1, 0))),","),"")</f>
        <v/>
      </c>
      <c r="Y473" s="21" t="str">
        <f>IF(Q473&gt;0,CONCATENATE("0x",(DEC2HEX(IF(P473&lt;&gt;"",VLOOKUP(P473,Notes!$A$2:$B$37,2,FALSE)*1024,0) + Q473*16 + IF(R473="",7,R473)*2 + IF(S473&gt;0, 1, 0))),","),"")</f>
        <v/>
      </c>
    </row>
    <row r="474" spans="2:25" x14ac:dyDescent="0.25">
      <c r="F474" s="18">
        <f t="shared" si="42"/>
        <v>0</v>
      </c>
      <c r="G474" s="1" t="str">
        <f t="shared" si="45"/>
        <v/>
      </c>
      <c r="M474" s="18">
        <f t="shared" si="43"/>
        <v>0</v>
      </c>
      <c r="N474" s="1" t="str">
        <f t="shared" si="46"/>
        <v/>
      </c>
      <c r="T474" s="18">
        <f t="shared" si="44"/>
        <v>0</v>
      </c>
      <c r="U474" s="1" t="str">
        <f t="shared" si="47"/>
        <v/>
      </c>
      <c r="W474" s="21" t="str">
        <f>IF(C474&gt;0,CONCATENATE("0x",(DEC2HEX(IF(B474&lt;&gt;"",VLOOKUP(B474,Notes!$A$2:$B$37,2,FALSE)*1024,0) + C474*16 + IF(D474="",7,D474)*2 + IF(E474&gt;0, 1, 0))),","),"")</f>
        <v/>
      </c>
      <c r="X474" s="21" t="str">
        <f>IF(J474&gt;0,CONCATENATE("0x",(DEC2HEX(IF(I474&lt;&gt;"",VLOOKUP(I474,Notes!$A$2:$B$37,2,FALSE)*1024,0) + J474*16 + IF(K474="",7,K474)*2 + IF(L474&gt;0, 1, 0))),","),"")</f>
        <v/>
      </c>
      <c r="Y474" s="21" t="str">
        <f>IF(Q474&gt;0,CONCATENATE("0x",(DEC2HEX(IF(P474&lt;&gt;"",VLOOKUP(P474,Notes!$A$2:$B$37,2,FALSE)*1024,0) + Q474*16 + IF(R474="",7,R474)*2 + IF(S474&gt;0, 1, 0))),","),"")</f>
        <v/>
      </c>
    </row>
    <row r="475" spans="2:25" x14ac:dyDescent="0.25">
      <c r="F475" s="18">
        <f t="shared" si="42"/>
        <v>0</v>
      </c>
      <c r="G475" s="1" t="str">
        <f t="shared" si="45"/>
        <v/>
      </c>
      <c r="M475" s="18">
        <f t="shared" si="43"/>
        <v>0</v>
      </c>
      <c r="N475" s="1" t="str">
        <f t="shared" si="46"/>
        <v/>
      </c>
      <c r="T475" s="18">
        <f t="shared" si="44"/>
        <v>0</v>
      </c>
      <c r="U475" s="1" t="str">
        <f t="shared" si="47"/>
        <v/>
      </c>
      <c r="W475" s="21" t="str">
        <f>IF(C475&gt;0,CONCATENATE("0x",(DEC2HEX(IF(B475&lt;&gt;"",VLOOKUP(B475,Notes!$A$2:$B$37,2,FALSE)*1024,0) + C475*16 + IF(D475="",7,D475)*2 + IF(E475&gt;0, 1, 0))),","),"")</f>
        <v/>
      </c>
      <c r="X475" s="21" t="str">
        <f>IF(J475&gt;0,CONCATENATE("0x",(DEC2HEX(IF(I475&lt;&gt;"",VLOOKUP(I475,Notes!$A$2:$B$37,2,FALSE)*1024,0) + J475*16 + IF(K475="",7,K475)*2 + IF(L475&gt;0, 1, 0))),","),"")</f>
        <v/>
      </c>
      <c r="Y475" s="21" t="str">
        <f>IF(Q475&gt;0,CONCATENATE("0x",(DEC2HEX(IF(P475&lt;&gt;"",VLOOKUP(P475,Notes!$A$2:$B$37,2,FALSE)*1024,0) + Q475*16 + IF(R475="",7,R475)*2 + IF(S475&gt;0, 1, 0))),","),"")</f>
        <v/>
      </c>
    </row>
    <row r="476" spans="2:25" x14ac:dyDescent="0.25">
      <c r="F476" s="18">
        <f t="shared" si="42"/>
        <v>0</v>
      </c>
      <c r="G476" s="1" t="str">
        <f t="shared" si="45"/>
        <v/>
      </c>
      <c r="M476" s="18">
        <f t="shared" si="43"/>
        <v>0</v>
      </c>
      <c r="N476" s="1" t="str">
        <f t="shared" si="46"/>
        <v/>
      </c>
      <c r="T476" s="18">
        <f t="shared" si="44"/>
        <v>0</v>
      </c>
      <c r="U476" s="1" t="str">
        <f t="shared" si="47"/>
        <v/>
      </c>
      <c r="W476" s="21" t="str">
        <f>IF(C476&gt;0,CONCATENATE("0x",(DEC2HEX(IF(B476&lt;&gt;"",VLOOKUP(B476,Notes!$A$2:$B$37,2,FALSE)*1024,0) + C476*16 + IF(D476="",7,D476)*2 + IF(E476&gt;0, 1, 0))),","),"")</f>
        <v/>
      </c>
      <c r="X476" s="21" t="str">
        <f>IF(J476&gt;0,CONCATENATE("0x",(DEC2HEX(IF(I476&lt;&gt;"",VLOOKUP(I476,Notes!$A$2:$B$37,2,FALSE)*1024,0) + J476*16 + IF(K476="",7,K476)*2 + IF(L476&gt;0, 1, 0))),","),"")</f>
        <v/>
      </c>
      <c r="Y476" s="21" t="str">
        <f>IF(Q476&gt;0,CONCATENATE("0x",(DEC2HEX(IF(P476&lt;&gt;"",VLOOKUP(P476,Notes!$A$2:$B$37,2,FALSE)*1024,0) + Q476*16 + IF(R476="",7,R476)*2 + IF(S476&gt;0, 1, 0))),","),"")</f>
        <v/>
      </c>
    </row>
    <row r="477" spans="2:25" x14ac:dyDescent="0.25">
      <c r="F477" s="18">
        <f t="shared" si="42"/>
        <v>0</v>
      </c>
      <c r="G477" s="1" t="str">
        <f t="shared" si="45"/>
        <v/>
      </c>
      <c r="M477" s="18">
        <f t="shared" si="43"/>
        <v>0</v>
      </c>
      <c r="N477" s="1" t="str">
        <f t="shared" si="46"/>
        <v/>
      </c>
      <c r="T477" s="18">
        <f t="shared" si="44"/>
        <v>0</v>
      </c>
      <c r="U477" s="1" t="str">
        <f t="shared" si="47"/>
        <v/>
      </c>
      <c r="W477" s="21" t="str">
        <f>IF(C477&gt;0,CONCATENATE("0x",(DEC2HEX(IF(B477&lt;&gt;"",VLOOKUP(B477,Notes!$A$2:$B$37,2,FALSE)*1024,0) + C477*16 + IF(D477="",7,D477)*2 + IF(E477&gt;0, 1, 0))),","),"")</f>
        <v/>
      </c>
      <c r="X477" s="21" t="str">
        <f>IF(J477&gt;0,CONCATENATE("0x",(DEC2HEX(IF(I477&lt;&gt;"",VLOOKUP(I477,Notes!$A$2:$B$37,2,FALSE)*1024,0) + J477*16 + IF(K477="",7,K477)*2 + IF(L477&gt;0, 1, 0))),","),"")</f>
        <v/>
      </c>
      <c r="Y477" s="21" t="str">
        <f>IF(Q477&gt;0,CONCATENATE("0x",(DEC2HEX(IF(P477&lt;&gt;"",VLOOKUP(P477,Notes!$A$2:$B$37,2,FALSE)*1024,0) + Q477*16 + IF(R477="",7,R477)*2 + IF(S477&gt;0, 1, 0))),","),"")</f>
        <v/>
      </c>
    </row>
    <row r="478" spans="2:25" x14ac:dyDescent="0.25">
      <c r="F478" s="18">
        <f t="shared" si="42"/>
        <v>0</v>
      </c>
      <c r="G478" s="1" t="str">
        <f t="shared" si="45"/>
        <v/>
      </c>
      <c r="M478" s="18">
        <f t="shared" si="43"/>
        <v>0</v>
      </c>
      <c r="N478" s="1" t="str">
        <f t="shared" si="46"/>
        <v/>
      </c>
      <c r="T478" s="18">
        <f t="shared" si="44"/>
        <v>0</v>
      </c>
      <c r="U478" s="1" t="str">
        <f t="shared" si="47"/>
        <v/>
      </c>
      <c r="W478" s="21" t="str">
        <f>IF(C478&gt;0,CONCATENATE("0x",(DEC2HEX(IF(B478&lt;&gt;"",VLOOKUP(B478,Notes!$A$2:$B$37,2,FALSE)*1024,0) + C478*16 + IF(D478="",7,D478)*2 + IF(E478&gt;0, 1, 0))),","),"")</f>
        <v/>
      </c>
      <c r="X478" s="21" t="str">
        <f>IF(J478&gt;0,CONCATENATE("0x",(DEC2HEX(IF(I478&lt;&gt;"",VLOOKUP(I478,Notes!$A$2:$B$37,2,FALSE)*1024,0) + J478*16 + IF(K478="",7,K478)*2 + IF(L478&gt;0, 1, 0))),","),"")</f>
        <v/>
      </c>
      <c r="Y478" s="21" t="str">
        <f>IF(Q478&gt;0,CONCATENATE("0x",(DEC2HEX(IF(P478&lt;&gt;"",VLOOKUP(P478,Notes!$A$2:$B$37,2,FALSE)*1024,0) + Q478*16 + IF(R478="",7,R478)*2 + IF(S478&gt;0, 1, 0))),","),"")</f>
        <v/>
      </c>
    </row>
    <row r="479" spans="2:25" x14ac:dyDescent="0.25">
      <c r="F479" s="18">
        <f t="shared" si="42"/>
        <v>0</v>
      </c>
      <c r="G479" s="1" t="str">
        <f t="shared" si="45"/>
        <v/>
      </c>
      <c r="M479" s="18">
        <f t="shared" si="43"/>
        <v>0</v>
      </c>
      <c r="N479" s="1" t="str">
        <f t="shared" si="46"/>
        <v/>
      </c>
      <c r="T479" s="18">
        <f t="shared" si="44"/>
        <v>0</v>
      </c>
      <c r="U479" s="1" t="str">
        <f t="shared" si="47"/>
        <v/>
      </c>
      <c r="W479" s="21" t="str">
        <f>IF(C479&gt;0,CONCATENATE("0x",(DEC2HEX(IF(B479&lt;&gt;"",VLOOKUP(B479,Notes!$A$2:$B$37,2,FALSE)*1024,0) + C479*16 + IF(D479="",7,D479)*2 + IF(E479&gt;0, 1, 0))),","),"")</f>
        <v/>
      </c>
      <c r="X479" s="21" t="str">
        <f>IF(J479&gt;0,CONCATENATE("0x",(DEC2HEX(IF(I479&lt;&gt;"",VLOOKUP(I479,Notes!$A$2:$B$37,2,FALSE)*1024,0) + J479*16 + IF(K479="",7,K479)*2 + IF(L479&gt;0, 1, 0))),","),"")</f>
        <v/>
      </c>
      <c r="Y479" s="21" t="str">
        <f>IF(Q479&gt;0,CONCATENATE("0x",(DEC2HEX(IF(P479&lt;&gt;"",VLOOKUP(P479,Notes!$A$2:$B$37,2,FALSE)*1024,0) + Q479*16 + IF(R479="",7,R479)*2 + IF(S479&gt;0, 1, 0))),","),"")</f>
        <v/>
      </c>
    </row>
    <row r="480" spans="2:25" x14ac:dyDescent="0.25">
      <c r="F480" s="18">
        <f t="shared" si="42"/>
        <v>0</v>
      </c>
      <c r="G480" s="1" t="str">
        <f t="shared" si="45"/>
        <v/>
      </c>
      <c r="M480" s="18">
        <f t="shared" si="43"/>
        <v>0</v>
      </c>
      <c r="N480" s="1" t="str">
        <f t="shared" si="46"/>
        <v/>
      </c>
      <c r="T480" s="18">
        <f t="shared" si="44"/>
        <v>0</v>
      </c>
      <c r="U480" s="1" t="str">
        <f t="shared" si="47"/>
        <v/>
      </c>
      <c r="W480" s="21" t="str">
        <f>IF(C480&gt;0,CONCATENATE("0x",(DEC2HEX(IF(B480&lt;&gt;"",VLOOKUP(B480,Notes!$A$2:$B$37,2,FALSE)*1024,0) + C480*16 + IF(D480="",7,D480)*2 + IF(E480&gt;0, 1, 0))),","),"")</f>
        <v/>
      </c>
      <c r="X480" s="21" t="str">
        <f>IF(J480&gt;0,CONCATENATE("0x",(DEC2HEX(IF(I480&lt;&gt;"",VLOOKUP(I480,Notes!$A$2:$B$37,2,FALSE)*1024,0) + J480*16 + IF(K480="",7,K480)*2 + IF(L480&gt;0, 1, 0))),","),"")</f>
        <v/>
      </c>
      <c r="Y480" s="21" t="str">
        <f>IF(Q480&gt;0,CONCATENATE("0x",(DEC2HEX(IF(P480&lt;&gt;"",VLOOKUP(P480,Notes!$A$2:$B$37,2,FALSE)*1024,0) + Q480*16 + IF(R480="",7,R480)*2 + IF(S480&gt;0, 1, 0))),","),"")</f>
        <v/>
      </c>
    </row>
    <row r="481" spans="1:25" ht="16.5" thickBot="1" x14ac:dyDescent="0.3">
      <c r="B481" s="15"/>
      <c r="C481" s="16"/>
      <c r="D481" s="16"/>
      <c r="E481" s="17"/>
      <c r="F481" s="18">
        <f t="shared" si="42"/>
        <v>0</v>
      </c>
      <c r="G481" s="1" t="str">
        <f t="shared" si="45"/>
        <v/>
      </c>
      <c r="I481" s="15"/>
      <c r="J481" s="16"/>
      <c r="K481" s="16"/>
      <c r="L481" s="17"/>
      <c r="M481" s="18">
        <f t="shared" si="43"/>
        <v>0</v>
      </c>
      <c r="N481" s="1" t="str">
        <f t="shared" si="46"/>
        <v/>
      </c>
      <c r="P481" s="15"/>
      <c r="Q481" s="16"/>
      <c r="R481" s="16"/>
      <c r="S481" s="17"/>
      <c r="T481" s="18">
        <f t="shared" si="44"/>
        <v>0</v>
      </c>
      <c r="U481" s="1" t="str">
        <f t="shared" si="47"/>
        <v/>
      </c>
      <c r="W481" s="21" t="str">
        <f>IF(C481&gt;0,CONCATENATE("0x",(DEC2HEX(IF(B481&lt;&gt;"",VLOOKUP(B481,Notes!$A$2:$B$37,2,FALSE)*1024,0) + C481*16 + IF(D481="",7,D481)*2 + IF(E481&gt;0, 1, 0))),","),"")</f>
        <v/>
      </c>
      <c r="X481" s="21" t="str">
        <f>IF(J481&gt;0,CONCATENATE("0x",(DEC2HEX(IF(I481&lt;&gt;"",VLOOKUP(I481,Notes!$A$2:$B$37,2,FALSE)*1024,0) + J481*16 + IF(K481="",7,K481)*2 + IF(L481&gt;0, 1, 0))),","),"")</f>
        <v/>
      </c>
      <c r="Y481" s="21" t="str">
        <f>IF(Q481&gt;0,CONCATENATE("0x",(DEC2HEX(IF(P481&lt;&gt;"",VLOOKUP(P481,Notes!$A$2:$B$37,2,FALSE)*1024,0) + Q481*16 + IF(R481="",7,R481)*2 + IF(S481&gt;0, 1, 0))),","),"")</f>
        <v/>
      </c>
    </row>
    <row r="482" spans="1:25" ht="16.5" thickTop="1" x14ac:dyDescent="0.25">
      <c r="A482" s="1">
        <v>16</v>
      </c>
      <c r="F482" s="18">
        <f t="shared" si="42"/>
        <v>0</v>
      </c>
      <c r="G482" s="1" t="str">
        <f t="shared" si="45"/>
        <v/>
      </c>
      <c r="M482" s="18">
        <f t="shared" si="43"/>
        <v>0</v>
      </c>
      <c r="N482" s="1" t="str">
        <f t="shared" si="46"/>
        <v/>
      </c>
      <c r="T482" s="18">
        <f t="shared" si="44"/>
        <v>0</v>
      </c>
      <c r="U482" s="1" t="str">
        <f t="shared" si="47"/>
        <v/>
      </c>
      <c r="W482" s="21" t="str">
        <f>IF(C482&gt;0,CONCATENATE("0x",(DEC2HEX(IF(B482&lt;&gt;"",VLOOKUP(B482,Notes!$A$2:$B$37,2,FALSE)*1024,0) + C482*16 + IF(D482="",7,D482)*2 + IF(E482&gt;0, 1, 0))),","),"")</f>
        <v/>
      </c>
      <c r="X482" s="21" t="str">
        <f>IF(J482&gt;0,CONCATENATE("0x",(DEC2HEX(IF(I482&lt;&gt;"",VLOOKUP(I482,Notes!$A$2:$B$37,2,FALSE)*1024,0) + J482*16 + IF(K482="",7,K482)*2 + IF(L482&gt;0, 1, 0))),","),"")</f>
        <v/>
      </c>
      <c r="Y482" s="21" t="str">
        <f>IF(Q482&gt;0,CONCATENATE("0x",(DEC2HEX(IF(P482&lt;&gt;"",VLOOKUP(P482,Notes!$A$2:$B$37,2,FALSE)*1024,0) + Q482*16 + IF(R482="",7,R482)*2 + IF(S482&gt;0, 1, 0))),","),"")</f>
        <v/>
      </c>
    </row>
    <row r="483" spans="1:25" x14ac:dyDescent="0.25">
      <c r="F483" s="18">
        <f t="shared" si="42"/>
        <v>0</v>
      </c>
      <c r="G483" s="1" t="str">
        <f t="shared" si="45"/>
        <v/>
      </c>
      <c r="M483" s="18">
        <f t="shared" si="43"/>
        <v>0</v>
      </c>
      <c r="N483" s="1" t="str">
        <f t="shared" si="46"/>
        <v/>
      </c>
      <c r="T483" s="18">
        <f t="shared" si="44"/>
        <v>0</v>
      </c>
      <c r="U483" s="1" t="str">
        <f t="shared" si="47"/>
        <v/>
      </c>
      <c r="W483" s="21" t="str">
        <f>IF(C483&gt;0,CONCATENATE("0x",(DEC2HEX(IF(B483&lt;&gt;"",VLOOKUP(B483,Notes!$A$2:$B$37,2,FALSE)*1024,0) + C483*16 + IF(D483="",7,D483)*2 + IF(E483&gt;0, 1, 0))),","),"")</f>
        <v/>
      </c>
      <c r="X483" s="21" t="str">
        <f>IF(J483&gt;0,CONCATENATE("0x",(DEC2HEX(IF(I483&lt;&gt;"",VLOOKUP(I483,Notes!$A$2:$B$37,2,FALSE)*1024,0) + J483*16 + IF(K483="",7,K483)*2 + IF(L483&gt;0, 1, 0))),","),"")</f>
        <v/>
      </c>
      <c r="Y483" s="21" t="str">
        <f>IF(Q483&gt;0,CONCATENATE("0x",(DEC2HEX(IF(P483&lt;&gt;"",VLOOKUP(P483,Notes!$A$2:$B$37,2,FALSE)*1024,0) + Q483*16 + IF(R483="",7,R483)*2 + IF(S483&gt;0, 1, 0))),","),"")</f>
        <v/>
      </c>
    </row>
    <row r="484" spans="1:25" x14ac:dyDescent="0.25">
      <c r="F484" s="18">
        <f t="shared" si="42"/>
        <v>0</v>
      </c>
      <c r="G484" s="1" t="str">
        <f t="shared" si="45"/>
        <v/>
      </c>
      <c r="M484" s="18">
        <f t="shared" si="43"/>
        <v>0</v>
      </c>
      <c r="N484" s="1" t="str">
        <f t="shared" si="46"/>
        <v/>
      </c>
      <c r="T484" s="18">
        <f t="shared" si="44"/>
        <v>0</v>
      </c>
      <c r="U484" s="1" t="str">
        <f t="shared" si="47"/>
        <v/>
      </c>
      <c r="W484" s="21" t="str">
        <f>IF(C484&gt;0,CONCATENATE("0x",(DEC2HEX(IF(B484&lt;&gt;"",VLOOKUP(B484,Notes!$A$2:$B$37,2,FALSE)*1024,0) + C484*16 + IF(D484="",7,D484)*2 + IF(E484&gt;0, 1, 0))),","),"")</f>
        <v/>
      </c>
      <c r="X484" s="21" t="str">
        <f>IF(J484&gt;0,CONCATENATE("0x",(DEC2HEX(IF(I484&lt;&gt;"",VLOOKUP(I484,Notes!$A$2:$B$37,2,FALSE)*1024,0) + J484*16 + IF(K484="",7,K484)*2 + IF(L484&gt;0, 1, 0))),","),"")</f>
        <v/>
      </c>
      <c r="Y484" s="21" t="str">
        <f>IF(Q484&gt;0,CONCATENATE("0x",(DEC2HEX(IF(P484&lt;&gt;"",VLOOKUP(P484,Notes!$A$2:$B$37,2,FALSE)*1024,0) + Q484*16 + IF(R484="",7,R484)*2 + IF(S484&gt;0, 1, 0))),","),"")</f>
        <v/>
      </c>
    </row>
    <row r="485" spans="1:25" x14ac:dyDescent="0.25">
      <c r="F485" s="18">
        <f t="shared" si="42"/>
        <v>0</v>
      </c>
      <c r="G485" s="1" t="str">
        <f t="shared" si="45"/>
        <v/>
      </c>
      <c r="M485" s="18">
        <f t="shared" si="43"/>
        <v>0</v>
      </c>
      <c r="N485" s="1" t="str">
        <f t="shared" si="46"/>
        <v/>
      </c>
      <c r="T485" s="18">
        <f t="shared" si="44"/>
        <v>0</v>
      </c>
      <c r="U485" s="1" t="str">
        <f t="shared" si="47"/>
        <v/>
      </c>
      <c r="W485" s="21" t="str">
        <f>IF(C485&gt;0,CONCATENATE("0x",(DEC2HEX(IF(B485&lt;&gt;"",VLOOKUP(B485,Notes!$A$2:$B$37,2,FALSE)*1024,0) + C485*16 + IF(D485="",7,D485)*2 + IF(E485&gt;0, 1, 0))),","),"")</f>
        <v/>
      </c>
      <c r="X485" s="21" t="str">
        <f>IF(J485&gt;0,CONCATENATE("0x",(DEC2HEX(IF(I485&lt;&gt;"",VLOOKUP(I485,Notes!$A$2:$B$37,2,FALSE)*1024,0) + J485*16 + IF(K485="",7,K485)*2 + IF(L485&gt;0, 1, 0))),","),"")</f>
        <v/>
      </c>
      <c r="Y485" s="21" t="str">
        <f>IF(Q485&gt;0,CONCATENATE("0x",(DEC2HEX(IF(P485&lt;&gt;"",VLOOKUP(P485,Notes!$A$2:$B$37,2,FALSE)*1024,0) + Q485*16 + IF(R485="",7,R485)*2 + IF(S485&gt;0, 1, 0))),","),"")</f>
        <v/>
      </c>
    </row>
    <row r="486" spans="1:25" x14ac:dyDescent="0.25">
      <c r="F486" s="18">
        <f t="shared" si="42"/>
        <v>0</v>
      </c>
      <c r="G486" s="1" t="str">
        <f t="shared" si="45"/>
        <v/>
      </c>
      <c r="M486" s="18">
        <f t="shared" si="43"/>
        <v>0</v>
      </c>
      <c r="N486" s="1" t="str">
        <f t="shared" si="46"/>
        <v/>
      </c>
      <c r="T486" s="18">
        <f t="shared" si="44"/>
        <v>0</v>
      </c>
      <c r="U486" s="1" t="str">
        <f t="shared" si="47"/>
        <v/>
      </c>
      <c r="W486" s="21" t="str">
        <f>IF(C486&gt;0,CONCATENATE("0x",(DEC2HEX(IF(B486&lt;&gt;"",VLOOKUP(B486,Notes!$A$2:$B$37,2,FALSE)*1024,0) + C486*16 + IF(D486="",7,D486)*2 + IF(E486&gt;0, 1, 0))),","),"")</f>
        <v/>
      </c>
      <c r="X486" s="21" t="str">
        <f>IF(J486&gt;0,CONCATENATE("0x",(DEC2HEX(IF(I486&lt;&gt;"",VLOOKUP(I486,Notes!$A$2:$B$37,2,FALSE)*1024,0) + J486*16 + IF(K486="",7,K486)*2 + IF(L486&gt;0, 1, 0))),","),"")</f>
        <v/>
      </c>
      <c r="Y486" s="21" t="str">
        <f>IF(Q486&gt;0,CONCATENATE("0x",(DEC2HEX(IF(P486&lt;&gt;"",VLOOKUP(P486,Notes!$A$2:$B$37,2,FALSE)*1024,0) + Q486*16 + IF(R486="",7,R486)*2 + IF(S486&gt;0, 1, 0))),","),"")</f>
        <v/>
      </c>
    </row>
    <row r="487" spans="1:25" x14ac:dyDescent="0.25">
      <c r="F487" s="18">
        <f t="shared" si="42"/>
        <v>0</v>
      </c>
      <c r="G487" s="1" t="str">
        <f t="shared" si="45"/>
        <v/>
      </c>
      <c r="M487" s="18">
        <f t="shared" si="43"/>
        <v>0</v>
      </c>
      <c r="N487" s="1" t="str">
        <f t="shared" si="46"/>
        <v/>
      </c>
      <c r="T487" s="18">
        <f t="shared" si="44"/>
        <v>0</v>
      </c>
      <c r="U487" s="1" t="str">
        <f t="shared" si="47"/>
        <v/>
      </c>
      <c r="W487" s="21" t="str">
        <f>IF(C487&gt;0,CONCATENATE("0x",(DEC2HEX(IF(B487&lt;&gt;"",VLOOKUP(B487,Notes!$A$2:$B$37,2,FALSE)*1024,0) + C487*16 + IF(D487="",7,D487)*2 + IF(E487&gt;0, 1, 0))),","),"")</f>
        <v/>
      </c>
      <c r="X487" s="21" t="str">
        <f>IF(J487&gt;0,CONCATENATE("0x",(DEC2HEX(IF(I487&lt;&gt;"",VLOOKUP(I487,Notes!$A$2:$B$37,2,FALSE)*1024,0) + J487*16 + IF(K487="",7,K487)*2 + IF(L487&gt;0, 1, 0))),","),"")</f>
        <v/>
      </c>
      <c r="Y487" s="21" t="str">
        <f>IF(Q487&gt;0,CONCATENATE("0x",(DEC2HEX(IF(P487&lt;&gt;"",VLOOKUP(P487,Notes!$A$2:$B$37,2,FALSE)*1024,0) + Q487*16 + IF(R487="",7,R487)*2 + IF(S487&gt;0, 1, 0))),","),"")</f>
        <v/>
      </c>
    </row>
    <row r="488" spans="1:25" x14ac:dyDescent="0.25">
      <c r="F488" s="18">
        <f t="shared" si="42"/>
        <v>0</v>
      </c>
      <c r="G488" s="1" t="str">
        <f t="shared" si="45"/>
        <v/>
      </c>
      <c r="M488" s="18">
        <f t="shared" si="43"/>
        <v>0</v>
      </c>
      <c r="N488" s="1" t="str">
        <f t="shared" si="46"/>
        <v/>
      </c>
      <c r="T488" s="18">
        <f t="shared" si="44"/>
        <v>0</v>
      </c>
      <c r="U488" s="1" t="str">
        <f t="shared" si="47"/>
        <v/>
      </c>
      <c r="W488" s="21" t="str">
        <f>IF(C488&gt;0,CONCATENATE("0x",(DEC2HEX(IF(B488&lt;&gt;"",VLOOKUP(B488,Notes!$A$2:$B$37,2,FALSE)*1024,0) + C488*16 + IF(D488="",7,D488)*2 + IF(E488&gt;0, 1, 0))),","),"")</f>
        <v/>
      </c>
      <c r="X488" s="21" t="str">
        <f>IF(J488&gt;0,CONCATENATE("0x",(DEC2HEX(IF(I488&lt;&gt;"",VLOOKUP(I488,Notes!$A$2:$B$37,2,FALSE)*1024,0) + J488*16 + IF(K488="",7,K488)*2 + IF(L488&gt;0, 1, 0))),","),"")</f>
        <v/>
      </c>
      <c r="Y488" s="21" t="str">
        <f>IF(Q488&gt;0,CONCATENATE("0x",(DEC2HEX(IF(P488&lt;&gt;"",VLOOKUP(P488,Notes!$A$2:$B$37,2,FALSE)*1024,0) + Q488*16 + IF(R488="",7,R488)*2 + IF(S488&gt;0, 1, 0))),","),"")</f>
        <v/>
      </c>
    </row>
    <row r="489" spans="1:25" x14ac:dyDescent="0.25">
      <c r="B489" s="12"/>
      <c r="C489" s="13"/>
      <c r="D489" s="13"/>
      <c r="E489" s="14"/>
      <c r="F489" s="18">
        <f t="shared" si="42"/>
        <v>0</v>
      </c>
      <c r="G489" s="1" t="str">
        <f t="shared" si="45"/>
        <v/>
      </c>
      <c r="I489" s="12"/>
      <c r="J489" s="13"/>
      <c r="K489" s="13"/>
      <c r="L489" s="14"/>
      <c r="M489" s="18">
        <f t="shared" si="43"/>
        <v>0</v>
      </c>
      <c r="N489" s="1" t="str">
        <f t="shared" si="46"/>
        <v/>
      </c>
      <c r="P489" s="12"/>
      <c r="Q489" s="13"/>
      <c r="R489" s="13"/>
      <c r="S489" s="14"/>
      <c r="T489" s="18">
        <f t="shared" si="44"/>
        <v>0</v>
      </c>
      <c r="U489" s="1" t="str">
        <f t="shared" si="47"/>
        <v/>
      </c>
      <c r="W489" s="21" t="str">
        <f>IF(C489&gt;0,CONCATENATE("0x",(DEC2HEX(IF(B489&lt;&gt;"",VLOOKUP(B489,Notes!$A$2:$B$37,2,FALSE)*1024,0) + C489*16 + IF(D489="",7,D489)*2 + IF(E489&gt;0, 1, 0))),","),"")</f>
        <v/>
      </c>
      <c r="X489" s="21" t="str">
        <f>IF(J489&gt;0,CONCATENATE("0x",(DEC2HEX(IF(I489&lt;&gt;"",VLOOKUP(I489,Notes!$A$2:$B$37,2,FALSE)*1024,0) + J489*16 + IF(K489="",7,K489)*2 + IF(L489&gt;0, 1, 0))),","),"")</f>
        <v/>
      </c>
      <c r="Y489" s="21" t="str">
        <f>IF(Q489&gt;0,CONCATENATE("0x",(DEC2HEX(IF(P489&lt;&gt;"",VLOOKUP(P489,Notes!$A$2:$B$37,2,FALSE)*1024,0) + Q489*16 + IF(R489="",7,R489)*2 + IF(S489&gt;0, 1, 0))),","),"")</f>
        <v/>
      </c>
    </row>
    <row r="490" spans="1:25" x14ac:dyDescent="0.25">
      <c r="F490" s="18">
        <f t="shared" si="42"/>
        <v>0</v>
      </c>
      <c r="G490" s="1" t="str">
        <f t="shared" si="45"/>
        <v/>
      </c>
      <c r="M490" s="18">
        <f t="shared" si="43"/>
        <v>0</v>
      </c>
      <c r="N490" s="1" t="str">
        <f t="shared" si="46"/>
        <v/>
      </c>
      <c r="T490" s="18">
        <f t="shared" si="44"/>
        <v>0</v>
      </c>
      <c r="U490" s="1" t="str">
        <f t="shared" si="47"/>
        <v/>
      </c>
      <c r="W490" s="21" t="str">
        <f>IF(C490&gt;0,CONCATENATE("0x",(DEC2HEX(IF(B490&lt;&gt;"",VLOOKUP(B490,Notes!$A$2:$B$37,2,FALSE)*1024,0) + C490*16 + IF(D490="",7,D490)*2 + IF(E490&gt;0, 1, 0))),","),"")</f>
        <v/>
      </c>
      <c r="X490" s="21" t="str">
        <f>IF(J490&gt;0,CONCATENATE("0x",(DEC2HEX(IF(I490&lt;&gt;"",VLOOKUP(I490,Notes!$A$2:$B$37,2,FALSE)*1024,0) + J490*16 + IF(K490="",7,K490)*2 + IF(L490&gt;0, 1, 0))),","),"")</f>
        <v/>
      </c>
      <c r="Y490" s="21" t="str">
        <f>IF(Q490&gt;0,CONCATENATE("0x",(DEC2HEX(IF(P490&lt;&gt;"",VLOOKUP(P490,Notes!$A$2:$B$37,2,FALSE)*1024,0) + Q490*16 + IF(R490="",7,R490)*2 + IF(S490&gt;0, 1, 0))),","),"")</f>
        <v/>
      </c>
    </row>
    <row r="491" spans="1:25" x14ac:dyDescent="0.25">
      <c r="F491" s="18">
        <f t="shared" si="42"/>
        <v>0</v>
      </c>
      <c r="G491" s="1" t="str">
        <f t="shared" si="45"/>
        <v/>
      </c>
      <c r="M491" s="18">
        <f t="shared" si="43"/>
        <v>0</v>
      </c>
      <c r="N491" s="1" t="str">
        <f t="shared" si="46"/>
        <v/>
      </c>
      <c r="T491" s="18">
        <f t="shared" si="44"/>
        <v>0</v>
      </c>
      <c r="U491" s="1" t="str">
        <f t="shared" si="47"/>
        <v/>
      </c>
      <c r="W491" s="21" t="str">
        <f>IF(C491&gt;0,CONCATENATE("0x",(DEC2HEX(IF(B491&lt;&gt;"",VLOOKUP(B491,Notes!$A$2:$B$37,2,FALSE)*1024,0) + C491*16 + IF(D491="",7,D491)*2 + IF(E491&gt;0, 1, 0))),","),"")</f>
        <v/>
      </c>
      <c r="X491" s="21" t="str">
        <f>IF(J491&gt;0,CONCATENATE("0x",(DEC2HEX(IF(I491&lt;&gt;"",VLOOKUP(I491,Notes!$A$2:$B$37,2,FALSE)*1024,0) + J491*16 + IF(K491="",7,K491)*2 + IF(L491&gt;0, 1, 0))),","),"")</f>
        <v/>
      </c>
      <c r="Y491" s="21" t="str">
        <f>IF(Q491&gt;0,CONCATENATE("0x",(DEC2HEX(IF(P491&lt;&gt;"",VLOOKUP(P491,Notes!$A$2:$B$37,2,FALSE)*1024,0) + Q491*16 + IF(R491="",7,R491)*2 + IF(S491&gt;0, 1, 0))),","),"")</f>
        <v/>
      </c>
    </row>
    <row r="492" spans="1:25" x14ac:dyDescent="0.25">
      <c r="F492" s="18">
        <f t="shared" si="42"/>
        <v>0</v>
      </c>
      <c r="G492" s="1" t="str">
        <f t="shared" si="45"/>
        <v/>
      </c>
      <c r="M492" s="18">
        <f t="shared" si="43"/>
        <v>0</v>
      </c>
      <c r="N492" s="1" t="str">
        <f t="shared" si="46"/>
        <v/>
      </c>
      <c r="T492" s="18">
        <f t="shared" si="44"/>
        <v>0</v>
      </c>
      <c r="U492" s="1" t="str">
        <f t="shared" si="47"/>
        <v/>
      </c>
      <c r="W492" s="21" t="str">
        <f>IF(C492&gt;0,CONCATENATE("0x",(DEC2HEX(IF(B492&lt;&gt;"",VLOOKUP(B492,Notes!$A$2:$B$37,2,FALSE)*1024,0) + C492*16 + IF(D492="",7,D492)*2 + IF(E492&gt;0, 1, 0))),","),"")</f>
        <v/>
      </c>
      <c r="X492" s="21" t="str">
        <f>IF(J492&gt;0,CONCATENATE("0x",(DEC2HEX(IF(I492&lt;&gt;"",VLOOKUP(I492,Notes!$A$2:$B$37,2,FALSE)*1024,0) + J492*16 + IF(K492="",7,K492)*2 + IF(L492&gt;0, 1, 0))),","),"")</f>
        <v/>
      </c>
      <c r="Y492" s="21" t="str">
        <f>IF(Q492&gt;0,CONCATENATE("0x",(DEC2HEX(IF(P492&lt;&gt;"",VLOOKUP(P492,Notes!$A$2:$B$37,2,FALSE)*1024,0) + Q492*16 + IF(R492="",7,R492)*2 + IF(S492&gt;0, 1, 0))),","),"")</f>
        <v/>
      </c>
    </row>
    <row r="493" spans="1:25" x14ac:dyDescent="0.25">
      <c r="F493" s="18">
        <f t="shared" si="42"/>
        <v>0</v>
      </c>
      <c r="G493" s="1" t="str">
        <f t="shared" si="45"/>
        <v/>
      </c>
      <c r="M493" s="18">
        <f t="shared" si="43"/>
        <v>0</v>
      </c>
      <c r="N493" s="1" t="str">
        <f t="shared" si="46"/>
        <v/>
      </c>
      <c r="T493" s="18">
        <f t="shared" si="44"/>
        <v>0</v>
      </c>
      <c r="U493" s="1" t="str">
        <f t="shared" si="47"/>
        <v/>
      </c>
      <c r="W493" s="21" t="str">
        <f>IF(C493&gt;0,CONCATENATE("0x",(DEC2HEX(IF(B493&lt;&gt;"",VLOOKUP(B493,Notes!$A$2:$B$37,2,FALSE)*1024,0) + C493*16 + IF(D493="",7,D493)*2 + IF(E493&gt;0, 1, 0))),","),"")</f>
        <v/>
      </c>
      <c r="X493" s="21" t="str">
        <f>IF(J493&gt;0,CONCATENATE("0x",(DEC2HEX(IF(I493&lt;&gt;"",VLOOKUP(I493,Notes!$A$2:$B$37,2,FALSE)*1024,0) + J493*16 + IF(K493="",7,K493)*2 + IF(L493&gt;0, 1, 0))),","),"")</f>
        <v/>
      </c>
      <c r="Y493" s="21" t="str">
        <f>IF(Q493&gt;0,CONCATENATE("0x",(DEC2HEX(IF(P493&lt;&gt;"",VLOOKUP(P493,Notes!$A$2:$B$37,2,FALSE)*1024,0) + Q493*16 + IF(R493="",7,R493)*2 + IF(S493&gt;0, 1, 0))),","),"")</f>
        <v/>
      </c>
    </row>
    <row r="494" spans="1:25" x14ac:dyDescent="0.25">
      <c r="F494" s="18">
        <f t="shared" si="42"/>
        <v>0</v>
      </c>
      <c r="G494" s="1" t="str">
        <f t="shared" si="45"/>
        <v/>
      </c>
      <c r="M494" s="18">
        <f t="shared" si="43"/>
        <v>0</v>
      </c>
      <c r="N494" s="1" t="str">
        <f t="shared" si="46"/>
        <v/>
      </c>
      <c r="T494" s="18">
        <f t="shared" si="44"/>
        <v>0</v>
      </c>
      <c r="U494" s="1" t="str">
        <f t="shared" si="47"/>
        <v/>
      </c>
      <c r="W494" s="21" t="str">
        <f>IF(C494&gt;0,CONCATENATE("0x",(DEC2HEX(IF(B494&lt;&gt;"",VLOOKUP(B494,Notes!$A$2:$B$37,2,FALSE)*1024,0) + C494*16 + IF(D494="",7,D494)*2 + IF(E494&gt;0, 1, 0))),","),"")</f>
        <v/>
      </c>
      <c r="X494" s="21" t="str">
        <f>IF(J494&gt;0,CONCATENATE("0x",(DEC2HEX(IF(I494&lt;&gt;"",VLOOKUP(I494,Notes!$A$2:$B$37,2,FALSE)*1024,0) + J494*16 + IF(K494="",7,K494)*2 + IF(L494&gt;0, 1, 0))),","),"")</f>
        <v/>
      </c>
      <c r="Y494" s="21" t="str">
        <f>IF(Q494&gt;0,CONCATENATE("0x",(DEC2HEX(IF(P494&lt;&gt;"",VLOOKUP(P494,Notes!$A$2:$B$37,2,FALSE)*1024,0) + Q494*16 + IF(R494="",7,R494)*2 + IF(S494&gt;0, 1, 0))),","),"")</f>
        <v/>
      </c>
    </row>
    <row r="495" spans="1:25" x14ac:dyDescent="0.25">
      <c r="F495" s="18">
        <f t="shared" si="42"/>
        <v>0</v>
      </c>
      <c r="G495" s="1" t="str">
        <f t="shared" si="45"/>
        <v/>
      </c>
      <c r="M495" s="18">
        <f t="shared" si="43"/>
        <v>0</v>
      </c>
      <c r="N495" s="1" t="str">
        <f t="shared" si="46"/>
        <v/>
      </c>
      <c r="T495" s="18">
        <f t="shared" si="44"/>
        <v>0</v>
      </c>
      <c r="U495" s="1" t="str">
        <f t="shared" si="47"/>
        <v/>
      </c>
      <c r="W495" s="21" t="str">
        <f>IF(C495&gt;0,CONCATENATE("0x",(DEC2HEX(IF(B495&lt;&gt;"",VLOOKUP(B495,Notes!$A$2:$B$37,2,FALSE)*1024,0) + C495*16 + IF(D495="",7,D495)*2 + IF(E495&gt;0, 1, 0))),","),"")</f>
        <v/>
      </c>
      <c r="X495" s="21" t="str">
        <f>IF(J495&gt;0,CONCATENATE("0x",(DEC2HEX(IF(I495&lt;&gt;"",VLOOKUP(I495,Notes!$A$2:$B$37,2,FALSE)*1024,0) + J495*16 + IF(K495="",7,K495)*2 + IF(L495&gt;0, 1, 0))),","),"")</f>
        <v/>
      </c>
      <c r="Y495" s="21" t="str">
        <f>IF(Q495&gt;0,CONCATENATE("0x",(DEC2HEX(IF(P495&lt;&gt;"",VLOOKUP(P495,Notes!$A$2:$B$37,2,FALSE)*1024,0) + Q495*16 + IF(R495="",7,R495)*2 + IF(S495&gt;0, 1, 0))),","),"")</f>
        <v/>
      </c>
    </row>
    <row r="496" spans="1:25" x14ac:dyDescent="0.25">
      <c r="F496" s="18">
        <f t="shared" si="42"/>
        <v>0</v>
      </c>
      <c r="G496" s="1" t="str">
        <f t="shared" si="45"/>
        <v/>
      </c>
      <c r="M496" s="18">
        <f t="shared" si="43"/>
        <v>0</v>
      </c>
      <c r="N496" s="1" t="str">
        <f t="shared" si="46"/>
        <v/>
      </c>
      <c r="T496" s="18">
        <f t="shared" si="44"/>
        <v>0</v>
      </c>
      <c r="U496" s="1" t="str">
        <f t="shared" si="47"/>
        <v/>
      </c>
      <c r="W496" s="21" t="str">
        <f>IF(C496&gt;0,CONCATENATE("0x",(DEC2HEX(IF(B496&lt;&gt;"",VLOOKUP(B496,Notes!$A$2:$B$37,2,FALSE)*1024,0) + C496*16 + IF(D496="",7,D496)*2 + IF(E496&gt;0, 1, 0))),","),"")</f>
        <v/>
      </c>
      <c r="X496" s="21" t="str">
        <f>IF(J496&gt;0,CONCATENATE("0x",(DEC2HEX(IF(I496&lt;&gt;"",VLOOKUP(I496,Notes!$A$2:$B$37,2,FALSE)*1024,0) + J496*16 + IF(K496="",7,K496)*2 + IF(L496&gt;0, 1, 0))),","),"")</f>
        <v/>
      </c>
      <c r="Y496" s="21" t="str">
        <f>IF(Q496&gt;0,CONCATENATE("0x",(DEC2HEX(IF(P496&lt;&gt;"",VLOOKUP(P496,Notes!$A$2:$B$37,2,FALSE)*1024,0) + Q496*16 + IF(R496="",7,R496)*2 + IF(S496&gt;0, 1, 0))),","),"")</f>
        <v/>
      </c>
    </row>
    <row r="497" spans="2:25" x14ac:dyDescent="0.25">
      <c r="B497" s="12"/>
      <c r="C497" s="13"/>
      <c r="D497" s="13"/>
      <c r="E497" s="14"/>
      <c r="F497" s="18">
        <f t="shared" si="42"/>
        <v>0</v>
      </c>
      <c r="G497" s="1" t="str">
        <f t="shared" si="45"/>
        <v/>
      </c>
      <c r="I497" s="12"/>
      <c r="J497" s="13"/>
      <c r="K497" s="13"/>
      <c r="L497" s="14"/>
      <c r="M497" s="18">
        <f t="shared" si="43"/>
        <v>0</v>
      </c>
      <c r="N497" s="1" t="str">
        <f t="shared" si="46"/>
        <v/>
      </c>
      <c r="P497" s="12"/>
      <c r="Q497" s="13"/>
      <c r="R497" s="13"/>
      <c r="S497" s="14"/>
      <c r="T497" s="18">
        <f t="shared" si="44"/>
        <v>0</v>
      </c>
      <c r="U497" s="1" t="str">
        <f t="shared" si="47"/>
        <v/>
      </c>
      <c r="W497" s="21" t="str">
        <f>IF(C497&gt;0,CONCATENATE("0x",(DEC2HEX(IF(B497&lt;&gt;"",VLOOKUP(B497,Notes!$A$2:$B$37,2,FALSE)*1024,0) + C497*16 + IF(D497="",7,D497)*2 + IF(E497&gt;0, 1, 0))),","),"")</f>
        <v/>
      </c>
      <c r="X497" s="21" t="str">
        <f>IF(J497&gt;0,CONCATENATE("0x",(DEC2HEX(IF(I497&lt;&gt;"",VLOOKUP(I497,Notes!$A$2:$B$37,2,FALSE)*1024,0) + J497*16 + IF(K497="",7,K497)*2 + IF(L497&gt;0, 1, 0))),","),"")</f>
        <v/>
      </c>
      <c r="Y497" s="21" t="str">
        <f>IF(Q497&gt;0,CONCATENATE("0x",(DEC2HEX(IF(P497&lt;&gt;"",VLOOKUP(P497,Notes!$A$2:$B$37,2,FALSE)*1024,0) + Q497*16 + IF(R497="",7,R497)*2 + IF(S497&gt;0, 1, 0))),","),"")</f>
        <v/>
      </c>
    </row>
    <row r="498" spans="2:25" x14ac:dyDescent="0.25">
      <c r="F498" s="18">
        <f t="shared" si="42"/>
        <v>0</v>
      </c>
      <c r="G498" s="1" t="str">
        <f t="shared" si="45"/>
        <v/>
      </c>
      <c r="M498" s="18">
        <f t="shared" si="43"/>
        <v>0</v>
      </c>
      <c r="N498" s="1" t="str">
        <f t="shared" si="46"/>
        <v/>
      </c>
      <c r="T498" s="18">
        <f t="shared" si="44"/>
        <v>0</v>
      </c>
      <c r="U498" s="1" t="str">
        <f t="shared" si="47"/>
        <v/>
      </c>
      <c r="W498" s="21" t="str">
        <f>IF(C498&gt;0,CONCATENATE("0x",(DEC2HEX(IF(B498&lt;&gt;"",VLOOKUP(B498,Notes!$A$2:$B$37,2,FALSE)*1024,0) + C498*16 + IF(D498="",7,D498)*2 + IF(E498&gt;0, 1, 0))),","),"")</f>
        <v/>
      </c>
      <c r="X498" s="21" t="str">
        <f>IF(J498&gt;0,CONCATENATE("0x",(DEC2HEX(IF(I498&lt;&gt;"",VLOOKUP(I498,Notes!$A$2:$B$37,2,FALSE)*1024,0) + J498*16 + IF(K498="",7,K498)*2 + IF(L498&gt;0, 1, 0))),","),"")</f>
        <v/>
      </c>
      <c r="Y498" s="21" t="str">
        <f>IF(Q498&gt;0,CONCATENATE("0x",(DEC2HEX(IF(P498&lt;&gt;"",VLOOKUP(P498,Notes!$A$2:$B$37,2,FALSE)*1024,0) + Q498*16 + IF(R498="",7,R498)*2 + IF(S498&gt;0, 1, 0))),","),"")</f>
        <v/>
      </c>
    </row>
    <row r="499" spans="2:25" x14ac:dyDescent="0.25">
      <c r="F499" s="18">
        <f t="shared" si="42"/>
        <v>0</v>
      </c>
      <c r="G499" s="1" t="str">
        <f t="shared" si="45"/>
        <v/>
      </c>
      <c r="M499" s="18">
        <f t="shared" si="43"/>
        <v>0</v>
      </c>
      <c r="N499" s="1" t="str">
        <f t="shared" si="46"/>
        <v/>
      </c>
      <c r="T499" s="18">
        <f t="shared" si="44"/>
        <v>0</v>
      </c>
      <c r="U499" s="1" t="str">
        <f t="shared" si="47"/>
        <v/>
      </c>
      <c r="W499" s="21" t="str">
        <f>IF(C499&gt;0,CONCATENATE("0x",(DEC2HEX(IF(B499&lt;&gt;"",VLOOKUP(B499,Notes!$A$2:$B$37,2,FALSE)*1024,0) + C499*16 + IF(D499="",7,D499)*2 + IF(E499&gt;0, 1, 0))),","),"")</f>
        <v/>
      </c>
      <c r="X499" s="21" t="str">
        <f>IF(J499&gt;0,CONCATENATE("0x",(DEC2HEX(IF(I499&lt;&gt;"",VLOOKUP(I499,Notes!$A$2:$B$37,2,FALSE)*1024,0) + J499*16 + IF(K499="",7,K499)*2 + IF(L499&gt;0, 1, 0))),","),"")</f>
        <v/>
      </c>
      <c r="Y499" s="21" t="str">
        <f>IF(Q499&gt;0,CONCATENATE("0x",(DEC2HEX(IF(P499&lt;&gt;"",VLOOKUP(P499,Notes!$A$2:$B$37,2,FALSE)*1024,0) + Q499*16 + IF(R499="",7,R499)*2 + IF(S499&gt;0, 1, 0))),","),"")</f>
        <v/>
      </c>
    </row>
    <row r="500" spans="2:25" x14ac:dyDescent="0.25">
      <c r="F500" s="18">
        <f t="shared" si="42"/>
        <v>0</v>
      </c>
      <c r="G500" s="1" t="str">
        <f t="shared" si="45"/>
        <v/>
      </c>
      <c r="M500" s="18">
        <f t="shared" si="43"/>
        <v>0</v>
      </c>
      <c r="N500" s="1" t="str">
        <f t="shared" si="46"/>
        <v/>
      </c>
      <c r="T500" s="18">
        <f t="shared" si="44"/>
        <v>0</v>
      </c>
      <c r="U500" s="1" t="str">
        <f t="shared" si="47"/>
        <v/>
      </c>
      <c r="W500" s="21" t="str">
        <f>IF(C500&gt;0,CONCATENATE("0x",(DEC2HEX(IF(B500&lt;&gt;"",VLOOKUP(B500,Notes!$A$2:$B$37,2,FALSE)*1024,0) + C500*16 + IF(D500="",7,D500)*2 + IF(E500&gt;0, 1, 0))),","),"")</f>
        <v/>
      </c>
      <c r="X500" s="21" t="str">
        <f>IF(J500&gt;0,CONCATENATE("0x",(DEC2HEX(IF(I500&lt;&gt;"",VLOOKUP(I500,Notes!$A$2:$B$37,2,FALSE)*1024,0) + J500*16 + IF(K500="",7,K500)*2 + IF(L500&gt;0, 1, 0))),","),"")</f>
        <v/>
      </c>
      <c r="Y500" s="21" t="str">
        <f>IF(Q500&gt;0,CONCATENATE("0x",(DEC2HEX(IF(P500&lt;&gt;"",VLOOKUP(P500,Notes!$A$2:$B$37,2,FALSE)*1024,0) + Q500*16 + IF(R500="",7,R500)*2 + IF(S500&gt;0, 1, 0))),","),"")</f>
        <v/>
      </c>
    </row>
    <row r="501" spans="2:25" x14ac:dyDescent="0.25">
      <c r="F501" s="18">
        <f t="shared" si="42"/>
        <v>0</v>
      </c>
      <c r="G501" s="1" t="str">
        <f t="shared" si="45"/>
        <v/>
      </c>
      <c r="M501" s="18">
        <f t="shared" si="43"/>
        <v>0</v>
      </c>
      <c r="N501" s="1" t="str">
        <f t="shared" si="46"/>
        <v/>
      </c>
      <c r="T501" s="18">
        <f t="shared" si="44"/>
        <v>0</v>
      </c>
      <c r="U501" s="1" t="str">
        <f t="shared" si="47"/>
        <v/>
      </c>
      <c r="W501" s="21" t="str">
        <f>IF(C501&gt;0,CONCATENATE("0x",(DEC2HEX(IF(B501&lt;&gt;"",VLOOKUP(B501,Notes!$A$2:$B$37,2,FALSE)*1024,0) + C501*16 + IF(D501="",7,D501)*2 + IF(E501&gt;0, 1, 0))),","),"")</f>
        <v/>
      </c>
      <c r="X501" s="21" t="str">
        <f>IF(J501&gt;0,CONCATENATE("0x",(DEC2HEX(IF(I501&lt;&gt;"",VLOOKUP(I501,Notes!$A$2:$B$37,2,FALSE)*1024,0) + J501*16 + IF(K501="",7,K501)*2 + IF(L501&gt;0, 1, 0))),","),"")</f>
        <v/>
      </c>
      <c r="Y501" s="21" t="str">
        <f>IF(Q501&gt;0,CONCATENATE("0x",(DEC2HEX(IF(P501&lt;&gt;"",VLOOKUP(P501,Notes!$A$2:$B$37,2,FALSE)*1024,0) + Q501*16 + IF(R501="",7,R501)*2 + IF(S501&gt;0, 1, 0))),","),"")</f>
        <v/>
      </c>
    </row>
    <row r="502" spans="2:25" x14ac:dyDescent="0.25">
      <c r="F502" s="18">
        <f t="shared" si="42"/>
        <v>0</v>
      </c>
      <c r="G502" s="1" t="str">
        <f t="shared" si="45"/>
        <v/>
      </c>
      <c r="M502" s="18">
        <f t="shared" si="43"/>
        <v>0</v>
      </c>
      <c r="N502" s="1" t="str">
        <f t="shared" si="46"/>
        <v/>
      </c>
      <c r="T502" s="18">
        <f t="shared" si="44"/>
        <v>0</v>
      </c>
      <c r="U502" s="1" t="str">
        <f t="shared" si="47"/>
        <v/>
      </c>
      <c r="W502" s="21" t="str">
        <f>IF(C502&gt;0,CONCATENATE("0x",(DEC2HEX(IF(B502&lt;&gt;"",VLOOKUP(B502,Notes!$A$2:$B$37,2,FALSE)*1024,0) + C502*16 + IF(D502="",7,D502)*2 + IF(E502&gt;0, 1, 0))),","),"")</f>
        <v/>
      </c>
      <c r="X502" s="21" t="str">
        <f>IF(J502&gt;0,CONCATENATE("0x",(DEC2HEX(IF(I502&lt;&gt;"",VLOOKUP(I502,Notes!$A$2:$B$37,2,FALSE)*1024,0) + J502*16 + IF(K502="",7,K502)*2 + IF(L502&gt;0, 1, 0))),","),"")</f>
        <v/>
      </c>
      <c r="Y502" s="21" t="str">
        <f>IF(Q502&gt;0,CONCATENATE("0x",(DEC2HEX(IF(P502&lt;&gt;"",VLOOKUP(P502,Notes!$A$2:$B$37,2,FALSE)*1024,0) + Q502*16 + IF(R502="",7,R502)*2 + IF(S502&gt;0, 1, 0))),","),"")</f>
        <v/>
      </c>
    </row>
    <row r="503" spans="2:25" x14ac:dyDescent="0.25">
      <c r="F503" s="18">
        <f t="shared" si="42"/>
        <v>0</v>
      </c>
      <c r="G503" s="1" t="str">
        <f t="shared" si="45"/>
        <v/>
      </c>
      <c r="M503" s="18">
        <f t="shared" si="43"/>
        <v>0</v>
      </c>
      <c r="N503" s="1" t="str">
        <f t="shared" si="46"/>
        <v/>
      </c>
      <c r="T503" s="18">
        <f t="shared" si="44"/>
        <v>0</v>
      </c>
      <c r="U503" s="1" t="str">
        <f t="shared" si="47"/>
        <v/>
      </c>
      <c r="W503" s="21" t="str">
        <f>IF(C503&gt;0,CONCATENATE("0x",(DEC2HEX(IF(B503&lt;&gt;"",VLOOKUP(B503,Notes!$A$2:$B$37,2,FALSE)*1024,0) + C503*16 + IF(D503="",7,D503)*2 + IF(E503&gt;0, 1, 0))),","),"")</f>
        <v/>
      </c>
      <c r="X503" s="21" t="str">
        <f>IF(J503&gt;0,CONCATENATE("0x",(DEC2HEX(IF(I503&lt;&gt;"",VLOOKUP(I503,Notes!$A$2:$B$37,2,FALSE)*1024,0) + J503*16 + IF(K503="",7,K503)*2 + IF(L503&gt;0, 1, 0))),","),"")</f>
        <v/>
      </c>
      <c r="Y503" s="21" t="str">
        <f>IF(Q503&gt;0,CONCATENATE("0x",(DEC2HEX(IF(P503&lt;&gt;"",VLOOKUP(P503,Notes!$A$2:$B$37,2,FALSE)*1024,0) + Q503*16 + IF(R503="",7,R503)*2 + IF(S503&gt;0, 1, 0))),","),"")</f>
        <v/>
      </c>
    </row>
    <row r="504" spans="2:25" x14ac:dyDescent="0.25">
      <c r="F504" s="18">
        <f t="shared" si="42"/>
        <v>0</v>
      </c>
      <c r="G504" s="1" t="str">
        <f t="shared" si="45"/>
        <v/>
      </c>
      <c r="M504" s="18">
        <f t="shared" si="43"/>
        <v>0</v>
      </c>
      <c r="N504" s="1" t="str">
        <f t="shared" si="46"/>
        <v/>
      </c>
      <c r="T504" s="18">
        <f t="shared" si="44"/>
        <v>0</v>
      </c>
      <c r="U504" s="1" t="str">
        <f t="shared" si="47"/>
        <v/>
      </c>
      <c r="W504" s="21" t="str">
        <f>IF(C504&gt;0,CONCATENATE("0x",(DEC2HEX(IF(B504&lt;&gt;"",VLOOKUP(B504,Notes!$A$2:$B$37,2,FALSE)*1024,0) + C504*16 + IF(D504="",7,D504)*2 + IF(E504&gt;0, 1, 0))),","),"")</f>
        <v/>
      </c>
      <c r="X504" s="21" t="str">
        <f>IF(J504&gt;0,CONCATENATE("0x",(DEC2HEX(IF(I504&lt;&gt;"",VLOOKUP(I504,Notes!$A$2:$B$37,2,FALSE)*1024,0) + J504*16 + IF(K504="",7,K504)*2 + IF(L504&gt;0, 1, 0))),","),"")</f>
        <v/>
      </c>
      <c r="Y504" s="21" t="str">
        <f>IF(Q504&gt;0,CONCATENATE("0x",(DEC2HEX(IF(P504&lt;&gt;"",VLOOKUP(P504,Notes!$A$2:$B$37,2,FALSE)*1024,0) + Q504*16 + IF(R504="",7,R504)*2 + IF(S504&gt;0, 1, 0))),","),"")</f>
        <v/>
      </c>
    </row>
    <row r="505" spans="2:25" x14ac:dyDescent="0.25">
      <c r="B505" s="12"/>
      <c r="C505" s="13"/>
      <c r="D505" s="13"/>
      <c r="E505" s="14"/>
      <c r="F505" s="18">
        <f t="shared" si="42"/>
        <v>0</v>
      </c>
      <c r="G505" s="1" t="str">
        <f t="shared" si="45"/>
        <v/>
      </c>
      <c r="I505" s="12"/>
      <c r="J505" s="13"/>
      <c r="K505" s="13"/>
      <c r="L505" s="14"/>
      <c r="M505" s="18">
        <f t="shared" si="43"/>
        <v>0</v>
      </c>
      <c r="N505" s="1" t="str">
        <f t="shared" si="46"/>
        <v/>
      </c>
      <c r="P505" s="12"/>
      <c r="Q505" s="13"/>
      <c r="R505" s="13"/>
      <c r="S505" s="14"/>
      <c r="T505" s="18">
        <f t="shared" si="44"/>
        <v>0</v>
      </c>
      <c r="U505" s="1" t="str">
        <f t="shared" si="47"/>
        <v/>
      </c>
      <c r="W505" s="21" t="str">
        <f>IF(C505&gt;0,CONCATENATE("0x",(DEC2HEX(IF(B505&lt;&gt;"",VLOOKUP(B505,Notes!$A$2:$B$37,2,FALSE)*1024,0) + C505*16 + IF(D505="",7,D505)*2 + IF(E505&gt;0, 1, 0))),","),"")</f>
        <v/>
      </c>
      <c r="X505" s="21" t="str">
        <f>IF(J505&gt;0,CONCATENATE("0x",(DEC2HEX(IF(I505&lt;&gt;"",VLOOKUP(I505,Notes!$A$2:$B$37,2,FALSE)*1024,0) + J505*16 + IF(K505="",7,K505)*2 + IF(L505&gt;0, 1, 0))),","),"")</f>
        <v/>
      </c>
      <c r="Y505" s="21" t="str">
        <f>IF(Q505&gt;0,CONCATENATE("0x",(DEC2HEX(IF(P505&lt;&gt;"",VLOOKUP(P505,Notes!$A$2:$B$37,2,FALSE)*1024,0) + Q505*16 + IF(R505="",7,R505)*2 + IF(S505&gt;0, 1, 0))),","),"")</f>
        <v/>
      </c>
    </row>
    <row r="506" spans="2:25" x14ac:dyDescent="0.25">
      <c r="F506" s="18">
        <f t="shared" si="42"/>
        <v>0</v>
      </c>
      <c r="G506" s="1" t="str">
        <f t="shared" si="45"/>
        <v/>
      </c>
      <c r="M506" s="18">
        <f t="shared" si="43"/>
        <v>0</v>
      </c>
      <c r="N506" s="1" t="str">
        <f t="shared" si="46"/>
        <v/>
      </c>
      <c r="T506" s="18">
        <f t="shared" si="44"/>
        <v>0</v>
      </c>
      <c r="U506" s="1" t="str">
        <f t="shared" si="47"/>
        <v/>
      </c>
      <c r="W506" s="21" t="str">
        <f>IF(C506&gt;0,CONCATENATE("0x",(DEC2HEX(IF(B506&lt;&gt;"",VLOOKUP(B506,Notes!$A$2:$B$37,2,FALSE)*1024,0) + C506*16 + IF(D506="",7,D506)*2 + IF(E506&gt;0, 1, 0))),","),"")</f>
        <v/>
      </c>
      <c r="X506" s="21" t="str">
        <f>IF(J506&gt;0,CONCATENATE("0x",(DEC2HEX(IF(I506&lt;&gt;"",VLOOKUP(I506,Notes!$A$2:$B$37,2,FALSE)*1024,0) + J506*16 + IF(K506="",7,K506)*2 + IF(L506&gt;0, 1, 0))),","),"")</f>
        <v/>
      </c>
      <c r="Y506" s="21" t="str">
        <f>IF(Q506&gt;0,CONCATENATE("0x",(DEC2HEX(IF(P506&lt;&gt;"",VLOOKUP(P506,Notes!$A$2:$B$37,2,FALSE)*1024,0) + Q506*16 + IF(R506="",7,R506)*2 + IF(S506&gt;0, 1, 0))),","),"")</f>
        <v/>
      </c>
    </row>
    <row r="507" spans="2:25" x14ac:dyDescent="0.25">
      <c r="F507" s="18">
        <f t="shared" si="42"/>
        <v>0</v>
      </c>
      <c r="G507" s="1" t="str">
        <f t="shared" si="45"/>
        <v/>
      </c>
      <c r="M507" s="18">
        <f t="shared" si="43"/>
        <v>0</v>
      </c>
      <c r="N507" s="1" t="str">
        <f t="shared" si="46"/>
        <v/>
      </c>
      <c r="T507" s="18">
        <f t="shared" si="44"/>
        <v>0</v>
      </c>
      <c r="U507" s="1" t="str">
        <f t="shared" si="47"/>
        <v/>
      </c>
      <c r="W507" s="21" t="str">
        <f>IF(C507&gt;0,CONCATENATE("0x",(DEC2HEX(IF(B507&lt;&gt;"",VLOOKUP(B507,Notes!$A$2:$B$37,2,FALSE)*1024,0) + C507*16 + IF(D507="",7,D507)*2 + IF(E507&gt;0, 1, 0))),","),"")</f>
        <v/>
      </c>
      <c r="X507" s="21" t="str">
        <f>IF(J507&gt;0,CONCATENATE("0x",(DEC2HEX(IF(I507&lt;&gt;"",VLOOKUP(I507,Notes!$A$2:$B$37,2,FALSE)*1024,0) + J507*16 + IF(K507="",7,K507)*2 + IF(L507&gt;0, 1, 0))),","),"")</f>
        <v/>
      </c>
      <c r="Y507" s="21" t="str">
        <f>IF(Q507&gt;0,CONCATENATE("0x",(DEC2HEX(IF(P507&lt;&gt;"",VLOOKUP(P507,Notes!$A$2:$B$37,2,FALSE)*1024,0) + Q507*16 + IF(R507="",7,R507)*2 + IF(S507&gt;0, 1, 0))),","),"")</f>
        <v/>
      </c>
    </row>
    <row r="508" spans="2:25" x14ac:dyDescent="0.25">
      <c r="F508" s="18">
        <f t="shared" si="42"/>
        <v>0</v>
      </c>
      <c r="G508" s="1" t="str">
        <f t="shared" si="45"/>
        <v/>
      </c>
      <c r="M508" s="18">
        <f t="shared" si="43"/>
        <v>0</v>
      </c>
      <c r="N508" s="1" t="str">
        <f t="shared" si="46"/>
        <v/>
      </c>
      <c r="T508" s="18">
        <f t="shared" si="44"/>
        <v>0</v>
      </c>
      <c r="U508" s="1" t="str">
        <f t="shared" si="47"/>
        <v/>
      </c>
      <c r="W508" s="21" t="str">
        <f>IF(C508&gt;0,CONCATENATE("0x",(DEC2HEX(IF(B508&lt;&gt;"",VLOOKUP(B508,Notes!$A$2:$B$37,2,FALSE)*1024,0) + C508*16 + IF(D508="",7,D508)*2 + IF(E508&gt;0, 1, 0))),","),"")</f>
        <v/>
      </c>
      <c r="X508" s="21" t="str">
        <f>IF(J508&gt;0,CONCATENATE("0x",(DEC2HEX(IF(I508&lt;&gt;"",VLOOKUP(I508,Notes!$A$2:$B$37,2,FALSE)*1024,0) + J508*16 + IF(K508="",7,K508)*2 + IF(L508&gt;0, 1, 0))),","),"")</f>
        <v/>
      </c>
      <c r="Y508" s="21" t="str">
        <f>IF(Q508&gt;0,CONCATENATE("0x",(DEC2HEX(IF(P508&lt;&gt;"",VLOOKUP(P508,Notes!$A$2:$B$37,2,FALSE)*1024,0) + Q508*16 + IF(R508="",7,R508)*2 + IF(S508&gt;0, 1, 0))),","),"")</f>
        <v/>
      </c>
    </row>
    <row r="509" spans="2:25" x14ac:dyDescent="0.25">
      <c r="F509" s="18">
        <f t="shared" si="42"/>
        <v>0</v>
      </c>
      <c r="G509" s="1" t="str">
        <f t="shared" si="45"/>
        <v/>
      </c>
      <c r="M509" s="18">
        <f t="shared" si="43"/>
        <v>0</v>
      </c>
      <c r="N509" s="1" t="str">
        <f t="shared" si="46"/>
        <v/>
      </c>
      <c r="T509" s="18">
        <f t="shared" si="44"/>
        <v>0</v>
      </c>
      <c r="U509" s="1" t="str">
        <f t="shared" si="47"/>
        <v/>
      </c>
      <c r="W509" s="21" t="str">
        <f>IF(C509&gt;0,CONCATENATE("0x",(DEC2HEX(IF(B509&lt;&gt;"",VLOOKUP(B509,Notes!$A$2:$B$37,2,FALSE)*1024,0) + C509*16 + IF(D509="",7,D509)*2 + IF(E509&gt;0, 1, 0))),","),"")</f>
        <v/>
      </c>
      <c r="X509" s="21" t="str">
        <f>IF(J509&gt;0,CONCATENATE("0x",(DEC2HEX(IF(I509&lt;&gt;"",VLOOKUP(I509,Notes!$A$2:$B$37,2,FALSE)*1024,0) + J509*16 + IF(K509="",7,K509)*2 + IF(L509&gt;0, 1, 0))),","),"")</f>
        <v/>
      </c>
      <c r="Y509" s="21" t="str">
        <f>IF(Q509&gt;0,CONCATENATE("0x",(DEC2HEX(IF(P509&lt;&gt;"",VLOOKUP(P509,Notes!$A$2:$B$37,2,FALSE)*1024,0) + Q509*16 + IF(R509="",7,R509)*2 + IF(S509&gt;0, 1, 0))),","),"")</f>
        <v/>
      </c>
    </row>
    <row r="510" spans="2:25" x14ac:dyDescent="0.25">
      <c r="F510" s="18">
        <f t="shared" si="42"/>
        <v>0</v>
      </c>
      <c r="G510" s="1" t="str">
        <f t="shared" si="45"/>
        <v/>
      </c>
      <c r="M510" s="18">
        <f t="shared" si="43"/>
        <v>0</v>
      </c>
      <c r="N510" s="1" t="str">
        <f t="shared" si="46"/>
        <v/>
      </c>
      <c r="T510" s="18">
        <f t="shared" si="44"/>
        <v>0</v>
      </c>
      <c r="U510" s="1" t="str">
        <f t="shared" si="47"/>
        <v/>
      </c>
      <c r="W510" s="21" t="str">
        <f>IF(C510&gt;0,CONCATENATE("0x",(DEC2HEX(IF(B510&lt;&gt;"",VLOOKUP(B510,Notes!$A$2:$B$37,2,FALSE)*1024,0) + C510*16 + IF(D510="",7,D510)*2 + IF(E510&gt;0, 1, 0))),","),"")</f>
        <v/>
      </c>
      <c r="X510" s="21" t="str">
        <f>IF(J510&gt;0,CONCATENATE("0x",(DEC2HEX(IF(I510&lt;&gt;"",VLOOKUP(I510,Notes!$A$2:$B$37,2,FALSE)*1024,0) + J510*16 + IF(K510="",7,K510)*2 + IF(L510&gt;0, 1, 0))),","),"")</f>
        <v/>
      </c>
      <c r="Y510" s="21" t="str">
        <f>IF(Q510&gt;0,CONCATENATE("0x",(DEC2HEX(IF(P510&lt;&gt;"",VLOOKUP(P510,Notes!$A$2:$B$37,2,FALSE)*1024,0) + Q510*16 + IF(R510="",7,R510)*2 + IF(S510&gt;0, 1, 0))),","),"")</f>
        <v/>
      </c>
    </row>
    <row r="511" spans="2:25" x14ac:dyDescent="0.25">
      <c r="F511" s="18">
        <f t="shared" si="42"/>
        <v>0</v>
      </c>
      <c r="G511" s="1" t="str">
        <f t="shared" si="45"/>
        <v/>
      </c>
      <c r="M511" s="18">
        <f t="shared" si="43"/>
        <v>0</v>
      </c>
      <c r="N511" s="1" t="str">
        <f t="shared" si="46"/>
        <v/>
      </c>
      <c r="T511" s="18">
        <f t="shared" si="44"/>
        <v>0</v>
      </c>
      <c r="U511" s="1" t="str">
        <f t="shared" si="47"/>
        <v/>
      </c>
      <c r="W511" s="21" t="str">
        <f>IF(C511&gt;0,CONCATENATE("0x",(DEC2HEX(IF(B511&lt;&gt;"",VLOOKUP(B511,Notes!$A$2:$B$37,2,FALSE)*1024,0) + C511*16 + IF(D511="",7,D511)*2 + IF(E511&gt;0, 1, 0))),","),"")</f>
        <v/>
      </c>
      <c r="X511" s="21" t="str">
        <f>IF(J511&gt;0,CONCATENATE("0x",(DEC2HEX(IF(I511&lt;&gt;"",VLOOKUP(I511,Notes!$A$2:$B$37,2,FALSE)*1024,0) + J511*16 + IF(K511="",7,K511)*2 + IF(L511&gt;0, 1, 0))),","),"")</f>
        <v/>
      </c>
      <c r="Y511" s="21" t="str">
        <f>IF(Q511&gt;0,CONCATENATE("0x",(DEC2HEX(IF(P511&lt;&gt;"",VLOOKUP(P511,Notes!$A$2:$B$37,2,FALSE)*1024,0) + Q511*16 + IF(R511="",7,R511)*2 + IF(S511&gt;0, 1, 0))),","),"")</f>
        <v/>
      </c>
    </row>
    <row r="512" spans="2:25" x14ac:dyDescent="0.25">
      <c r="F512" s="18">
        <f t="shared" si="42"/>
        <v>0</v>
      </c>
      <c r="G512" s="1" t="str">
        <f t="shared" si="45"/>
        <v/>
      </c>
      <c r="M512" s="18">
        <f t="shared" si="43"/>
        <v>0</v>
      </c>
      <c r="N512" s="1" t="str">
        <f t="shared" si="46"/>
        <v/>
      </c>
      <c r="T512" s="18">
        <f t="shared" si="44"/>
        <v>0</v>
      </c>
      <c r="U512" s="1" t="str">
        <f t="shared" si="47"/>
        <v/>
      </c>
      <c r="W512" s="21" t="str">
        <f>IF(C512&gt;0,CONCATENATE("0x",(DEC2HEX(IF(B512&lt;&gt;"",VLOOKUP(B512,Notes!$A$2:$B$37,2,FALSE)*1024,0) + C512*16 + IF(D512="",7,D512)*2 + IF(E512&gt;0, 1, 0))),","),"")</f>
        <v/>
      </c>
      <c r="X512" s="21" t="str">
        <f>IF(J512&gt;0,CONCATENATE("0x",(DEC2HEX(IF(I512&lt;&gt;"",VLOOKUP(I512,Notes!$A$2:$B$37,2,FALSE)*1024,0) + J512*16 + IF(K512="",7,K512)*2 + IF(L512&gt;0, 1, 0))),","),"")</f>
        <v/>
      </c>
      <c r="Y512" s="21" t="str">
        <f>IF(Q512&gt;0,CONCATENATE("0x",(DEC2HEX(IF(P512&lt;&gt;"",VLOOKUP(P512,Notes!$A$2:$B$37,2,FALSE)*1024,0) + Q512*16 + IF(R512="",7,R512)*2 + IF(S512&gt;0, 1, 0))),","),"")</f>
        <v/>
      </c>
    </row>
    <row r="513" spans="1:25" ht="16.5" thickBot="1" x14ac:dyDescent="0.3">
      <c r="B513" s="15"/>
      <c r="C513" s="16"/>
      <c r="D513" s="16"/>
      <c r="E513" s="17"/>
      <c r="F513" s="18">
        <f t="shared" si="42"/>
        <v>0</v>
      </c>
      <c r="G513" s="1" t="str">
        <f t="shared" si="45"/>
        <v/>
      </c>
      <c r="I513" s="15"/>
      <c r="J513" s="16"/>
      <c r="K513" s="16"/>
      <c r="L513" s="17"/>
      <c r="M513" s="18">
        <f t="shared" si="43"/>
        <v>0</v>
      </c>
      <c r="N513" s="1" t="str">
        <f t="shared" si="46"/>
        <v/>
      </c>
      <c r="P513" s="15"/>
      <c r="Q513" s="16"/>
      <c r="R513" s="16"/>
      <c r="S513" s="17"/>
      <c r="T513" s="18">
        <f t="shared" si="44"/>
        <v>0</v>
      </c>
      <c r="U513" s="1" t="str">
        <f t="shared" si="47"/>
        <v/>
      </c>
      <c r="W513" s="21" t="str">
        <f>IF(C513&gt;0,CONCATENATE("0x",(DEC2HEX(IF(B513&lt;&gt;"",VLOOKUP(B513,Notes!$A$2:$B$37,2,FALSE)*1024,0) + C513*16 + IF(D513="",7,D513)*2 + IF(E513&gt;0, 1, 0))),","),"")</f>
        <v/>
      </c>
      <c r="X513" s="21" t="str">
        <f>IF(J513&gt;0,CONCATENATE("0x",(DEC2HEX(IF(I513&lt;&gt;"",VLOOKUP(I513,Notes!$A$2:$B$37,2,FALSE)*1024,0) + J513*16 + IF(K513="",7,K513)*2 + IF(L513&gt;0, 1, 0))),","),"")</f>
        <v/>
      </c>
      <c r="Y513" s="21" t="str">
        <f>IF(Q513&gt;0,CONCATENATE("0x",(DEC2HEX(IF(P513&lt;&gt;"",VLOOKUP(P513,Notes!$A$2:$B$37,2,FALSE)*1024,0) + Q513*16 + IF(R513="",7,R513)*2 + IF(S513&gt;0, 1, 0))),","),"")</f>
        <v/>
      </c>
    </row>
    <row r="514" spans="1:25" ht="16.5" thickTop="1" x14ac:dyDescent="0.25">
      <c r="A514" s="1">
        <v>17</v>
      </c>
      <c r="F514" s="18">
        <f t="shared" si="42"/>
        <v>0</v>
      </c>
      <c r="G514" s="1" t="str">
        <f t="shared" si="45"/>
        <v/>
      </c>
      <c r="M514" s="18">
        <f t="shared" si="43"/>
        <v>0</v>
      </c>
      <c r="N514" s="1" t="str">
        <f t="shared" si="46"/>
        <v/>
      </c>
      <c r="T514" s="18">
        <f t="shared" si="44"/>
        <v>0</v>
      </c>
      <c r="U514" s="1" t="str">
        <f t="shared" si="47"/>
        <v/>
      </c>
      <c r="W514" s="21" t="str">
        <f>IF(C514&gt;0,CONCATENATE("0x",(DEC2HEX(IF(B514&lt;&gt;"",VLOOKUP(B514,Notes!$A$2:$B$37,2,FALSE)*1024,0) + C514*16 + IF(D514="",7,D514)*2 + IF(E514&gt;0, 1, 0))),","),"")</f>
        <v/>
      </c>
      <c r="X514" s="21" t="str">
        <f>IF(J514&gt;0,CONCATENATE("0x",(DEC2HEX(IF(I514&lt;&gt;"",VLOOKUP(I514,Notes!$A$2:$B$37,2,FALSE)*1024,0) + J514*16 + IF(K514="",7,K514)*2 + IF(L514&gt;0, 1, 0))),","),"")</f>
        <v/>
      </c>
      <c r="Y514" s="21" t="str">
        <f>IF(Q514&gt;0,CONCATENATE("0x",(DEC2HEX(IF(P514&lt;&gt;"",VLOOKUP(P514,Notes!$A$2:$B$37,2,FALSE)*1024,0) + Q514*16 + IF(R514="",7,R514)*2 + IF(S514&gt;0, 1, 0))),","),"")</f>
        <v/>
      </c>
    </row>
    <row r="515" spans="1:25" x14ac:dyDescent="0.25">
      <c r="F515" s="18">
        <f t="shared" ref="F515:F578" si="48">IF(C515&gt;0, C515, MAX(F514-1,0))</f>
        <v>0</v>
      </c>
      <c r="G515" s="1" t="str">
        <f t="shared" si="45"/>
        <v/>
      </c>
      <c r="M515" s="18">
        <f t="shared" ref="M515:M578" si="49">IF(J515&gt;0, J515, MAX(M514-1,0))</f>
        <v>0</v>
      </c>
      <c r="N515" s="1" t="str">
        <f t="shared" si="46"/>
        <v/>
      </c>
      <c r="T515" s="18">
        <f t="shared" ref="T515:T578" si="50">IF(Q515&gt;0, Q515, MAX(T514-1,0))</f>
        <v>0</v>
      </c>
      <c r="U515" s="1" t="str">
        <f t="shared" si="47"/>
        <v/>
      </c>
      <c r="W515" s="21" t="str">
        <f>IF(C515&gt;0,CONCATENATE("0x",(DEC2HEX(IF(B515&lt;&gt;"",VLOOKUP(B515,Notes!$A$2:$B$37,2,FALSE)*1024,0) + C515*16 + IF(D515="",7,D515)*2 + IF(E515&gt;0, 1, 0))),","),"")</f>
        <v/>
      </c>
      <c r="X515" s="21" t="str">
        <f>IF(J515&gt;0,CONCATENATE("0x",(DEC2HEX(IF(I515&lt;&gt;"",VLOOKUP(I515,Notes!$A$2:$B$37,2,FALSE)*1024,0) + J515*16 + IF(K515="",7,K515)*2 + IF(L515&gt;0, 1, 0))),","),"")</f>
        <v/>
      </c>
      <c r="Y515" s="21" t="str">
        <f>IF(Q515&gt;0,CONCATENATE("0x",(DEC2HEX(IF(P515&lt;&gt;"",VLOOKUP(P515,Notes!$A$2:$B$37,2,FALSE)*1024,0) + Q515*16 + IF(R515="",7,R515)*2 + IF(S515&gt;0, 1, 0))),","),"")</f>
        <v/>
      </c>
    </row>
    <row r="516" spans="1:25" x14ac:dyDescent="0.25">
      <c r="F516" s="18">
        <f t="shared" si="48"/>
        <v>0</v>
      </c>
      <c r="G516" s="1" t="str">
        <f t="shared" ref="G516:G579" si="51">IF(AND(F515&gt;1,C516&gt;0), "OVERLAPPING","")</f>
        <v/>
      </c>
      <c r="M516" s="18">
        <f t="shared" si="49"/>
        <v>0</v>
      </c>
      <c r="N516" s="1" t="str">
        <f t="shared" ref="N516:N579" si="52">IF(AND(M515&gt;1,J516&gt;0), "OVERLAPPING","")</f>
        <v/>
      </c>
      <c r="T516" s="18">
        <f t="shared" si="50"/>
        <v>0</v>
      </c>
      <c r="U516" s="1" t="str">
        <f t="shared" ref="U516:U579" si="53">IF(AND(T515&gt;1,Q516&gt;0), "OVERLAPPING","")</f>
        <v/>
      </c>
      <c r="W516" s="21" t="str">
        <f>IF(C516&gt;0,CONCATENATE("0x",(DEC2HEX(IF(B516&lt;&gt;"",VLOOKUP(B516,Notes!$A$2:$B$37,2,FALSE)*1024,0) + C516*16 + IF(D516="",7,D516)*2 + IF(E516&gt;0, 1, 0))),","),"")</f>
        <v/>
      </c>
      <c r="X516" s="21" t="str">
        <f>IF(J516&gt;0,CONCATENATE("0x",(DEC2HEX(IF(I516&lt;&gt;"",VLOOKUP(I516,Notes!$A$2:$B$37,2,FALSE)*1024,0) + J516*16 + IF(K516="",7,K516)*2 + IF(L516&gt;0, 1, 0))),","),"")</f>
        <v/>
      </c>
      <c r="Y516" s="21" t="str">
        <f>IF(Q516&gt;0,CONCATENATE("0x",(DEC2HEX(IF(P516&lt;&gt;"",VLOOKUP(P516,Notes!$A$2:$B$37,2,FALSE)*1024,0) + Q516*16 + IF(R516="",7,R516)*2 + IF(S516&gt;0, 1, 0))),","),"")</f>
        <v/>
      </c>
    </row>
    <row r="517" spans="1:25" x14ac:dyDescent="0.25">
      <c r="F517" s="18">
        <f t="shared" si="48"/>
        <v>0</v>
      </c>
      <c r="G517" s="1" t="str">
        <f t="shared" si="51"/>
        <v/>
      </c>
      <c r="M517" s="18">
        <f t="shared" si="49"/>
        <v>0</v>
      </c>
      <c r="N517" s="1" t="str">
        <f t="shared" si="52"/>
        <v/>
      </c>
      <c r="T517" s="18">
        <f t="shared" si="50"/>
        <v>0</v>
      </c>
      <c r="U517" s="1" t="str">
        <f t="shared" si="53"/>
        <v/>
      </c>
      <c r="W517" s="21" t="str">
        <f>IF(C517&gt;0,CONCATENATE("0x",(DEC2HEX(IF(B517&lt;&gt;"",VLOOKUP(B517,Notes!$A$2:$B$37,2,FALSE)*1024,0) + C517*16 + IF(D517="",7,D517)*2 + IF(E517&gt;0, 1, 0))),","),"")</f>
        <v/>
      </c>
      <c r="X517" s="21" t="str">
        <f>IF(J517&gt;0,CONCATENATE("0x",(DEC2HEX(IF(I517&lt;&gt;"",VLOOKUP(I517,Notes!$A$2:$B$37,2,FALSE)*1024,0) + J517*16 + IF(K517="",7,K517)*2 + IF(L517&gt;0, 1, 0))),","),"")</f>
        <v/>
      </c>
      <c r="Y517" s="21" t="str">
        <f>IF(Q517&gt;0,CONCATENATE("0x",(DEC2HEX(IF(P517&lt;&gt;"",VLOOKUP(P517,Notes!$A$2:$B$37,2,FALSE)*1024,0) + Q517*16 + IF(R517="",7,R517)*2 + IF(S517&gt;0, 1, 0))),","),"")</f>
        <v/>
      </c>
    </row>
    <row r="518" spans="1:25" x14ac:dyDescent="0.25">
      <c r="F518" s="18">
        <f t="shared" si="48"/>
        <v>0</v>
      </c>
      <c r="G518" s="1" t="str">
        <f t="shared" si="51"/>
        <v/>
      </c>
      <c r="M518" s="18">
        <f t="shared" si="49"/>
        <v>0</v>
      </c>
      <c r="N518" s="1" t="str">
        <f t="shared" si="52"/>
        <v/>
      </c>
      <c r="T518" s="18">
        <f t="shared" si="50"/>
        <v>0</v>
      </c>
      <c r="U518" s="1" t="str">
        <f t="shared" si="53"/>
        <v/>
      </c>
      <c r="W518" s="21" t="str">
        <f>IF(C518&gt;0,CONCATENATE("0x",(DEC2HEX(IF(B518&lt;&gt;"",VLOOKUP(B518,Notes!$A$2:$B$37,2,FALSE)*1024,0) + C518*16 + IF(D518="",7,D518)*2 + IF(E518&gt;0, 1, 0))),","),"")</f>
        <v/>
      </c>
      <c r="X518" s="21" t="str">
        <f>IF(J518&gt;0,CONCATENATE("0x",(DEC2HEX(IF(I518&lt;&gt;"",VLOOKUP(I518,Notes!$A$2:$B$37,2,FALSE)*1024,0) + J518*16 + IF(K518="",7,K518)*2 + IF(L518&gt;0, 1, 0))),","),"")</f>
        <v/>
      </c>
      <c r="Y518" s="21" t="str">
        <f>IF(Q518&gt;0,CONCATENATE("0x",(DEC2HEX(IF(P518&lt;&gt;"",VLOOKUP(P518,Notes!$A$2:$B$37,2,FALSE)*1024,0) + Q518*16 + IF(R518="",7,R518)*2 + IF(S518&gt;0, 1, 0))),","),"")</f>
        <v/>
      </c>
    </row>
    <row r="519" spans="1:25" x14ac:dyDescent="0.25">
      <c r="F519" s="18">
        <f t="shared" si="48"/>
        <v>0</v>
      </c>
      <c r="G519" s="1" t="str">
        <f t="shared" si="51"/>
        <v/>
      </c>
      <c r="M519" s="18">
        <f t="shared" si="49"/>
        <v>0</v>
      </c>
      <c r="N519" s="1" t="str">
        <f t="shared" si="52"/>
        <v/>
      </c>
      <c r="T519" s="18">
        <f t="shared" si="50"/>
        <v>0</v>
      </c>
      <c r="U519" s="1" t="str">
        <f t="shared" si="53"/>
        <v/>
      </c>
      <c r="W519" s="21" t="str">
        <f>IF(C519&gt;0,CONCATENATE("0x",(DEC2HEX(IF(B519&lt;&gt;"",VLOOKUP(B519,Notes!$A$2:$B$37,2,FALSE)*1024,0) + C519*16 + IF(D519="",7,D519)*2 + IF(E519&gt;0, 1, 0))),","),"")</f>
        <v/>
      </c>
      <c r="X519" s="21" t="str">
        <f>IF(J519&gt;0,CONCATENATE("0x",(DEC2HEX(IF(I519&lt;&gt;"",VLOOKUP(I519,Notes!$A$2:$B$37,2,FALSE)*1024,0) + J519*16 + IF(K519="",7,K519)*2 + IF(L519&gt;0, 1, 0))),","),"")</f>
        <v/>
      </c>
      <c r="Y519" s="21" t="str">
        <f>IF(Q519&gt;0,CONCATENATE("0x",(DEC2HEX(IF(P519&lt;&gt;"",VLOOKUP(P519,Notes!$A$2:$B$37,2,FALSE)*1024,0) + Q519*16 + IF(R519="",7,R519)*2 + IF(S519&gt;0, 1, 0))),","),"")</f>
        <v/>
      </c>
    </row>
    <row r="520" spans="1:25" x14ac:dyDescent="0.25">
      <c r="F520" s="18">
        <f t="shared" si="48"/>
        <v>0</v>
      </c>
      <c r="G520" s="1" t="str">
        <f t="shared" si="51"/>
        <v/>
      </c>
      <c r="M520" s="18">
        <f t="shared" si="49"/>
        <v>0</v>
      </c>
      <c r="N520" s="1" t="str">
        <f t="shared" si="52"/>
        <v/>
      </c>
      <c r="T520" s="18">
        <f t="shared" si="50"/>
        <v>0</v>
      </c>
      <c r="U520" s="1" t="str">
        <f t="shared" si="53"/>
        <v/>
      </c>
      <c r="W520" s="21" t="str">
        <f>IF(C520&gt;0,CONCATENATE("0x",(DEC2HEX(IF(B520&lt;&gt;"",VLOOKUP(B520,Notes!$A$2:$B$37,2,FALSE)*1024,0) + C520*16 + IF(D520="",7,D520)*2 + IF(E520&gt;0, 1, 0))),","),"")</f>
        <v/>
      </c>
      <c r="X520" s="21" t="str">
        <f>IF(J520&gt;0,CONCATENATE("0x",(DEC2HEX(IF(I520&lt;&gt;"",VLOOKUP(I520,Notes!$A$2:$B$37,2,FALSE)*1024,0) + J520*16 + IF(K520="",7,K520)*2 + IF(L520&gt;0, 1, 0))),","),"")</f>
        <v/>
      </c>
      <c r="Y520" s="21" t="str">
        <f>IF(Q520&gt;0,CONCATENATE("0x",(DEC2HEX(IF(P520&lt;&gt;"",VLOOKUP(P520,Notes!$A$2:$B$37,2,FALSE)*1024,0) + Q520*16 + IF(R520="",7,R520)*2 + IF(S520&gt;0, 1, 0))),","),"")</f>
        <v/>
      </c>
    </row>
    <row r="521" spans="1:25" x14ac:dyDescent="0.25">
      <c r="B521" s="12"/>
      <c r="C521" s="13"/>
      <c r="D521" s="13"/>
      <c r="E521" s="14"/>
      <c r="F521" s="18">
        <f t="shared" si="48"/>
        <v>0</v>
      </c>
      <c r="G521" s="1" t="str">
        <f t="shared" si="51"/>
        <v/>
      </c>
      <c r="I521" s="12"/>
      <c r="J521" s="13"/>
      <c r="K521" s="13"/>
      <c r="L521" s="14"/>
      <c r="M521" s="18">
        <f t="shared" si="49"/>
        <v>0</v>
      </c>
      <c r="N521" s="1" t="str">
        <f t="shared" si="52"/>
        <v/>
      </c>
      <c r="P521" s="12"/>
      <c r="Q521" s="13"/>
      <c r="R521" s="13"/>
      <c r="S521" s="14"/>
      <c r="T521" s="18">
        <f t="shared" si="50"/>
        <v>0</v>
      </c>
      <c r="U521" s="1" t="str">
        <f t="shared" si="53"/>
        <v/>
      </c>
      <c r="W521" s="21" t="str">
        <f>IF(C521&gt;0,CONCATENATE("0x",(DEC2HEX(IF(B521&lt;&gt;"",VLOOKUP(B521,Notes!$A$2:$B$37,2,FALSE)*1024,0) + C521*16 + IF(D521="",7,D521)*2 + IF(E521&gt;0, 1, 0))),","),"")</f>
        <v/>
      </c>
      <c r="X521" s="21" t="str">
        <f>IF(J521&gt;0,CONCATENATE("0x",(DEC2HEX(IF(I521&lt;&gt;"",VLOOKUP(I521,Notes!$A$2:$B$37,2,FALSE)*1024,0) + J521*16 + IF(K521="",7,K521)*2 + IF(L521&gt;0, 1, 0))),","),"")</f>
        <v/>
      </c>
      <c r="Y521" s="21" t="str">
        <f>IF(Q521&gt;0,CONCATENATE("0x",(DEC2HEX(IF(P521&lt;&gt;"",VLOOKUP(P521,Notes!$A$2:$B$37,2,FALSE)*1024,0) + Q521*16 + IF(R521="",7,R521)*2 + IF(S521&gt;0, 1, 0))),","),"")</f>
        <v/>
      </c>
    </row>
    <row r="522" spans="1:25" x14ac:dyDescent="0.25">
      <c r="F522" s="18">
        <f t="shared" si="48"/>
        <v>0</v>
      </c>
      <c r="G522" s="1" t="str">
        <f t="shared" si="51"/>
        <v/>
      </c>
      <c r="M522" s="18">
        <f t="shared" si="49"/>
        <v>0</v>
      </c>
      <c r="N522" s="1" t="str">
        <f t="shared" si="52"/>
        <v/>
      </c>
      <c r="T522" s="18">
        <f t="shared" si="50"/>
        <v>0</v>
      </c>
      <c r="U522" s="1" t="str">
        <f t="shared" si="53"/>
        <v/>
      </c>
      <c r="W522" s="21" t="str">
        <f>IF(C522&gt;0,CONCATENATE("0x",(DEC2HEX(IF(B522&lt;&gt;"",VLOOKUP(B522,Notes!$A$2:$B$37,2,FALSE)*1024,0) + C522*16 + IF(D522="",7,D522)*2 + IF(E522&gt;0, 1, 0))),","),"")</f>
        <v/>
      </c>
      <c r="X522" s="21" t="str">
        <f>IF(J522&gt;0,CONCATENATE("0x",(DEC2HEX(IF(I522&lt;&gt;"",VLOOKUP(I522,Notes!$A$2:$B$37,2,FALSE)*1024,0) + J522*16 + IF(K522="",7,K522)*2 + IF(L522&gt;0, 1, 0))),","),"")</f>
        <v/>
      </c>
      <c r="Y522" s="21" t="str">
        <f>IF(Q522&gt;0,CONCATENATE("0x",(DEC2HEX(IF(P522&lt;&gt;"",VLOOKUP(P522,Notes!$A$2:$B$37,2,FALSE)*1024,0) + Q522*16 + IF(R522="",7,R522)*2 + IF(S522&gt;0, 1, 0))),","),"")</f>
        <v/>
      </c>
    </row>
    <row r="523" spans="1:25" x14ac:dyDescent="0.25">
      <c r="F523" s="18">
        <f t="shared" si="48"/>
        <v>0</v>
      </c>
      <c r="G523" s="1" t="str">
        <f t="shared" si="51"/>
        <v/>
      </c>
      <c r="M523" s="18">
        <f t="shared" si="49"/>
        <v>0</v>
      </c>
      <c r="N523" s="1" t="str">
        <f t="shared" si="52"/>
        <v/>
      </c>
      <c r="T523" s="18">
        <f t="shared" si="50"/>
        <v>0</v>
      </c>
      <c r="U523" s="1" t="str">
        <f t="shared" si="53"/>
        <v/>
      </c>
      <c r="W523" s="21" t="str">
        <f>IF(C523&gt;0,CONCATENATE("0x",(DEC2HEX(IF(B523&lt;&gt;"",VLOOKUP(B523,Notes!$A$2:$B$37,2,FALSE)*1024,0) + C523*16 + IF(D523="",7,D523)*2 + IF(E523&gt;0, 1, 0))),","),"")</f>
        <v/>
      </c>
      <c r="X523" s="21" t="str">
        <f>IF(J523&gt;0,CONCATENATE("0x",(DEC2HEX(IF(I523&lt;&gt;"",VLOOKUP(I523,Notes!$A$2:$B$37,2,FALSE)*1024,0) + J523*16 + IF(K523="",7,K523)*2 + IF(L523&gt;0, 1, 0))),","),"")</f>
        <v/>
      </c>
      <c r="Y523" s="21" t="str">
        <f>IF(Q523&gt;0,CONCATENATE("0x",(DEC2HEX(IF(P523&lt;&gt;"",VLOOKUP(P523,Notes!$A$2:$B$37,2,FALSE)*1024,0) + Q523*16 + IF(R523="",7,R523)*2 + IF(S523&gt;0, 1, 0))),","),"")</f>
        <v/>
      </c>
    </row>
    <row r="524" spans="1:25" x14ac:dyDescent="0.25">
      <c r="F524" s="18">
        <f t="shared" si="48"/>
        <v>0</v>
      </c>
      <c r="G524" s="1" t="str">
        <f t="shared" si="51"/>
        <v/>
      </c>
      <c r="M524" s="18">
        <f t="shared" si="49"/>
        <v>0</v>
      </c>
      <c r="N524" s="1" t="str">
        <f t="shared" si="52"/>
        <v/>
      </c>
      <c r="T524" s="18">
        <f t="shared" si="50"/>
        <v>0</v>
      </c>
      <c r="U524" s="1" t="str">
        <f t="shared" si="53"/>
        <v/>
      </c>
      <c r="W524" s="21" t="str">
        <f>IF(C524&gt;0,CONCATENATE("0x",(DEC2HEX(IF(B524&lt;&gt;"",VLOOKUP(B524,Notes!$A$2:$B$37,2,FALSE)*1024,0) + C524*16 + IF(D524="",7,D524)*2 + IF(E524&gt;0, 1, 0))),","),"")</f>
        <v/>
      </c>
      <c r="X524" s="21" t="str">
        <f>IF(J524&gt;0,CONCATENATE("0x",(DEC2HEX(IF(I524&lt;&gt;"",VLOOKUP(I524,Notes!$A$2:$B$37,2,FALSE)*1024,0) + J524*16 + IF(K524="",7,K524)*2 + IF(L524&gt;0, 1, 0))),","),"")</f>
        <v/>
      </c>
      <c r="Y524" s="21" t="str">
        <f>IF(Q524&gt;0,CONCATENATE("0x",(DEC2HEX(IF(P524&lt;&gt;"",VLOOKUP(P524,Notes!$A$2:$B$37,2,FALSE)*1024,0) + Q524*16 + IF(R524="",7,R524)*2 + IF(S524&gt;0, 1, 0))),","),"")</f>
        <v/>
      </c>
    </row>
    <row r="525" spans="1:25" x14ac:dyDescent="0.25">
      <c r="F525" s="18">
        <f t="shared" si="48"/>
        <v>0</v>
      </c>
      <c r="G525" s="1" t="str">
        <f t="shared" si="51"/>
        <v/>
      </c>
      <c r="M525" s="18">
        <f t="shared" si="49"/>
        <v>0</v>
      </c>
      <c r="N525" s="1" t="str">
        <f t="shared" si="52"/>
        <v/>
      </c>
      <c r="T525" s="18">
        <f t="shared" si="50"/>
        <v>0</v>
      </c>
      <c r="U525" s="1" t="str">
        <f t="shared" si="53"/>
        <v/>
      </c>
      <c r="W525" s="21" t="str">
        <f>IF(C525&gt;0,CONCATENATE("0x",(DEC2HEX(IF(B525&lt;&gt;"",VLOOKUP(B525,Notes!$A$2:$B$37,2,FALSE)*1024,0) + C525*16 + IF(D525="",7,D525)*2 + IF(E525&gt;0, 1, 0))),","),"")</f>
        <v/>
      </c>
      <c r="X525" s="21" t="str">
        <f>IF(J525&gt;0,CONCATENATE("0x",(DEC2HEX(IF(I525&lt;&gt;"",VLOOKUP(I525,Notes!$A$2:$B$37,2,FALSE)*1024,0) + J525*16 + IF(K525="",7,K525)*2 + IF(L525&gt;0, 1, 0))),","),"")</f>
        <v/>
      </c>
      <c r="Y525" s="21" t="str">
        <f>IF(Q525&gt;0,CONCATENATE("0x",(DEC2HEX(IF(P525&lt;&gt;"",VLOOKUP(P525,Notes!$A$2:$B$37,2,FALSE)*1024,0) + Q525*16 + IF(R525="",7,R525)*2 + IF(S525&gt;0, 1, 0))),","),"")</f>
        <v/>
      </c>
    </row>
    <row r="526" spans="1:25" x14ac:dyDescent="0.25">
      <c r="F526" s="18">
        <f t="shared" si="48"/>
        <v>0</v>
      </c>
      <c r="G526" s="1" t="str">
        <f t="shared" si="51"/>
        <v/>
      </c>
      <c r="M526" s="18">
        <f t="shared" si="49"/>
        <v>0</v>
      </c>
      <c r="N526" s="1" t="str">
        <f t="shared" si="52"/>
        <v/>
      </c>
      <c r="T526" s="18">
        <f t="shared" si="50"/>
        <v>0</v>
      </c>
      <c r="U526" s="1" t="str">
        <f t="shared" si="53"/>
        <v/>
      </c>
      <c r="W526" s="21" t="str">
        <f>IF(C526&gt;0,CONCATENATE("0x",(DEC2HEX(IF(B526&lt;&gt;"",VLOOKUP(B526,Notes!$A$2:$B$37,2,FALSE)*1024,0) + C526*16 + IF(D526="",7,D526)*2 + IF(E526&gt;0, 1, 0))),","),"")</f>
        <v/>
      </c>
      <c r="X526" s="21" t="str">
        <f>IF(J526&gt;0,CONCATENATE("0x",(DEC2HEX(IF(I526&lt;&gt;"",VLOOKUP(I526,Notes!$A$2:$B$37,2,FALSE)*1024,0) + J526*16 + IF(K526="",7,K526)*2 + IF(L526&gt;0, 1, 0))),","),"")</f>
        <v/>
      </c>
      <c r="Y526" s="21" t="str">
        <f>IF(Q526&gt;0,CONCATENATE("0x",(DEC2HEX(IF(P526&lt;&gt;"",VLOOKUP(P526,Notes!$A$2:$B$37,2,FALSE)*1024,0) + Q526*16 + IF(R526="",7,R526)*2 + IF(S526&gt;0, 1, 0))),","),"")</f>
        <v/>
      </c>
    </row>
    <row r="527" spans="1:25" x14ac:dyDescent="0.25">
      <c r="F527" s="18">
        <f t="shared" si="48"/>
        <v>0</v>
      </c>
      <c r="G527" s="1" t="str">
        <f t="shared" si="51"/>
        <v/>
      </c>
      <c r="M527" s="18">
        <f t="shared" si="49"/>
        <v>0</v>
      </c>
      <c r="N527" s="1" t="str">
        <f t="shared" si="52"/>
        <v/>
      </c>
      <c r="T527" s="18">
        <f t="shared" si="50"/>
        <v>0</v>
      </c>
      <c r="U527" s="1" t="str">
        <f t="shared" si="53"/>
        <v/>
      </c>
      <c r="W527" s="21" t="str">
        <f>IF(C527&gt;0,CONCATENATE("0x",(DEC2HEX(IF(B527&lt;&gt;"",VLOOKUP(B527,Notes!$A$2:$B$37,2,FALSE)*1024,0) + C527*16 + IF(D527="",7,D527)*2 + IF(E527&gt;0, 1, 0))),","),"")</f>
        <v/>
      </c>
      <c r="X527" s="21" t="str">
        <f>IF(J527&gt;0,CONCATENATE("0x",(DEC2HEX(IF(I527&lt;&gt;"",VLOOKUP(I527,Notes!$A$2:$B$37,2,FALSE)*1024,0) + J527*16 + IF(K527="",7,K527)*2 + IF(L527&gt;0, 1, 0))),","),"")</f>
        <v/>
      </c>
      <c r="Y527" s="21" t="str">
        <f>IF(Q527&gt;0,CONCATENATE("0x",(DEC2HEX(IF(P527&lt;&gt;"",VLOOKUP(P527,Notes!$A$2:$B$37,2,FALSE)*1024,0) + Q527*16 + IF(R527="",7,R527)*2 + IF(S527&gt;0, 1, 0))),","),"")</f>
        <v/>
      </c>
    </row>
    <row r="528" spans="1:25" x14ac:dyDescent="0.25">
      <c r="F528" s="18">
        <f t="shared" si="48"/>
        <v>0</v>
      </c>
      <c r="G528" s="1" t="str">
        <f t="shared" si="51"/>
        <v/>
      </c>
      <c r="M528" s="18">
        <f t="shared" si="49"/>
        <v>0</v>
      </c>
      <c r="N528" s="1" t="str">
        <f t="shared" si="52"/>
        <v/>
      </c>
      <c r="T528" s="18">
        <f t="shared" si="50"/>
        <v>0</v>
      </c>
      <c r="U528" s="1" t="str">
        <f t="shared" si="53"/>
        <v/>
      </c>
      <c r="W528" s="21" t="str">
        <f>IF(C528&gt;0,CONCATENATE("0x",(DEC2HEX(IF(B528&lt;&gt;"",VLOOKUP(B528,Notes!$A$2:$B$37,2,FALSE)*1024,0) + C528*16 + IF(D528="",7,D528)*2 + IF(E528&gt;0, 1, 0))),","),"")</f>
        <v/>
      </c>
      <c r="X528" s="21" t="str">
        <f>IF(J528&gt;0,CONCATENATE("0x",(DEC2HEX(IF(I528&lt;&gt;"",VLOOKUP(I528,Notes!$A$2:$B$37,2,FALSE)*1024,0) + J528*16 + IF(K528="",7,K528)*2 + IF(L528&gt;0, 1, 0))),","),"")</f>
        <v/>
      </c>
      <c r="Y528" s="21" t="str">
        <f>IF(Q528&gt;0,CONCATENATE("0x",(DEC2HEX(IF(P528&lt;&gt;"",VLOOKUP(P528,Notes!$A$2:$B$37,2,FALSE)*1024,0) + Q528*16 + IF(R528="",7,R528)*2 + IF(S528&gt;0, 1, 0))),","),"")</f>
        <v/>
      </c>
    </row>
    <row r="529" spans="2:25" x14ac:dyDescent="0.25">
      <c r="B529" s="12"/>
      <c r="C529" s="13"/>
      <c r="D529" s="13"/>
      <c r="E529" s="14"/>
      <c r="F529" s="18">
        <f t="shared" si="48"/>
        <v>0</v>
      </c>
      <c r="G529" s="1" t="str">
        <f t="shared" si="51"/>
        <v/>
      </c>
      <c r="I529" s="12"/>
      <c r="J529" s="13"/>
      <c r="K529" s="13"/>
      <c r="L529" s="14"/>
      <c r="M529" s="18">
        <f t="shared" si="49"/>
        <v>0</v>
      </c>
      <c r="N529" s="1" t="str">
        <f t="shared" si="52"/>
        <v/>
      </c>
      <c r="P529" s="12"/>
      <c r="Q529" s="13"/>
      <c r="R529" s="13"/>
      <c r="S529" s="14"/>
      <c r="T529" s="18">
        <f t="shared" si="50"/>
        <v>0</v>
      </c>
      <c r="U529" s="1" t="str">
        <f t="shared" si="53"/>
        <v/>
      </c>
      <c r="W529" s="21" t="str">
        <f>IF(C529&gt;0,CONCATENATE("0x",(DEC2HEX(IF(B529&lt;&gt;"",VLOOKUP(B529,Notes!$A$2:$B$37,2,FALSE)*1024,0) + C529*16 + IF(D529="",7,D529)*2 + IF(E529&gt;0, 1, 0))),","),"")</f>
        <v/>
      </c>
      <c r="X529" s="21" t="str">
        <f>IF(J529&gt;0,CONCATENATE("0x",(DEC2HEX(IF(I529&lt;&gt;"",VLOOKUP(I529,Notes!$A$2:$B$37,2,FALSE)*1024,0) + J529*16 + IF(K529="",7,K529)*2 + IF(L529&gt;0, 1, 0))),","),"")</f>
        <v/>
      </c>
      <c r="Y529" s="21" t="str">
        <f>IF(Q529&gt;0,CONCATENATE("0x",(DEC2HEX(IF(P529&lt;&gt;"",VLOOKUP(P529,Notes!$A$2:$B$37,2,FALSE)*1024,0) + Q529*16 + IF(R529="",7,R529)*2 + IF(S529&gt;0, 1, 0))),","),"")</f>
        <v/>
      </c>
    </row>
    <row r="530" spans="2:25" x14ac:dyDescent="0.25">
      <c r="F530" s="18">
        <f t="shared" si="48"/>
        <v>0</v>
      </c>
      <c r="G530" s="1" t="str">
        <f t="shared" si="51"/>
        <v/>
      </c>
      <c r="M530" s="18">
        <f t="shared" si="49"/>
        <v>0</v>
      </c>
      <c r="N530" s="1" t="str">
        <f t="shared" si="52"/>
        <v/>
      </c>
      <c r="T530" s="18">
        <f t="shared" si="50"/>
        <v>0</v>
      </c>
      <c r="U530" s="1" t="str">
        <f t="shared" si="53"/>
        <v/>
      </c>
      <c r="W530" s="21" t="str">
        <f>IF(C530&gt;0,CONCATENATE("0x",(DEC2HEX(IF(B530&lt;&gt;"",VLOOKUP(B530,Notes!$A$2:$B$37,2,FALSE)*1024,0) + C530*16 + IF(D530="",7,D530)*2 + IF(E530&gt;0, 1, 0))),","),"")</f>
        <v/>
      </c>
      <c r="X530" s="21" t="str">
        <f>IF(J530&gt;0,CONCATENATE("0x",(DEC2HEX(IF(I530&lt;&gt;"",VLOOKUP(I530,Notes!$A$2:$B$37,2,FALSE)*1024,0) + J530*16 + IF(K530="",7,K530)*2 + IF(L530&gt;0, 1, 0))),","),"")</f>
        <v/>
      </c>
      <c r="Y530" s="21" t="str">
        <f>IF(Q530&gt;0,CONCATENATE("0x",(DEC2HEX(IF(P530&lt;&gt;"",VLOOKUP(P530,Notes!$A$2:$B$37,2,FALSE)*1024,0) + Q530*16 + IF(R530="",7,R530)*2 + IF(S530&gt;0, 1, 0))),","),"")</f>
        <v/>
      </c>
    </row>
    <row r="531" spans="2:25" x14ac:dyDescent="0.25">
      <c r="F531" s="18">
        <f t="shared" si="48"/>
        <v>0</v>
      </c>
      <c r="G531" s="1" t="str">
        <f t="shared" si="51"/>
        <v/>
      </c>
      <c r="M531" s="18">
        <f t="shared" si="49"/>
        <v>0</v>
      </c>
      <c r="N531" s="1" t="str">
        <f t="shared" si="52"/>
        <v/>
      </c>
      <c r="T531" s="18">
        <f t="shared" si="50"/>
        <v>0</v>
      </c>
      <c r="U531" s="1" t="str">
        <f t="shared" si="53"/>
        <v/>
      </c>
      <c r="W531" s="21" t="str">
        <f>IF(C531&gt;0,CONCATENATE("0x",(DEC2HEX(IF(B531&lt;&gt;"",VLOOKUP(B531,Notes!$A$2:$B$37,2,FALSE)*1024,0) + C531*16 + IF(D531="",7,D531)*2 + IF(E531&gt;0, 1, 0))),","),"")</f>
        <v/>
      </c>
      <c r="X531" s="21" t="str">
        <f>IF(J531&gt;0,CONCATENATE("0x",(DEC2HEX(IF(I531&lt;&gt;"",VLOOKUP(I531,Notes!$A$2:$B$37,2,FALSE)*1024,0) + J531*16 + IF(K531="",7,K531)*2 + IF(L531&gt;0, 1, 0))),","),"")</f>
        <v/>
      </c>
      <c r="Y531" s="21" t="str">
        <f>IF(Q531&gt;0,CONCATENATE("0x",(DEC2HEX(IF(P531&lt;&gt;"",VLOOKUP(P531,Notes!$A$2:$B$37,2,FALSE)*1024,0) + Q531*16 + IF(R531="",7,R531)*2 + IF(S531&gt;0, 1, 0))),","),"")</f>
        <v/>
      </c>
    </row>
    <row r="532" spans="2:25" x14ac:dyDescent="0.25">
      <c r="F532" s="18">
        <f t="shared" si="48"/>
        <v>0</v>
      </c>
      <c r="G532" s="1" t="str">
        <f t="shared" si="51"/>
        <v/>
      </c>
      <c r="M532" s="18">
        <f t="shared" si="49"/>
        <v>0</v>
      </c>
      <c r="N532" s="1" t="str">
        <f t="shared" si="52"/>
        <v/>
      </c>
      <c r="T532" s="18">
        <f t="shared" si="50"/>
        <v>0</v>
      </c>
      <c r="U532" s="1" t="str">
        <f t="shared" si="53"/>
        <v/>
      </c>
      <c r="W532" s="21" t="str">
        <f>IF(C532&gt;0,CONCATENATE("0x",(DEC2HEX(IF(B532&lt;&gt;"",VLOOKUP(B532,Notes!$A$2:$B$37,2,FALSE)*1024,0) + C532*16 + IF(D532="",7,D532)*2 + IF(E532&gt;0, 1, 0))),","),"")</f>
        <v/>
      </c>
      <c r="X532" s="21" t="str">
        <f>IF(J532&gt;0,CONCATENATE("0x",(DEC2HEX(IF(I532&lt;&gt;"",VLOOKUP(I532,Notes!$A$2:$B$37,2,FALSE)*1024,0) + J532*16 + IF(K532="",7,K532)*2 + IF(L532&gt;0, 1, 0))),","),"")</f>
        <v/>
      </c>
      <c r="Y532" s="21" t="str">
        <f>IF(Q532&gt;0,CONCATENATE("0x",(DEC2HEX(IF(P532&lt;&gt;"",VLOOKUP(P532,Notes!$A$2:$B$37,2,FALSE)*1024,0) + Q532*16 + IF(R532="",7,R532)*2 + IF(S532&gt;0, 1, 0))),","),"")</f>
        <v/>
      </c>
    </row>
    <row r="533" spans="2:25" x14ac:dyDescent="0.25">
      <c r="F533" s="18">
        <f t="shared" si="48"/>
        <v>0</v>
      </c>
      <c r="G533" s="1" t="str">
        <f t="shared" si="51"/>
        <v/>
      </c>
      <c r="M533" s="18">
        <f t="shared" si="49"/>
        <v>0</v>
      </c>
      <c r="N533" s="1" t="str">
        <f t="shared" si="52"/>
        <v/>
      </c>
      <c r="T533" s="18">
        <f t="shared" si="50"/>
        <v>0</v>
      </c>
      <c r="U533" s="1" t="str">
        <f t="shared" si="53"/>
        <v/>
      </c>
      <c r="W533" s="21" t="str">
        <f>IF(C533&gt;0,CONCATENATE("0x",(DEC2HEX(IF(B533&lt;&gt;"",VLOOKUP(B533,Notes!$A$2:$B$37,2,FALSE)*1024,0) + C533*16 + IF(D533="",7,D533)*2 + IF(E533&gt;0, 1, 0))),","),"")</f>
        <v/>
      </c>
      <c r="X533" s="21" t="str">
        <f>IF(J533&gt;0,CONCATENATE("0x",(DEC2HEX(IF(I533&lt;&gt;"",VLOOKUP(I533,Notes!$A$2:$B$37,2,FALSE)*1024,0) + J533*16 + IF(K533="",7,K533)*2 + IF(L533&gt;0, 1, 0))),","),"")</f>
        <v/>
      </c>
      <c r="Y533" s="21" t="str">
        <f>IF(Q533&gt;0,CONCATENATE("0x",(DEC2HEX(IF(P533&lt;&gt;"",VLOOKUP(P533,Notes!$A$2:$B$37,2,FALSE)*1024,0) + Q533*16 + IF(R533="",7,R533)*2 + IF(S533&gt;0, 1, 0))),","),"")</f>
        <v/>
      </c>
    </row>
    <row r="534" spans="2:25" x14ac:dyDescent="0.25">
      <c r="F534" s="18">
        <f t="shared" si="48"/>
        <v>0</v>
      </c>
      <c r="G534" s="1" t="str">
        <f t="shared" si="51"/>
        <v/>
      </c>
      <c r="M534" s="18">
        <f t="shared" si="49"/>
        <v>0</v>
      </c>
      <c r="N534" s="1" t="str">
        <f t="shared" si="52"/>
        <v/>
      </c>
      <c r="T534" s="18">
        <f t="shared" si="50"/>
        <v>0</v>
      </c>
      <c r="U534" s="1" t="str">
        <f t="shared" si="53"/>
        <v/>
      </c>
      <c r="W534" s="21" t="str">
        <f>IF(C534&gt;0,CONCATENATE("0x",(DEC2HEX(IF(B534&lt;&gt;"",VLOOKUP(B534,Notes!$A$2:$B$37,2,FALSE)*1024,0) + C534*16 + IF(D534="",7,D534)*2 + IF(E534&gt;0, 1, 0))),","),"")</f>
        <v/>
      </c>
      <c r="X534" s="21" t="str">
        <f>IF(J534&gt;0,CONCATENATE("0x",(DEC2HEX(IF(I534&lt;&gt;"",VLOOKUP(I534,Notes!$A$2:$B$37,2,FALSE)*1024,0) + J534*16 + IF(K534="",7,K534)*2 + IF(L534&gt;0, 1, 0))),","),"")</f>
        <v/>
      </c>
      <c r="Y534" s="21" t="str">
        <f>IF(Q534&gt;0,CONCATENATE("0x",(DEC2HEX(IF(P534&lt;&gt;"",VLOOKUP(P534,Notes!$A$2:$B$37,2,FALSE)*1024,0) + Q534*16 + IF(R534="",7,R534)*2 + IF(S534&gt;0, 1, 0))),","),"")</f>
        <v/>
      </c>
    </row>
    <row r="535" spans="2:25" x14ac:dyDescent="0.25">
      <c r="F535" s="18">
        <f t="shared" si="48"/>
        <v>0</v>
      </c>
      <c r="G535" s="1" t="str">
        <f t="shared" si="51"/>
        <v/>
      </c>
      <c r="M535" s="18">
        <f t="shared" si="49"/>
        <v>0</v>
      </c>
      <c r="N535" s="1" t="str">
        <f t="shared" si="52"/>
        <v/>
      </c>
      <c r="T535" s="18">
        <f t="shared" si="50"/>
        <v>0</v>
      </c>
      <c r="U535" s="1" t="str">
        <f t="shared" si="53"/>
        <v/>
      </c>
      <c r="W535" s="21" t="str">
        <f>IF(C535&gt;0,CONCATENATE("0x",(DEC2HEX(IF(B535&lt;&gt;"",VLOOKUP(B535,Notes!$A$2:$B$37,2,FALSE)*1024,0) + C535*16 + IF(D535="",7,D535)*2 + IF(E535&gt;0, 1, 0))),","),"")</f>
        <v/>
      </c>
      <c r="X535" s="21" t="str">
        <f>IF(J535&gt;0,CONCATENATE("0x",(DEC2HEX(IF(I535&lt;&gt;"",VLOOKUP(I535,Notes!$A$2:$B$37,2,FALSE)*1024,0) + J535*16 + IF(K535="",7,K535)*2 + IF(L535&gt;0, 1, 0))),","),"")</f>
        <v/>
      </c>
      <c r="Y535" s="21" t="str">
        <f>IF(Q535&gt;0,CONCATENATE("0x",(DEC2HEX(IF(P535&lt;&gt;"",VLOOKUP(P535,Notes!$A$2:$B$37,2,FALSE)*1024,0) + Q535*16 + IF(R535="",7,R535)*2 + IF(S535&gt;0, 1, 0))),","),"")</f>
        <v/>
      </c>
    </row>
    <row r="536" spans="2:25" x14ac:dyDescent="0.25">
      <c r="F536" s="18">
        <f t="shared" si="48"/>
        <v>0</v>
      </c>
      <c r="G536" s="1" t="str">
        <f t="shared" si="51"/>
        <v/>
      </c>
      <c r="M536" s="18">
        <f t="shared" si="49"/>
        <v>0</v>
      </c>
      <c r="N536" s="1" t="str">
        <f t="shared" si="52"/>
        <v/>
      </c>
      <c r="T536" s="18">
        <f t="shared" si="50"/>
        <v>0</v>
      </c>
      <c r="U536" s="1" t="str">
        <f t="shared" si="53"/>
        <v/>
      </c>
      <c r="W536" s="21" t="str">
        <f>IF(C536&gt;0,CONCATENATE("0x",(DEC2HEX(IF(B536&lt;&gt;"",VLOOKUP(B536,Notes!$A$2:$B$37,2,FALSE)*1024,0) + C536*16 + IF(D536="",7,D536)*2 + IF(E536&gt;0, 1, 0))),","),"")</f>
        <v/>
      </c>
      <c r="X536" s="21" t="str">
        <f>IF(J536&gt;0,CONCATENATE("0x",(DEC2HEX(IF(I536&lt;&gt;"",VLOOKUP(I536,Notes!$A$2:$B$37,2,FALSE)*1024,0) + J536*16 + IF(K536="",7,K536)*2 + IF(L536&gt;0, 1, 0))),","),"")</f>
        <v/>
      </c>
      <c r="Y536" s="21" t="str">
        <f>IF(Q536&gt;0,CONCATENATE("0x",(DEC2HEX(IF(P536&lt;&gt;"",VLOOKUP(P536,Notes!$A$2:$B$37,2,FALSE)*1024,0) + Q536*16 + IF(R536="",7,R536)*2 + IF(S536&gt;0, 1, 0))),","),"")</f>
        <v/>
      </c>
    </row>
    <row r="537" spans="2:25" x14ac:dyDescent="0.25">
      <c r="B537" s="12"/>
      <c r="C537" s="13"/>
      <c r="D537" s="13"/>
      <c r="E537" s="14"/>
      <c r="F537" s="18">
        <f t="shared" si="48"/>
        <v>0</v>
      </c>
      <c r="G537" s="1" t="str">
        <f t="shared" si="51"/>
        <v/>
      </c>
      <c r="I537" s="12"/>
      <c r="J537" s="13"/>
      <c r="K537" s="13"/>
      <c r="L537" s="14"/>
      <c r="M537" s="18">
        <f t="shared" si="49"/>
        <v>0</v>
      </c>
      <c r="N537" s="1" t="str">
        <f t="shared" si="52"/>
        <v/>
      </c>
      <c r="P537" s="12"/>
      <c r="Q537" s="13"/>
      <c r="R537" s="13"/>
      <c r="S537" s="14"/>
      <c r="T537" s="18">
        <f t="shared" si="50"/>
        <v>0</v>
      </c>
      <c r="U537" s="1" t="str">
        <f t="shared" si="53"/>
        <v/>
      </c>
      <c r="W537" s="21" t="str">
        <f>IF(C537&gt;0,CONCATENATE("0x",(DEC2HEX(IF(B537&lt;&gt;"",VLOOKUP(B537,Notes!$A$2:$B$37,2,FALSE)*1024,0) + C537*16 + IF(D537="",7,D537)*2 + IF(E537&gt;0, 1, 0))),","),"")</f>
        <v/>
      </c>
      <c r="X537" s="21" t="str">
        <f>IF(J537&gt;0,CONCATENATE("0x",(DEC2HEX(IF(I537&lt;&gt;"",VLOOKUP(I537,Notes!$A$2:$B$37,2,FALSE)*1024,0) + J537*16 + IF(K537="",7,K537)*2 + IF(L537&gt;0, 1, 0))),","),"")</f>
        <v/>
      </c>
      <c r="Y537" s="21" t="str">
        <f>IF(Q537&gt;0,CONCATENATE("0x",(DEC2HEX(IF(P537&lt;&gt;"",VLOOKUP(P537,Notes!$A$2:$B$37,2,FALSE)*1024,0) + Q537*16 + IF(R537="",7,R537)*2 + IF(S537&gt;0, 1, 0))),","),"")</f>
        <v/>
      </c>
    </row>
    <row r="538" spans="2:25" x14ac:dyDescent="0.25">
      <c r="F538" s="18">
        <f t="shared" si="48"/>
        <v>0</v>
      </c>
      <c r="G538" s="1" t="str">
        <f t="shared" si="51"/>
        <v/>
      </c>
      <c r="M538" s="18">
        <f t="shared" si="49"/>
        <v>0</v>
      </c>
      <c r="N538" s="1" t="str">
        <f t="shared" si="52"/>
        <v/>
      </c>
      <c r="T538" s="18">
        <f t="shared" si="50"/>
        <v>0</v>
      </c>
      <c r="U538" s="1" t="str">
        <f t="shared" si="53"/>
        <v/>
      </c>
      <c r="W538" s="21" t="str">
        <f>IF(C538&gt;0,CONCATENATE("0x",(DEC2HEX(IF(B538&lt;&gt;"",VLOOKUP(B538,Notes!$A$2:$B$37,2,FALSE)*1024,0) + C538*16 + IF(D538="",7,D538)*2 + IF(E538&gt;0, 1, 0))),","),"")</f>
        <v/>
      </c>
      <c r="X538" s="21" t="str">
        <f>IF(J538&gt;0,CONCATENATE("0x",(DEC2HEX(IF(I538&lt;&gt;"",VLOOKUP(I538,Notes!$A$2:$B$37,2,FALSE)*1024,0) + J538*16 + IF(K538="",7,K538)*2 + IF(L538&gt;0, 1, 0))),","),"")</f>
        <v/>
      </c>
      <c r="Y538" s="21" t="str">
        <f>IF(Q538&gt;0,CONCATENATE("0x",(DEC2HEX(IF(P538&lt;&gt;"",VLOOKUP(P538,Notes!$A$2:$B$37,2,FALSE)*1024,0) + Q538*16 + IF(R538="",7,R538)*2 + IF(S538&gt;0, 1, 0))),","),"")</f>
        <v/>
      </c>
    </row>
    <row r="539" spans="2:25" x14ac:dyDescent="0.25">
      <c r="F539" s="18">
        <f t="shared" si="48"/>
        <v>0</v>
      </c>
      <c r="G539" s="1" t="str">
        <f t="shared" si="51"/>
        <v/>
      </c>
      <c r="M539" s="18">
        <f t="shared" si="49"/>
        <v>0</v>
      </c>
      <c r="N539" s="1" t="str">
        <f t="shared" si="52"/>
        <v/>
      </c>
      <c r="T539" s="18">
        <f t="shared" si="50"/>
        <v>0</v>
      </c>
      <c r="U539" s="1" t="str">
        <f t="shared" si="53"/>
        <v/>
      </c>
      <c r="W539" s="21" t="str">
        <f>IF(C539&gt;0,CONCATENATE("0x",(DEC2HEX(IF(B539&lt;&gt;"",VLOOKUP(B539,Notes!$A$2:$B$37,2,FALSE)*1024,0) + C539*16 + IF(D539="",7,D539)*2 + IF(E539&gt;0, 1, 0))),","),"")</f>
        <v/>
      </c>
      <c r="X539" s="21" t="str">
        <f>IF(J539&gt;0,CONCATENATE("0x",(DEC2HEX(IF(I539&lt;&gt;"",VLOOKUP(I539,Notes!$A$2:$B$37,2,FALSE)*1024,0) + J539*16 + IF(K539="",7,K539)*2 + IF(L539&gt;0, 1, 0))),","),"")</f>
        <v/>
      </c>
      <c r="Y539" s="21" t="str">
        <f>IF(Q539&gt;0,CONCATENATE("0x",(DEC2HEX(IF(P539&lt;&gt;"",VLOOKUP(P539,Notes!$A$2:$B$37,2,FALSE)*1024,0) + Q539*16 + IF(R539="",7,R539)*2 + IF(S539&gt;0, 1, 0))),","),"")</f>
        <v/>
      </c>
    </row>
    <row r="540" spans="2:25" x14ac:dyDescent="0.25">
      <c r="F540" s="18">
        <f t="shared" si="48"/>
        <v>0</v>
      </c>
      <c r="G540" s="1" t="str">
        <f t="shared" si="51"/>
        <v/>
      </c>
      <c r="M540" s="18">
        <f t="shared" si="49"/>
        <v>0</v>
      </c>
      <c r="N540" s="1" t="str">
        <f t="shared" si="52"/>
        <v/>
      </c>
      <c r="T540" s="18">
        <f t="shared" si="50"/>
        <v>0</v>
      </c>
      <c r="U540" s="1" t="str">
        <f t="shared" si="53"/>
        <v/>
      </c>
      <c r="W540" s="21" t="str">
        <f>IF(C540&gt;0,CONCATENATE("0x",(DEC2HEX(IF(B540&lt;&gt;"",VLOOKUP(B540,Notes!$A$2:$B$37,2,FALSE)*1024,0) + C540*16 + IF(D540="",7,D540)*2 + IF(E540&gt;0, 1, 0))),","),"")</f>
        <v/>
      </c>
      <c r="X540" s="21" t="str">
        <f>IF(J540&gt;0,CONCATENATE("0x",(DEC2HEX(IF(I540&lt;&gt;"",VLOOKUP(I540,Notes!$A$2:$B$37,2,FALSE)*1024,0) + J540*16 + IF(K540="",7,K540)*2 + IF(L540&gt;0, 1, 0))),","),"")</f>
        <v/>
      </c>
      <c r="Y540" s="21" t="str">
        <f>IF(Q540&gt;0,CONCATENATE("0x",(DEC2HEX(IF(P540&lt;&gt;"",VLOOKUP(P540,Notes!$A$2:$B$37,2,FALSE)*1024,0) + Q540*16 + IF(R540="",7,R540)*2 + IF(S540&gt;0, 1, 0))),","),"")</f>
        <v/>
      </c>
    </row>
    <row r="541" spans="2:25" x14ac:dyDescent="0.25">
      <c r="F541" s="18">
        <f t="shared" si="48"/>
        <v>0</v>
      </c>
      <c r="G541" s="1" t="str">
        <f t="shared" si="51"/>
        <v/>
      </c>
      <c r="M541" s="18">
        <f t="shared" si="49"/>
        <v>0</v>
      </c>
      <c r="N541" s="1" t="str">
        <f t="shared" si="52"/>
        <v/>
      </c>
      <c r="T541" s="18">
        <f t="shared" si="50"/>
        <v>0</v>
      </c>
      <c r="U541" s="1" t="str">
        <f t="shared" si="53"/>
        <v/>
      </c>
      <c r="W541" s="21" t="str">
        <f>IF(C541&gt;0,CONCATENATE("0x",(DEC2HEX(IF(B541&lt;&gt;"",VLOOKUP(B541,Notes!$A$2:$B$37,2,FALSE)*1024,0) + C541*16 + IF(D541="",7,D541)*2 + IF(E541&gt;0, 1, 0))),","),"")</f>
        <v/>
      </c>
      <c r="X541" s="21" t="str">
        <f>IF(J541&gt;0,CONCATENATE("0x",(DEC2HEX(IF(I541&lt;&gt;"",VLOOKUP(I541,Notes!$A$2:$B$37,2,FALSE)*1024,0) + J541*16 + IF(K541="",7,K541)*2 + IF(L541&gt;0, 1, 0))),","),"")</f>
        <v/>
      </c>
      <c r="Y541" s="21" t="str">
        <f>IF(Q541&gt;0,CONCATENATE("0x",(DEC2HEX(IF(P541&lt;&gt;"",VLOOKUP(P541,Notes!$A$2:$B$37,2,FALSE)*1024,0) + Q541*16 + IF(R541="",7,R541)*2 + IF(S541&gt;0, 1, 0))),","),"")</f>
        <v/>
      </c>
    </row>
    <row r="542" spans="2:25" x14ac:dyDescent="0.25">
      <c r="F542" s="18">
        <f t="shared" si="48"/>
        <v>0</v>
      </c>
      <c r="G542" s="1" t="str">
        <f t="shared" si="51"/>
        <v/>
      </c>
      <c r="M542" s="18">
        <f t="shared" si="49"/>
        <v>0</v>
      </c>
      <c r="N542" s="1" t="str">
        <f t="shared" si="52"/>
        <v/>
      </c>
      <c r="T542" s="18">
        <f t="shared" si="50"/>
        <v>0</v>
      </c>
      <c r="U542" s="1" t="str">
        <f t="shared" si="53"/>
        <v/>
      </c>
      <c r="W542" s="21" t="str">
        <f>IF(C542&gt;0,CONCATENATE("0x",(DEC2HEX(IF(B542&lt;&gt;"",VLOOKUP(B542,Notes!$A$2:$B$37,2,FALSE)*1024,0) + C542*16 + IF(D542="",7,D542)*2 + IF(E542&gt;0, 1, 0))),","),"")</f>
        <v/>
      </c>
      <c r="X542" s="21" t="str">
        <f>IF(J542&gt;0,CONCATENATE("0x",(DEC2HEX(IF(I542&lt;&gt;"",VLOOKUP(I542,Notes!$A$2:$B$37,2,FALSE)*1024,0) + J542*16 + IF(K542="",7,K542)*2 + IF(L542&gt;0, 1, 0))),","),"")</f>
        <v/>
      </c>
      <c r="Y542" s="21" t="str">
        <f>IF(Q542&gt;0,CONCATENATE("0x",(DEC2HEX(IF(P542&lt;&gt;"",VLOOKUP(P542,Notes!$A$2:$B$37,2,FALSE)*1024,0) + Q542*16 + IF(R542="",7,R542)*2 + IF(S542&gt;0, 1, 0))),","),"")</f>
        <v/>
      </c>
    </row>
    <row r="543" spans="2:25" x14ac:dyDescent="0.25">
      <c r="F543" s="18">
        <f t="shared" si="48"/>
        <v>0</v>
      </c>
      <c r="G543" s="1" t="str">
        <f t="shared" si="51"/>
        <v/>
      </c>
      <c r="M543" s="18">
        <f t="shared" si="49"/>
        <v>0</v>
      </c>
      <c r="N543" s="1" t="str">
        <f t="shared" si="52"/>
        <v/>
      </c>
      <c r="T543" s="18">
        <f t="shared" si="50"/>
        <v>0</v>
      </c>
      <c r="U543" s="1" t="str">
        <f t="shared" si="53"/>
        <v/>
      </c>
      <c r="W543" s="21" t="str">
        <f>IF(C543&gt;0,CONCATENATE("0x",(DEC2HEX(IF(B543&lt;&gt;"",VLOOKUP(B543,Notes!$A$2:$B$37,2,FALSE)*1024,0) + C543*16 + IF(D543="",7,D543)*2 + IF(E543&gt;0, 1, 0))),","),"")</f>
        <v/>
      </c>
      <c r="X543" s="21" t="str">
        <f>IF(J543&gt;0,CONCATENATE("0x",(DEC2HEX(IF(I543&lt;&gt;"",VLOOKUP(I543,Notes!$A$2:$B$37,2,FALSE)*1024,0) + J543*16 + IF(K543="",7,K543)*2 + IF(L543&gt;0, 1, 0))),","),"")</f>
        <v/>
      </c>
      <c r="Y543" s="21" t="str">
        <f>IF(Q543&gt;0,CONCATENATE("0x",(DEC2HEX(IF(P543&lt;&gt;"",VLOOKUP(P543,Notes!$A$2:$B$37,2,FALSE)*1024,0) + Q543*16 + IF(R543="",7,R543)*2 + IF(S543&gt;0, 1, 0))),","),"")</f>
        <v/>
      </c>
    </row>
    <row r="544" spans="2:25" x14ac:dyDescent="0.25">
      <c r="F544" s="18">
        <f t="shared" si="48"/>
        <v>0</v>
      </c>
      <c r="G544" s="1" t="str">
        <f t="shared" si="51"/>
        <v/>
      </c>
      <c r="M544" s="18">
        <f t="shared" si="49"/>
        <v>0</v>
      </c>
      <c r="N544" s="1" t="str">
        <f t="shared" si="52"/>
        <v/>
      </c>
      <c r="T544" s="18">
        <f t="shared" si="50"/>
        <v>0</v>
      </c>
      <c r="U544" s="1" t="str">
        <f t="shared" si="53"/>
        <v/>
      </c>
      <c r="W544" s="21" t="str">
        <f>IF(C544&gt;0,CONCATENATE("0x",(DEC2HEX(IF(B544&lt;&gt;"",VLOOKUP(B544,Notes!$A$2:$B$37,2,FALSE)*1024,0) + C544*16 + IF(D544="",7,D544)*2 + IF(E544&gt;0, 1, 0))),","),"")</f>
        <v/>
      </c>
      <c r="X544" s="21" t="str">
        <f>IF(J544&gt;0,CONCATENATE("0x",(DEC2HEX(IF(I544&lt;&gt;"",VLOOKUP(I544,Notes!$A$2:$B$37,2,FALSE)*1024,0) + J544*16 + IF(K544="",7,K544)*2 + IF(L544&gt;0, 1, 0))),","),"")</f>
        <v/>
      </c>
      <c r="Y544" s="21" t="str">
        <f>IF(Q544&gt;0,CONCATENATE("0x",(DEC2HEX(IF(P544&lt;&gt;"",VLOOKUP(P544,Notes!$A$2:$B$37,2,FALSE)*1024,0) + Q544*16 + IF(R544="",7,R544)*2 + IF(S544&gt;0, 1, 0))),","),"")</f>
        <v/>
      </c>
    </row>
    <row r="545" spans="1:25" ht="16.5" thickBot="1" x14ac:dyDescent="0.3">
      <c r="B545" s="15"/>
      <c r="C545" s="16"/>
      <c r="D545" s="16"/>
      <c r="E545" s="17"/>
      <c r="F545" s="18">
        <f t="shared" si="48"/>
        <v>0</v>
      </c>
      <c r="G545" s="1" t="str">
        <f t="shared" si="51"/>
        <v/>
      </c>
      <c r="I545" s="15"/>
      <c r="J545" s="16"/>
      <c r="K545" s="16"/>
      <c r="L545" s="17"/>
      <c r="M545" s="18">
        <f t="shared" si="49"/>
        <v>0</v>
      </c>
      <c r="N545" s="1" t="str">
        <f t="shared" si="52"/>
        <v/>
      </c>
      <c r="P545" s="15"/>
      <c r="Q545" s="16"/>
      <c r="R545" s="16"/>
      <c r="S545" s="17"/>
      <c r="T545" s="18">
        <f t="shared" si="50"/>
        <v>0</v>
      </c>
      <c r="U545" s="1" t="str">
        <f t="shared" si="53"/>
        <v/>
      </c>
      <c r="W545" s="21" t="str">
        <f>IF(C545&gt;0,CONCATENATE("0x",(DEC2HEX(IF(B545&lt;&gt;"",VLOOKUP(B545,Notes!$A$2:$B$37,2,FALSE)*1024,0) + C545*16 + IF(D545="",7,D545)*2 + IF(E545&gt;0, 1, 0))),","),"")</f>
        <v/>
      </c>
      <c r="X545" s="21" t="str">
        <f>IF(J545&gt;0,CONCATENATE("0x",(DEC2HEX(IF(I545&lt;&gt;"",VLOOKUP(I545,Notes!$A$2:$B$37,2,FALSE)*1024,0) + J545*16 + IF(K545="",7,K545)*2 + IF(L545&gt;0, 1, 0))),","),"")</f>
        <v/>
      </c>
      <c r="Y545" s="21" t="str">
        <f>IF(Q545&gt;0,CONCATENATE("0x",(DEC2HEX(IF(P545&lt;&gt;"",VLOOKUP(P545,Notes!$A$2:$B$37,2,FALSE)*1024,0) + Q545*16 + IF(R545="",7,R545)*2 + IF(S545&gt;0, 1, 0))),","),"")</f>
        <v/>
      </c>
    </row>
    <row r="546" spans="1:25" ht="16.5" thickTop="1" x14ac:dyDescent="0.25">
      <c r="A546" s="1">
        <v>18</v>
      </c>
      <c r="F546" s="18">
        <f t="shared" si="48"/>
        <v>0</v>
      </c>
      <c r="G546" s="1" t="str">
        <f t="shared" si="51"/>
        <v/>
      </c>
      <c r="M546" s="18">
        <f t="shared" si="49"/>
        <v>0</v>
      </c>
      <c r="N546" s="1" t="str">
        <f t="shared" si="52"/>
        <v/>
      </c>
      <c r="T546" s="18">
        <f t="shared" si="50"/>
        <v>0</v>
      </c>
      <c r="U546" s="1" t="str">
        <f t="shared" si="53"/>
        <v/>
      </c>
      <c r="W546" s="21" t="str">
        <f>IF(C546&gt;0,CONCATENATE("0x",(DEC2HEX(IF(B546&lt;&gt;"",VLOOKUP(B546,Notes!$A$2:$B$37,2,FALSE)*1024,0) + C546*16 + IF(D546="",7,D546)*2 + IF(E546&gt;0, 1, 0))),","),"")</f>
        <v/>
      </c>
      <c r="X546" s="21" t="str">
        <f>IF(J546&gt;0,CONCATENATE("0x",(DEC2HEX(IF(I546&lt;&gt;"",VLOOKUP(I546,Notes!$A$2:$B$37,2,FALSE)*1024,0) + J546*16 + IF(K546="",7,K546)*2 + IF(L546&gt;0, 1, 0))),","),"")</f>
        <v/>
      </c>
      <c r="Y546" s="21" t="str">
        <f>IF(Q546&gt;0,CONCATENATE("0x",(DEC2HEX(IF(P546&lt;&gt;"",VLOOKUP(P546,Notes!$A$2:$B$37,2,FALSE)*1024,0) + Q546*16 + IF(R546="",7,R546)*2 + IF(S546&gt;0, 1, 0))),","),"")</f>
        <v/>
      </c>
    </row>
    <row r="547" spans="1:25" x14ac:dyDescent="0.25">
      <c r="F547" s="18">
        <f t="shared" si="48"/>
        <v>0</v>
      </c>
      <c r="G547" s="1" t="str">
        <f t="shared" si="51"/>
        <v/>
      </c>
      <c r="M547" s="18">
        <f t="shared" si="49"/>
        <v>0</v>
      </c>
      <c r="N547" s="1" t="str">
        <f t="shared" si="52"/>
        <v/>
      </c>
      <c r="T547" s="18">
        <f t="shared" si="50"/>
        <v>0</v>
      </c>
      <c r="U547" s="1" t="str">
        <f t="shared" si="53"/>
        <v/>
      </c>
      <c r="W547" s="21" t="str">
        <f>IF(C547&gt;0,CONCATENATE("0x",(DEC2HEX(IF(B547&lt;&gt;"",VLOOKUP(B547,Notes!$A$2:$B$37,2,FALSE)*1024,0) + C547*16 + IF(D547="",7,D547)*2 + IF(E547&gt;0, 1, 0))),","),"")</f>
        <v/>
      </c>
      <c r="X547" s="21" t="str">
        <f>IF(J547&gt;0,CONCATENATE("0x",(DEC2HEX(IF(I547&lt;&gt;"",VLOOKUP(I547,Notes!$A$2:$B$37,2,FALSE)*1024,0) + J547*16 + IF(K547="",7,K547)*2 + IF(L547&gt;0, 1, 0))),","),"")</f>
        <v/>
      </c>
      <c r="Y547" s="21" t="str">
        <f>IF(Q547&gt;0,CONCATENATE("0x",(DEC2HEX(IF(P547&lt;&gt;"",VLOOKUP(P547,Notes!$A$2:$B$37,2,FALSE)*1024,0) + Q547*16 + IF(R547="",7,R547)*2 + IF(S547&gt;0, 1, 0))),","),"")</f>
        <v/>
      </c>
    </row>
    <row r="548" spans="1:25" x14ac:dyDescent="0.25">
      <c r="F548" s="18">
        <f t="shared" si="48"/>
        <v>0</v>
      </c>
      <c r="G548" s="1" t="str">
        <f t="shared" si="51"/>
        <v/>
      </c>
      <c r="M548" s="18">
        <f t="shared" si="49"/>
        <v>0</v>
      </c>
      <c r="N548" s="1" t="str">
        <f t="shared" si="52"/>
        <v/>
      </c>
      <c r="T548" s="18">
        <f t="shared" si="50"/>
        <v>0</v>
      </c>
      <c r="U548" s="1" t="str">
        <f t="shared" si="53"/>
        <v/>
      </c>
      <c r="W548" s="21" t="str">
        <f>IF(C548&gt;0,CONCATENATE("0x",(DEC2HEX(IF(B548&lt;&gt;"",VLOOKUP(B548,Notes!$A$2:$B$37,2,FALSE)*1024,0) + C548*16 + IF(D548="",7,D548)*2 + IF(E548&gt;0, 1, 0))),","),"")</f>
        <v/>
      </c>
      <c r="X548" s="21" t="str">
        <f>IF(J548&gt;0,CONCATENATE("0x",(DEC2HEX(IF(I548&lt;&gt;"",VLOOKUP(I548,Notes!$A$2:$B$37,2,FALSE)*1024,0) + J548*16 + IF(K548="",7,K548)*2 + IF(L548&gt;0, 1, 0))),","),"")</f>
        <v/>
      </c>
      <c r="Y548" s="21" t="str">
        <f>IF(Q548&gt;0,CONCATENATE("0x",(DEC2HEX(IF(P548&lt;&gt;"",VLOOKUP(P548,Notes!$A$2:$B$37,2,FALSE)*1024,0) + Q548*16 + IF(R548="",7,R548)*2 + IF(S548&gt;0, 1, 0))),","),"")</f>
        <v/>
      </c>
    </row>
    <row r="549" spans="1:25" x14ac:dyDescent="0.25">
      <c r="F549" s="18">
        <f t="shared" si="48"/>
        <v>0</v>
      </c>
      <c r="G549" s="1" t="str">
        <f t="shared" si="51"/>
        <v/>
      </c>
      <c r="M549" s="18">
        <f t="shared" si="49"/>
        <v>0</v>
      </c>
      <c r="N549" s="1" t="str">
        <f t="shared" si="52"/>
        <v/>
      </c>
      <c r="T549" s="18">
        <f t="shared" si="50"/>
        <v>0</v>
      </c>
      <c r="U549" s="1" t="str">
        <f t="shared" si="53"/>
        <v/>
      </c>
      <c r="W549" s="21" t="str">
        <f>IF(C549&gt;0,CONCATENATE("0x",(DEC2HEX(IF(B549&lt;&gt;"",VLOOKUP(B549,Notes!$A$2:$B$37,2,FALSE)*1024,0) + C549*16 + IF(D549="",7,D549)*2 + IF(E549&gt;0, 1, 0))),","),"")</f>
        <v/>
      </c>
      <c r="X549" s="21" t="str">
        <f>IF(J549&gt;0,CONCATENATE("0x",(DEC2HEX(IF(I549&lt;&gt;"",VLOOKUP(I549,Notes!$A$2:$B$37,2,FALSE)*1024,0) + J549*16 + IF(K549="",7,K549)*2 + IF(L549&gt;0, 1, 0))),","),"")</f>
        <v/>
      </c>
      <c r="Y549" s="21" t="str">
        <f>IF(Q549&gt;0,CONCATENATE("0x",(DEC2HEX(IF(P549&lt;&gt;"",VLOOKUP(P549,Notes!$A$2:$B$37,2,FALSE)*1024,0) + Q549*16 + IF(R549="",7,R549)*2 + IF(S549&gt;0, 1, 0))),","),"")</f>
        <v/>
      </c>
    </row>
    <row r="550" spans="1:25" x14ac:dyDescent="0.25">
      <c r="F550" s="18">
        <f t="shared" si="48"/>
        <v>0</v>
      </c>
      <c r="G550" s="1" t="str">
        <f t="shared" si="51"/>
        <v/>
      </c>
      <c r="M550" s="18">
        <f t="shared" si="49"/>
        <v>0</v>
      </c>
      <c r="N550" s="1" t="str">
        <f t="shared" si="52"/>
        <v/>
      </c>
      <c r="T550" s="18">
        <f t="shared" si="50"/>
        <v>0</v>
      </c>
      <c r="U550" s="1" t="str">
        <f t="shared" si="53"/>
        <v/>
      </c>
      <c r="W550" s="21" t="str">
        <f>IF(C550&gt;0,CONCATENATE("0x",(DEC2HEX(IF(B550&lt;&gt;"",VLOOKUP(B550,Notes!$A$2:$B$37,2,FALSE)*1024,0) + C550*16 + IF(D550="",7,D550)*2 + IF(E550&gt;0, 1, 0))),","),"")</f>
        <v/>
      </c>
      <c r="X550" s="21" t="str">
        <f>IF(J550&gt;0,CONCATENATE("0x",(DEC2HEX(IF(I550&lt;&gt;"",VLOOKUP(I550,Notes!$A$2:$B$37,2,FALSE)*1024,0) + J550*16 + IF(K550="",7,K550)*2 + IF(L550&gt;0, 1, 0))),","),"")</f>
        <v/>
      </c>
      <c r="Y550" s="21" t="str">
        <f>IF(Q550&gt;0,CONCATENATE("0x",(DEC2HEX(IF(P550&lt;&gt;"",VLOOKUP(P550,Notes!$A$2:$B$37,2,FALSE)*1024,0) + Q550*16 + IF(R550="",7,R550)*2 + IF(S550&gt;0, 1, 0))),","),"")</f>
        <v/>
      </c>
    </row>
    <row r="551" spans="1:25" x14ac:dyDescent="0.25">
      <c r="F551" s="18">
        <f t="shared" si="48"/>
        <v>0</v>
      </c>
      <c r="G551" s="1" t="str">
        <f t="shared" si="51"/>
        <v/>
      </c>
      <c r="M551" s="18">
        <f t="shared" si="49"/>
        <v>0</v>
      </c>
      <c r="N551" s="1" t="str">
        <f t="shared" si="52"/>
        <v/>
      </c>
      <c r="T551" s="18">
        <f t="shared" si="50"/>
        <v>0</v>
      </c>
      <c r="U551" s="1" t="str">
        <f t="shared" si="53"/>
        <v/>
      </c>
      <c r="W551" s="21" t="str">
        <f>IF(C551&gt;0,CONCATENATE("0x",(DEC2HEX(IF(B551&lt;&gt;"",VLOOKUP(B551,Notes!$A$2:$B$37,2,FALSE)*1024,0) + C551*16 + IF(D551="",7,D551)*2 + IF(E551&gt;0, 1, 0))),","),"")</f>
        <v/>
      </c>
      <c r="X551" s="21" t="str">
        <f>IF(J551&gt;0,CONCATENATE("0x",(DEC2HEX(IF(I551&lt;&gt;"",VLOOKUP(I551,Notes!$A$2:$B$37,2,FALSE)*1024,0) + J551*16 + IF(K551="",7,K551)*2 + IF(L551&gt;0, 1, 0))),","),"")</f>
        <v/>
      </c>
      <c r="Y551" s="21" t="str">
        <f>IF(Q551&gt;0,CONCATENATE("0x",(DEC2HEX(IF(P551&lt;&gt;"",VLOOKUP(P551,Notes!$A$2:$B$37,2,FALSE)*1024,0) + Q551*16 + IF(R551="",7,R551)*2 + IF(S551&gt;0, 1, 0))),","),"")</f>
        <v/>
      </c>
    </row>
    <row r="552" spans="1:25" x14ac:dyDescent="0.25">
      <c r="F552" s="18">
        <f t="shared" si="48"/>
        <v>0</v>
      </c>
      <c r="G552" s="1" t="str">
        <f t="shared" si="51"/>
        <v/>
      </c>
      <c r="M552" s="18">
        <f t="shared" si="49"/>
        <v>0</v>
      </c>
      <c r="N552" s="1" t="str">
        <f t="shared" si="52"/>
        <v/>
      </c>
      <c r="T552" s="18">
        <f t="shared" si="50"/>
        <v>0</v>
      </c>
      <c r="U552" s="1" t="str">
        <f t="shared" si="53"/>
        <v/>
      </c>
      <c r="W552" s="21" t="str">
        <f>IF(C552&gt;0,CONCATENATE("0x",(DEC2HEX(IF(B552&lt;&gt;"",VLOOKUP(B552,Notes!$A$2:$B$37,2,FALSE)*1024,0) + C552*16 + IF(D552="",7,D552)*2 + IF(E552&gt;0, 1, 0))),","),"")</f>
        <v/>
      </c>
      <c r="X552" s="21" t="str">
        <f>IF(J552&gt;0,CONCATENATE("0x",(DEC2HEX(IF(I552&lt;&gt;"",VLOOKUP(I552,Notes!$A$2:$B$37,2,FALSE)*1024,0) + J552*16 + IF(K552="",7,K552)*2 + IF(L552&gt;0, 1, 0))),","),"")</f>
        <v/>
      </c>
      <c r="Y552" s="21" t="str">
        <f>IF(Q552&gt;0,CONCATENATE("0x",(DEC2HEX(IF(P552&lt;&gt;"",VLOOKUP(P552,Notes!$A$2:$B$37,2,FALSE)*1024,0) + Q552*16 + IF(R552="",7,R552)*2 + IF(S552&gt;0, 1, 0))),","),"")</f>
        <v/>
      </c>
    </row>
    <row r="553" spans="1:25" x14ac:dyDescent="0.25">
      <c r="B553" s="12"/>
      <c r="C553" s="13"/>
      <c r="D553" s="13"/>
      <c r="E553" s="14"/>
      <c r="F553" s="18">
        <f t="shared" si="48"/>
        <v>0</v>
      </c>
      <c r="G553" s="1" t="str">
        <f t="shared" si="51"/>
        <v/>
      </c>
      <c r="I553" s="12"/>
      <c r="J553" s="13"/>
      <c r="K553" s="13"/>
      <c r="L553" s="14"/>
      <c r="M553" s="18">
        <f t="shared" si="49"/>
        <v>0</v>
      </c>
      <c r="N553" s="1" t="str">
        <f t="shared" si="52"/>
        <v/>
      </c>
      <c r="P553" s="12"/>
      <c r="Q553" s="13"/>
      <c r="R553" s="13"/>
      <c r="S553" s="14"/>
      <c r="T553" s="18">
        <f t="shared" si="50"/>
        <v>0</v>
      </c>
      <c r="U553" s="1" t="str">
        <f t="shared" si="53"/>
        <v/>
      </c>
      <c r="W553" s="21" t="str">
        <f>IF(C553&gt;0,CONCATENATE("0x",(DEC2HEX(IF(B553&lt;&gt;"",VLOOKUP(B553,Notes!$A$2:$B$37,2,FALSE)*1024,0) + C553*16 + IF(D553="",7,D553)*2 + IF(E553&gt;0, 1, 0))),","),"")</f>
        <v/>
      </c>
      <c r="X553" s="21" t="str">
        <f>IF(J553&gt;0,CONCATENATE("0x",(DEC2HEX(IF(I553&lt;&gt;"",VLOOKUP(I553,Notes!$A$2:$B$37,2,FALSE)*1024,0) + J553*16 + IF(K553="",7,K553)*2 + IF(L553&gt;0, 1, 0))),","),"")</f>
        <v/>
      </c>
      <c r="Y553" s="21" t="str">
        <f>IF(Q553&gt;0,CONCATENATE("0x",(DEC2HEX(IF(P553&lt;&gt;"",VLOOKUP(P553,Notes!$A$2:$B$37,2,FALSE)*1024,0) + Q553*16 + IF(R553="",7,R553)*2 + IF(S553&gt;0, 1, 0))),","),"")</f>
        <v/>
      </c>
    </row>
    <row r="554" spans="1:25" x14ac:dyDescent="0.25">
      <c r="F554" s="18">
        <f t="shared" si="48"/>
        <v>0</v>
      </c>
      <c r="G554" s="1" t="str">
        <f t="shared" si="51"/>
        <v/>
      </c>
      <c r="M554" s="18">
        <f t="shared" si="49"/>
        <v>0</v>
      </c>
      <c r="N554" s="1" t="str">
        <f t="shared" si="52"/>
        <v/>
      </c>
      <c r="T554" s="18">
        <f t="shared" si="50"/>
        <v>0</v>
      </c>
      <c r="U554" s="1" t="str">
        <f t="shared" si="53"/>
        <v/>
      </c>
      <c r="W554" s="21" t="str">
        <f>IF(C554&gt;0,CONCATENATE("0x",(DEC2HEX(IF(B554&lt;&gt;"",VLOOKUP(B554,Notes!$A$2:$B$37,2,FALSE)*1024,0) + C554*16 + IF(D554="",7,D554)*2 + IF(E554&gt;0, 1, 0))),","),"")</f>
        <v/>
      </c>
      <c r="X554" s="21" t="str">
        <f>IF(J554&gt;0,CONCATENATE("0x",(DEC2HEX(IF(I554&lt;&gt;"",VLOOKUP(I554,Notes!$A$2:$B$37,2,FALSE)*1024,0) + J554*16 + IF(K554="",7,K554)*2 + IF(L554&gt;0, 1, 0))),","),"")</f>
        <v/>
      </c>
      <c r="Y554" s="21" t="str">
        <f>IF(Q554&gt;0,CONCATENATE("0x",(DEC2HEX(IF(P554&lt;&gt;"",VLOOKUP(P554,Notes!$A$2:$B$37,2,FALSE)*1024,0) + Q554*16 + IF(R554="",7,R554)*2 + IF(S554&gt;0, 1, 0))),","),"")</f>
        <v/>
      </c>
    </row>
    <row r="555" spans="1:25" x14ac:dyDescent="0.25">
      <c r="F555" s="18">
        <f t="shared" si="48"/>
        <v>0</v>
      </c>
      <c r="G555" s="1" t="str">
        <f t="shared" si="51"/>
        <v/>
      </c>
      <c r="M555" s="18">
        <f t="shared" si="49"/>
        <v>0</v>
      </c>
      <c r="N555" s="1" t="str">
        <f t="shared" si="52"/>
        <v/>
      </c>
      <c r="T555" s="18">
        <f t="shared" si="50"/>
        <v>0</v>
      </c>
      <c r="U555" s="1" t="str">
        <f t="shared" si="53"/>
        <v/>
      </c>
      <c r="W555" s="21" t="str">
        <f>IF(C555&gt;0,CONCATENATE("0x",(DEC2HEX(IF(B555&lt;&gt;"",VLOOKUP(B555,Notes!$A$2:$B$37,2,FALSE)*1024,0) + C555*16 + IF(D555="",7,D555)*2 + IF(E555&gt;0, 1, 0))),","),"")</f>
        <v/>
      </c>
      <c r="X555" s="21" t="str">
        <f>IF(J555&gt;0,CONCATENATE("0x",(DEC2HEX(IF(I555&lt;&gt;"",VLOOKUP(I555,Notes!$A$2:$B$37,2,FALSE)*1024,0) + J555*16 + IF(K555="",7,K555)*2 + IF(L555&gt;0, 1, 0))),","),"")</f>
        <v/>
      </c>
      <c r="Y555" s="21" t="str">
        <f>IF(Q555&gt;0,CONCATENATE("0x",(DEC2HEX(IF(P555&lt;&gt;"",VLOOKUP(P555,Notes!$A$2:$B$37,2,FALSE)*1024,0) + Q555*16 + IF(R555="",7,R555)*2 + IF(S555&gt;0, 1, 0))),","),"")</f>
        <v/>
      </c>
    </row>
    <row r="556" spans="1:25" x14ac:dyDescent="0.25">
      <c r="F556" s="18">
        <f t="shared" si="48"/>
        <v>0</v>
      </c>
      <c r="G556" s="1" t="str">
        <f t="shared" si="51"/>
        <v/>
      </c>
      <c r="M556" s="18">
        <f t="shared" si="49"/>
        <v>0</v>
      </c>
      <c r="N556" s="1" t="str">
        <f t="shared" si="52"/>
        <v/>
      </c>
      <c r="T556" s="18">
        <f t="shared" si="50"/>
        <v>0</v>
      </c>
      <c r="U556" s="1" t="str">
        <f t="shared" si="53"/>
        <v/>
      </c>
      <c r="W556" s="21" t="str">
        <f>IF(C556&gt;0,CONCATENATE("0x",(DEC2HEX(IF(B556&lt;&gt;"",VLOOKUP(B556,Notes!$A$2:$B$37,2,FALSE)*1024,0) + C556*16 + IF(D556="",7,D556)*2 + IF(E556&gt;0, 1, 0))),","),"")</f>
        <v/>
      </c>
      <c r="X556" s="21" t="str">
        <f>IF(J556&gt;0,CONCATENATE("0x",(DEC2HEX(IF(I556&lt;&gt;"",VLOOKUP(I556,Notes!$A$2:$B$37,2,FALSE)*1024,0) + J556*16 + IF(K556="",7,K556)*2 + IF(L556&gt;0, 1, 0))),","),"")</f>
        <v/>
      </c>
      <c r="Y556" s="21" t="str">
        <f>IF(Q556&gt;0,CONCATENATE("0x",(DEC2HEX(IF(P556&lt;&gt;"",VLOOKUP(P556,Notes!$A$2:$B$37,2,FALSE)*1024,0) + Q556*16 + IF(R556="",7,R556)*2 + IF(S556&gt;0, 1, 0))),","),"")</f>
        <v/>
      </c>
    </row>
    <row r="557" spans="1:25" x14ac:dyDescent="0.25">
      <c r="F557" s="18">
        <f t="shared" si="48"/>
        <v>0</v>
      </c>
      <c r="G557" s="1" t="str">
        <f t="shared" si="51"/>
        <v/>
      </c>
      <c r="M557" s="18">
        <f t="shared" si="49"/>
        <v>0</v>
      </c>
      <c r="N557" s="1" t="str">
        <f t="shared" si="52"/>
        <v/>
      </c>
      <c r="T557" s="18">
        <f t="shared" si="50"/>
        <v>0</v>
      </c>
      <c r="U557" s="1" t="str">
        <f t="shared" si="53"/>
        <v/>
      </c>
      <c r="W557" s="21" t="str">
        <f>IF(C557&gt;0,CONCATENATE("0x",(DEC2HEX(IF(B557&lt;&gt;"",VLOOKUP(B557,Notes!$A$2:$B$37,2,FALSE)*1024,0) + C557*16 + IF(D557="",7,D557)*2 + IF(E557&gt;0, 1, 0))),","),"")</f>
        <v/>
      </c>
      <c r="X557" s="21" t="str">
        <f>IF(J557&gt;0,CONCATENATE("0x",(DEC2HEX(IF(I557&lt;&gt;"",VLOOKUP(I557,Notes!$A$2:$B$37,2,FALSE)*1024,0) + J557*16 + IF(K557="",7,K557)*2 + IF(L557&gt;0, 1, 0))),","),"")</f>
        <v/>
      </c>
      <c r="Y557" s="21" t="str">
        <f>IF(Q557&gt;0,CONCATENATE("0x",(DEC2HEX(IF(P557&lt;&gt;"",VLOOKUP(P557,Notes!$A$2:$B$37,2,FALSE)*1024,0) + Q557*16 + IF(R557="",7,R557)*2 + IF(S557&gt;0, 1, 0))),","),"")</f>
        <v/>
      </c>
    </row>
    <row r="558" spans="1:25" x14ac:dyDescent="0.25">
      <c r="F558" s="18">
        <f t="shared" si="48"/>
        <v>0</v>
      </c>
      <c r="G558" s="1" t="str">
        <f t="shared" si="51"/>
        <v/>
      </c>
      <c r="M558" s="18">
        <f t="shared" si="49"/>
        <v>0</v>
      </c>
      <c r="N558" s="1" t="str">
        <f t="shared" si="52"/>
        <v/>
      </c>
      <c r="T558" s="18">
        <f t="shared" si="50"/>
        <v>0</v>
      </c>
      <c r="U558" s="1" t="str">
        <f t="shared" si="53"/>
        <v/>
      </c>
      <c r="W558" s="21" t="str">
        <f>IF(C558&gt;0,CONCATENATE("0x",(DEC2HEX(IF(B558&lt;&gt;"",VLOOKUP(B558,Notes!$A$2:$B$37,2,FALSE)*1024,0) + C558*16 + IF(D558="",7,D558)*2 + IF(E558&gt;0, 1, 0))),","),"")</f>
        <v/>
      </c>
      <c r="X558" s="21" t="str">
        <f>IF(J558&gt;0,CONCATENATE("0x",(DEC2HEX(IF(I558&lt;&gt;"",VLOOKUP(I558,Notes!$A$2:$B$37,2,FALSE)*1024,0) + J558*16 + IF(K558="",7,K558)*2 + IF(L558&gt;0, 1, 0))),","),"")</f>
        <v/>
      </c>
      <c r="Y558" s="21" t="str">
        <f>IF(Q558&gt;0,CONCATENATE("0x",(DEC2HEX(IF(P558&lt;&gt;"",VLOOKUP(P558,Notes!$A$2:$B$37,2,FALSE)*1024,0) + Q558*16 + IF(R558="",7,R558)*2 + IF(S558&gt;0, 1, 0))),","),"")</f>
        <v/>
      </c>
    </row>
    <row r="559" spans="1:25" x14ac:dyDescent="0.25">
      <c r="F559" s="18">
        <f t="shared" si="48"/>
        <v>0</v>
      </c>
      <c r="G559" s="1" t="str">
        <f t="shared" si="51"/>
        <v/>
      </c>
      <c r="M559" s="18">
        <f t="shared" si="49"/>
        <v>0</v>
      </c>
      <c r="N559" s="1" t="str">
        <f t="shared" si="52"/>
        <v/>
      </c>
      <c r="T559" s="18">
        <f t="shared" si="50"/>
        <v>0</v>
      </c>
      <c r="U559" s="1" t="str">
        <f t="shared" si="53"/>
        <v/>
      </c>
      <c r="W559" s="21" t="str">
        <f>IF(C559&gt;0,CONCATENATE("0x",(DEC2HEX(IF(B559&lt;&gt;"",VLOOKUP(B559,Notes!$A$2:$B$37,2,FALSE)*1024,0) + C559*16 + IF(D559="",7,D559)*2 + IF(E559&gt;0, 1, 0))),","),"")</f>
        <v/>
      </c>
      <c r="X559" s="21" t="str">
        <f>IF(J559&gt;0,CONCATENATE("0x",(DEC2HEX(IF(I559&lt;&gt;"",VLOOKUP(I559,Notes!$A$2:$B$37,2,FALSE)*1024,0) + J559*16 + IF(K559="",7,K559)*2 + IF(L559&gt;0, 1, 0))),","),"")</f>
        <v/>
      </c>
      <c r="Y559" s="21" t="str">
        <f>IF(Q559&gt;0,CONCATENATE("0x",(DEC2HEX(IF(P559&lt;&gt;"",VLOOKUP(P559,Notes!$A$2:$B$37,2,FALSE)*1024,0) + Q559*16 + IF(R559="",7,R559)*2 + IF(S559&gt;0, 1, 0))),","),"")</f>
        <v/>
      </c>
    </row>
    <row r="560" spans="1:25" x14ac:dyDescent="0.25">
      <c r="F560" s="18">
        <f t="shared" si="48"/>
        <v>0</v>
      </c>
      <c r="G560" s="1" t="str">
        <f t="shared" si="51"/>
        <v/>
      </c>
      <c r="M560" s="18">
        <f t="shared" si="49"/>
        <v>0</v>
      </c>
      <c r="N560" s="1" t="str">
        <f t="shared" si="52"/>
        <v/>
      </c>
      <c r="T560" s="18">
        <f t="shared" si="50"/>
        <v>0</v>
      </c>
      <c r="U560" s="1" t="str">
        <f t="shared" si="53"/>
        <v/>
      </c>
      <c r="W560" s="21" t="str">
        <f>IF(C560&gt;0,CONCATENATE("0x",(DEC2HEX(IF(B560&lt;&gt;"",VLOOKUP(B560,Notes!$A$2:$B$37,2,FALSE)*1024,0) + C560*16 + IF(D560="",7,D560)*2 + IF(E560&gt;0, 1, 0))),","),"")</f>
        <v/>
      </c>
      <c r="X560" s="21" t="str">
        <f>IF(J560&gt;0,CONCATENATE("0x",(DEC2HEX(IF(I560&lt;&gt;"",VLOOKUP(I560,Notes!$A$2:$B$37,2,FALSE)*1024,0) + J560*16 + IF(K560="",7,K560)*2 + IF(L560&gt;0, 1, 0))),","),"")</f>
        <v/>
      </c>
      <c r="Y560" s="21" t="str">
        <f>IF(Q560&gt;0,CONCATENATE("0x",(DEC2HEX(IF(P560&lt;&gt;"",VLOOKUP(P560,Notes!$A$2:$B$37,2,FALSE)*1024,0) + Q560*16 + IF(R560="",7,R560)*2 + IF(S560&gt;0, 1, 0))),","),"")</f>
        <v/>
      </c>
    </row>
    <row r="561" spans="2:25" x14ac:dyDescent="0.25">
      <c r="B561" s="12"/>
      <c r="C561" s="13"/>
      <c r="D561" s="13"/>
      <c r="E561" s="14"/>
      <c r="F561" s="18">
        <f t="shared" si="48"/>
        <v>0</v>
      </c>
      <c r="G561" s="1" t="str">
        <f t="shared" si="51"/>
        <v/>
      </c>
      <c r="I561" s="12"/>
      <c r="J561" s="13"/>
      <c r="K561" s="13"/>
      <c r="L561" s="14"/>
      <c r="M561" s="18">
        <f t="shared" si="49"/>
        <v>0</v>
      </c>
      <c r="N561" s="1" t="str">
        <f t="shared" si="52"/>
        <v/>
      </c>
      <c r="P561" s="12"/>
      <c r="Q561" s="13"/>
      <c r="R561" s="13"/>
      <c r="S561" s="14"/>
      <c r="T561" s="18">
        <f t="shared" si="50"/>
        <v>0</v>
      </c>
      <c r="U561" s="1" t="str">
        <f t="shared" si="53"/>
        <v/>
      </c>
      <c r="W561" s="21" t="str">
        <f>IF(C561&gt;0,CONCATENATE("0x",(DEC2HEX(IF(B561&lt;&gt;"",VLOOKUP(B561,Notes!$A$2:$B$37,2,FALSE)*1024,0) + C561*16 + IF(D561="",7,D561)*2 + IF(E561&gt;0, 1, 0))),","),"")</f>
        <v/>
      </c>
      <c r="X561" s="21" t="str">
        <f>IF(J561&gt;0,CONCATENATE("0x",(DEC2HEX(IF(I561&lt;&gt;"",VLOOKUP(I561,Notes!$A$2:$B$37,2,FALSE)*1024,0) + J561*16 + IF(K561="",7,K561)*2 + IF(L561&gt;0, 1, 0))),","),"")</f>
        <v/>
      </c>
      <c r="Y561" s="21" t="str">
        <f>IF(Q561&gt;0,CONCATENATE("0x",(DEC2HEX(IF(P561&lt;&gt;"",VLOOKUP(P561,Notes!$A$2:$B$37,2,FALSE)*1024,0) + Q561*16 + IF(R561="",7,R561)*2 + IF(S561&gt;0, 1, 0))),","),"")</f>
        <v/>
      </c>
    </row>
    <row r="562" spans="2:25" x14ac:dyDescent="0.25">
      <c r="F562" s="18">
        <f t="shared" si="48"/>
        <v>0</v>
      </c>
      <c r="G562" s="1" t="str">
        <f t="shared" si="51"/>
        <v/>
      </c>
      <c r="M562" s="18">
        <f t="shared" si="49"/>
        <v>0</v>
      </c>
      <c r="N562" s="1" t="str">
        <f t="shared" si="52"/>
        <v/>
      </c>
      <c r="T562" s="18">
        <f t="shared" si="50"/>
        <v>0</v>
      </c>
      <c r="U562" s="1" t="str">
        <f t="shared" si="53"/>
        <v/>
      </c>
      <c r="W562" s="21" t="str">
        <f>IF(C562&gt;0,CONCATENATE("0x",(DEC2HEX(IF(B562&lt;&gt;"",VLOOKUP(B562,Notes!$A$2:$B$37,2,FALSE)*1024,0) + C562*16 + IF(D562="",7,D562)*2 + IF(E562&gt;0, 1, 0))),","),"")</f>
        <v/>
      </c>
      <c r="X562" s="21" t="str">
        <f>IF(J562&gt;0,CONCATENATE("0x",(DEC2HEX(IF(I562&lt;&gt;"",VLOOKUP(I562,Notes!$A$2:$B$37,2,FALSE)*1024,0) + J562*16 + IF(K562="",7,K562)*2 + IF(L562&gt;0, 1, 0))),","),"")</f>
        <v/>
      </c>
      <c r="Y562" s="21" t="str">
        <f>IF(Q562&gt;0,CONCATENATE("0x",(DEC2HEX(IF(P562&lt;&gt;"",VLOOKUP(P562,Notes!$A$2:$B$37,2,FALSE)*1024,0) + Q562*16 + IF(R562="",7,R562)*2 + IF(S562&gt;0, 1, 0))),","),"")</f>
        <v/>
      </c>
    </row>
    <row r="563" spans="2:25" x14ac:dyDescent="0.25">
      <c r="F563" s="18">
        <f t="shared" si="48"/>
        <v>0</v>
      </c>
      <c r="G563" s="1" t="str">
        <f t="shared" si="51"/>
        <v/>
      </c>
      <c r="M563" s="18">
        <f t="shared" si="49"/>
        <v>0</v>
      </c>
      <c r="N563" s="1" t="str">
        <f t="shared" si="52"/>
        <v/>
      </c>
      <c r="T563" s="18">
        <f t="shared" si="50"/>
        <v>0</v>
      </c>
      <c r="U563" s="1" t="str">
        <f t="shared" si="53"/>
        <v/>
      </c>
      <c r="W563" s="21" t="str">
        <f>IF(C563&gt;0,CONCATENATE("0x",(DEC2HEX(IF(B563&lt;&gt;"",VLOOKUP(B563,Notes!$A$2:$B$37,2,FALSE)*1024,0) + C563*16 + IF(D563="",7,D563)*2 + IF(E563&gt;0, 1, 0))),","),"")</f>
        <v/>
      </c>
      <c r="X563" s="21" t="str">
        <f>IF(J563&gt;0,CONCATENATE("0x",(DEC2HEX(IF(I563&lt;&gt;"",VLOOKUP(I563,Notes!$A$2:$B$37,2,FALSE)*1024,0) + J563*16 + IF(K563="",7,K563)*2 + IF(L563&gt;0, 1, 0))),","),"")</f>
        <v/>
      </c>
      <c r="Y563" s="21" t="str">
        <f>IF(Q563&gt;0,CONCATENATE("0x",(DEC2HEX(IF(P563&lt;&gt;"",VLOOKUP(P563,Notes!$A$2:$B$37,2,FALSE)*1024,0) + Q563*16 + IF(R563="",7,R563)*2 + IF(S563&gt;0, 1, 0))),","),"")</f>
        <v/>
      </c>
    </row>
    <row r="564" spans="2:25" x14ac:dyDescent="0.25">
      <c r="F564" s="18">
        <f t="shared" si="48"/>
        <v>0</v>
      </c>
      <c r="G564" s="1" t="str">
        <f t="shared" si="51"/>
        <v/>
      </c>
      <c r="M564" s="18">
        <f t="shared" si="49"/>
        <v>0</v>
      </c>
      <c r="N564" s="1" t="str">
        <f t="shared" si="52"/>
        <v/>
      </c>
      <c r="T564" s="18">
        <f t="shared" si="50"/>
        <v>0</v>
      </c>
      <c r="U564" s="1" t="str">
        <f t="shared" si="53"/>
        <v/>
      </c>
      <c r="W564" s="21" t="str">
        <f>IF(C564&gt;0,CONCATENATE("0x",(DEC2HEX(IF(B564&lt;&gt;"",VLOOKUP(B564,Notes!$A$2:$B$37,2,FALSE)*1024,0) + C564*16 + IF(D564="",7,D564)*2 + IF(E564&gt;0, 1, 0))),","),"")</f>
        <v/>
      </c>
      <c r="X564" s="21" t="str">
        <f>IF(J564&gt;0,CONCATENATE("0x",(DEC2HEX(IF(I564&lt;&gt;"",VLOOKUP(I564,Notes!$A$2:$B$37,2,FALSE)*1024,0) + J564*16 + IF(K564="",7,K564)*2 + IF(L564&gt;0, 1, 0))),","),"")</f>
        <v/>
      </c>
      <c r="Y564" s="21" t="str">
        <f>IF(Q564&gt;0,CONCATENATE("0x",(DEC2HEX(IF(P564&lt;&gt;"",VLOOKUP(P564,Notes!$A$2:$B$37,2,FALSE)*1024,0) + Q564*16 + IF(R564="",7,R564)*2 + IF(S564&gt;0, 1, 0))),","),"")</f>
        <v/>
      </c>
    </row>
    <row r="565" spans="2:25" x14ac:dyDescent="0.25">
      <c r="F565" s="18">
        <f t="shared" si="48"/>
        <v>0</v>
      </c>
      <c r="G565" s="1" t="str">
        <f t="shared" si="51"/>
        <v/>
      </c>
      <c r="M565" s="18">
        <f t="shared" si="49"/>
        <v>0</v>
      </c>
      <c r="N565" s="1" t="str">
        <f t="shared" si="52"/>
        <v/>
      </c>
      <c r="T565" s="18">
        <f t="shared" si="50"/>
        <v>0</v>
      </c>
      <c r="U565" s="1" t="str">
        <f t="shared" si="53"/>
        <v/>
      </c>
      <c r="W565" s="21" t="str">
        <f>IF(C565&gt;0,CONCATENATE("0x",(DEC2HEX(IF(B565&lt;&gt;"",VLOOKUP(B565,Notes!$A$2:$B$37,2,FALSE)*1024,0) + C565*16 + IF(D565="",7,D565)*2 + IF(E565&gt;0, 1, 0))),","),"")</f>
        <v/>
      </c>
      <c r="X565" s="21" t="str">
        <f>IF(J565&gt;0,CONCATENATE("0x",(DEC2HEX(IF(I565&lt;&gt;"",VLOOKUP(I565,Notes!$A$2:$B$37,2,FALSE)*1024,0) + J565*16 + IF(K565="",7,K565)*2 + IF(L565&gt;0, 1, 0))),","),"")</f>
        <v/>
      </c>
      <c r="Y565" s="21" t="str">
        <f>IF(Q565&gt;0,CONCATENATE("0x",(DEC2HEX(IF(P565&lt;&gt;"",VLOOKUP(P565,Notes!$A$2:$B$37,2,FALSE)*1024,0) + Q565*16 + IF(R565="",7,R565)*2 + IF(S565&gt;0, 1, 0))),","),"")</f>
        <v/>
      </c>
    </row>
    <row r="566" spans="2:25" x14ac:dyDescent="0.25">
      <c r="F566" s="18">
        <f t="shared" si="48"/>
        <v>0</v>
      </c>
      <c r="G566" s="1" t="str">
        <f t="shared" si="51"/>
        <v/>
      </c>
      <c r="M566" s="18">
        <f t="shared" si="49"/>
        <v>0</v>
      </c>
      <c r="N566" s="1" t="str">
        <f t="shared" si="52"/>
        <v/>
      </c>
      <c r="T566" s="18">
        <f t="shared" si="50"/>
        <v>0</v>
      </c>
      <c r="U566" s="1" t="str">
        <f t="shared" si="53"/>
        <v/>
      </c>
      <c r="W566" s="21" t="str">
        <f>IF(C566&gt;0,CONCATENATE("0x",(DEC2HEX(IF(B566&lt;&gt;"",VLOOKUP(B566,Notes!$A$2:$B$37,2,FALSE)*1024,0) + C566*16 + IF(D566="",7,D566)*2 + IF(E566&gt;0, 1, 0))),","),"")</f>
        <v/>
      </c>
      <c r="X566" s="21" t="str">
        <f>IF(J566&gt;0,CONCATENATE("0x",(DEC2HEX(IF(I566&lt;&gt;"",VLOOKUP(I566,Notes!$A$2:$B$37,2,FALSE)*1024,0) + J566*16 + IF(K566="",7,K566)*2 + IF(L566&gt;0, 1, 0))),","),"")</f>
        <v/>
      </c>
      <c r="Y566" s="21" t="str">
        <f>IF(Q566&gt;0,CONCATENATE("0x",(DEC2HEX(IF(P566&lt;&gt;"",VLOOKUP(P566,Notes!$A$2:$B$37,2,FALSE)*1024,0) + Q566*16 + IF(R566="",7,R566)*2 + IF(S566&gt;0, 1, 0))),","),"")</f>
        <v/>
      </c>
    </row>
    <row r="567" spans="2:25" x14ac:dyDescent="0.25">
      <c r="F567" s="18">
        <f t="shared" si="48"/>
        <v>0</v>
      </c>
      <c r="G567" s="1" t="str">
        <f t="shared" si="51"/>
        <v/>
      </c>
      <c r="M567" s="18">
        <f t="shared" si="49"/>
        <v>0</v>
      </c>
      <c r="N567" s="1" t="str">
        <f t="shared" si="52"/>
        <v/>
      </c>
      <c r="T567" s="18">
        <f t="shared" si="50"/>
        <v>0</v>
      </c>
      <c r="U567" s="1" t="str">
        <f t="shared" si="53"/>
        <v/>
      </c>
      <c r="W567" s="21" t="str">
        <f>IF(C567&gt;0,CONCATENATE("0x",(DEC2HEX(IF(B567&lt;&gt;"",VLOOKUP(B567,Notes!$A$2:$B$37,2,FALSE)*1024,0) + C567*16 + IF(D567="",7,D567)*2 + IF(E567&gt;0, 1, 0))),","),"")</f>
        <v/>
      </c>
      <c r="X567" s="21" t="str">
        <f>IF(J567&gt;0,CONCATENATE("0x",(DEC2HEX(IF(I567&lt;&gt;"",VLOOKUP(I567,Notes!$A$2:$B$37,2,FALSE)*1024,0) + J567*16 + IF(K567="",7,K567)*2 + IF(L567&gt;0, 1, 0))),","),"")</f>
        <v/>
      </c>
      <c r="Y567" s="21" t="str">
        <f>IF(Q567&gt;0,CONCATENATE("0x",(DEC2HEX(IF(P567&lt;&gt;"",VLOOKUP(P567,Notes!$A$2:$B$37,2,FALSE)*1024,0) + Q567*16 + IF(R567="",7,R567)*2 + IF(S567&gt;0, 1, 0))),","),"")</f>
        <v/>
      </c>
    </row>
    <row r="568" spans="2:25" x14ac:dyDescent="0.25">
      <c r="F568" s="18">
        <f t="shared" si="48"/>
        <v>0</v>
      </c>
      <c r="G568" s="1" t="str">
        <f t="shared" si="51"/>
        <v/>
      </c>
      <c r="M568" s="18">
        <f t="shared" si="49"/>
        <v>0</v>
      </c>
      <c r="N568" s="1" t="str">
        <f t="shared" si="52"/>
        <v/>
      </c>
      <c r="T568" s="18">
        <f t="shared" si="50"/>
        <v>0</v>
      </c>
      <c r="U568" s="1" t="str">
        <f t="shared" si="53"/>
        <v/>
      </c>
      <c r="W568" s="21" t="str">
        <f>IF(C568&gt;0,CONCATENATE("0x",(DEC2HEX(IF(B568&lt;&gt;"",VLOOKUP(B568,Notes!$A$2:$B$37,2,FALSE)*1024,0) + C568*16 + IF(D568="",7,D568)*2 + IF(E568&gt;0, 1, 0))),","),"")</f>
        <v/>
      </c>
      <c r="X568" s="21" t="str">
        <f>IF(J568&gt;0,CONCATENATE("0x",(DEC2HEX(IF(I568&lt;&gt;"",VLOOKUP(I568,Notes!$A$2:$B$37,2,FALSE)*1024,0) + J568*16 + IF(K568="",7,K568)*2 + IF(L568&gt;0, 1, 0))),","),"")</f>
        <v/>
      </c>
      <c r="Y568" s="21" t="str">
        <f>IF(Q568&gt;0,CONCATENATE("0x",(DEC2HEX(IF(P568&lt;&gt;"",VLOOKUP(P568,Notes!$A$2:$B$37,2,FALSE)*1024,0) + Q568*16 + IF(R568="",7,R568)*2 + IF(S568&gt;0, 1, 0))),","),"")</f>
        <v/>
      </c>
    </row>
    <row r="569" spans="2:25" x14ac:dyDescent="0.25">
      <c r="B569" s="12"/>
      <c r="C569" s="13"/>
      <c r="D569" s="13"/>
      <c r="E569" s="14"/>
      <c r="F569" s="18">
        <f t="shared" si="48"/>
        <v>0</v>
      </c>
      <c r="G569" s="1" t="str">
        <f t="shared" si="51"/>
        <v/>
      </c>
      <c r="I569" s="12"/>
      <c r="J569" s="13"/>
      <c r="K569" s="13"/>
      <c r="L569" s="14"/>
      <c r="M569" s="18">
        <f t="shared" si="49"/>
        <v>0</v>
      </c>
      <c r="N569" s="1" t="str">
        <f t="shared" si="52"/>
        <v/>
      </c>
      <c r="P569" s="12"/>
      <c r="Q569" s="13"/>
      <c r="R569" s="13"/>
      <c r="S569" s="14"/>
      <c r="T569" s="18">
        <f t="shared" si="50"/>
        <v>0</v>
      </c>
      <c r="U569" s="1" t="str">
        <f t="shared" si="53"/>
        <v/>
      </c>
      <c r="W569" s="21" t="str">
        <f>IF(C569&gt;0,CONCATENATE("0x",(DEC2HEX(IF(B569&lt;&gt;"",VLOOKUP(B569,Notes!$A$2:$B$37,2,FALSE)*1024,0) + C569*16 + IF(D569="",7,D569)*2 + IF(E569&gt;0, 1, 0))),","),"")</f>
        <v/>
      </c>
      <c r="X569" s="21" t="str">
        <f>IF(J569&gt;0,CONCATENATE("0x",(DEC2HEX(IF(I569&lt;&gt;"",VLOOKUP(I569,Notes!$A$2:$B$37,2,FALSE)*1024,0) + J569*16 + IF(K569="",7,K569)*2 + IF(L569&gt;0, 1, 0))),","),"")</f>
        <v/>
      </c>
      <c r="Y569" s="21" t="str">
        <f>IF(Q569&gt;0,CONCATENATE("0x",(DEC2HEX(IF(P569&lt;&gt;"",VLOOKUP(P569,Notes!$A$2:$B$37,2,FALSE)*1024,0) + Q569*16 + IF(R569="",7,R569)*2 + IF(S569&gt;0, 1, 0))),","),"")</f>
        <v/>
      </c>
    </row>
    <row r="570" spans="2:25" x14ac:dyDescent="0.25">
      <c r="F570" s="18">
        <f t="shared" si="48"/>
        <v>0</v>
      </c>
      <c r="G570" s="1" t="str">
        <f t="shared" si="51"/>
        <v/>
      </c>
      <c r="M570" s="18">
        <f t="shared" si="49"/>
        <v>0</v>
      </c>
      <c r="N570" s="1" t="str">
        <f t="shared" si="52"/>
        <v/>
      </c>
      <c r="T570" s="18">
        <f t="shared" si="50"/>
        <v>0</v>
      </c>
      <c r="U570" s="1" t="str">
        <f t="shared" si="53"/>
        <v/>
      </c>
      <c r="W570" s="21" t="str">
        <f>IF(C570&gt;0,CONCATENATE("0x",(DEC2HEX(IF(B570&lt;&gt;"",VLOOKUP(B570,Notes!$A$2:$B$37,2,FALSE)*1024,0) + C570*16 + IF(D570="",7,D570)*2 + IF(E570&gt;0, 1, 0))),","),"")</f>
        <v/>
      </c>
      <c r="X570" s="21" t="str">
        <f>IF(J570&gt;0,CONCATENATE("0x",(DEC2HEX(IF(I570&lt;&gt;"",VLOOKUP(I570,Notes!$A$2:$B$37,2,FALSE)*1024,0) + J570*16 + IF(K570="",7,K570)*2 + IF(L570&gt;0, 1, 0))),","),"")</f>
        <v/>
      </c>
      <c r="Y570" s="21" t="str">
        <f>IF(Q570&gt;0,CONCATENATE("0x",(DEC2HEX(IF(P570&lt;&gt;"",VLOOKUP(P570,Notes!$A$2:$B$37,2,FALSE)*1024,0) + Q570*16 + IF(R570="",7,R570)*2 + IF(S570&gt;0, 1, 0))),","),"")</f>
        <v/>
      </c>
    </row>
    <row r="571" spans="2:25" x14ac:dyDescent="0.25">
      <c r="F571" s="18">
        <f t="shared" si="48"/>
        <v>0</v>
      </c>
      <c r="G571" s="1" t="str">
        <f t="shared" si="51"/>
        <v/>
      </c>
      <c r="M571" s="18">
        <f t="shared" si="49"/>
        <v>0</v>
      </c>
      <c r="N571" s="1" t="str">
        <f t="shared" si="52"/>
        <v/>
      </c>
      <c r="T571" s="18">
        <f t="shared" si="50"/>
        <v>0</v>
      </c>
      <c r="U571" s="1" t="str">
        <f t="shared" si="53"/>
        <v/>
      </c>
      <c r="W571" s="21" t="str">
        <f>IF(C571&gt;0,CONCATENATE("0x",(DEC2HEX(IF(B571&lt;&gt;"",VLOOKUP(B571,Notes!$A$2:$B$37,2,FALSE)*1024,0) + C571*16 + IF(D571="",7,D571)*2 + IF(E571&gt;0, 1, 0))),","),"")</f>
        <v/>
      </c>
      <c r="X571" s="21" t="str">
        <f>IF(J571&gt;0,CONCATENATE("0x",(DEC2HEX(IF(I571&lt;&gt;"",VLOOKUP(I571,Notes!$A$2:$B$37,2,FALSE)*1024,0) + J571*16 + IF(K571="",7,K571)*2 + IF(L571&gt;0, 1, 0))),","),"")</f>
        <v/>
      </c>
      <c r="Y571" s="21" t="str">
        <f>IF(Q571&gt;0,CONCATENATE("0x",(DEC2HEX(IF(P571&lt;&gt;"",VLOOKUP(P571,Notes!$A$2:$B$37,2,FALSE)*1024,0) + Q571*16 + IF(R571="",7,R571)*2 + IF(S571&gt;0, 1, 0))),","),"")</f>
        <v/>
      </c>
    </row>
    <row r="572" spans="2:25" x14ac:dyDescent="0.25">
      <c r="F572" s="18">
        <f t="shared" si="48"/>
        <v>0</v>
      </c>
      <c r="G572" s="1" t="str">
        <f t="shared" si="51"/>
        <v/>
      </c>
      <c r="M572" s="18">
        <f t="shared" si="49"/>
        <v>0</v>
      </c>
      <c r="N572" s="1" t="str">
        <f t="shared" si="52"/>
        <v/>
      </c>
      <c r="T572" s="18">
        <f t="shared" si="50"/>
        <v>0</v>
      </c>
      <c r="U572" s="1" t="str">
        <f t="shared" si="53"/>
        <v/>
      </c>
      <c r="W572" s="21" t="str">
        <f>IF(C572&gt;0,CONCATENATE("0x",(DEC2HEX(IF(B572&lt;&gt;"",VLOOKUP(B572,Notes!$A$2:$B$37,2,FALSE)*1024,0) + C572*16 + IF(D572="",7,D572)*2 + IF(E572&gt;0, 1, 0))),","),"")</f>
        <v/>
      </c>
      <c r="X572" s="21" t="str">
        <f>IF(J572&gt;0,CONCATENATE("0x",(DEC2HEX(IF(I572&lt;&gt;"",VLOOKUP(I572,Notes!$A$2:$B$37,2,FALSE)*1024,0) + J572*16 + IF(K572="",7,K572)*2 + IF(L572&gt;0, 1, 0))),","),"")</f>
        <v/>
      </c>
      <c r="Y572" s="21" t="str">
        <f>IF(Q572&gt;0,CONCATENATE("0x",(DEC2HEX(IF(P572&lt;&gt;"",VLOOKUP(P572,Notes!$A$2:$B$37,2,FALSE)*1024,0) + Q572*16 + IF(R572="",7,R572)*2 + IF(S572&gt;0, 1, 0))),","),"")</f>
        <v/>
      </c>
    </row>
    <row r="573" spans="2:25" x14ac:dyDescent="0.25">
      <c r="F573" s="18">
        <f t="shared" si="48"/>
        <v>0</v>
      </c>
      <c r="G573" s="1" t="str">
        <f t="shared" si="51"/>
        <v/>
      </c>
      <c r="M573" s="18">
        <f t="shared" si="49"/>
        <v>0</v>
      </c>
      <c r="N573" s="1" t="str">
        <f t="shared" si="52"/>
        <v/>
      </c>
      <c r="T573" s="18">
        <f t="shared" si="50"/>
        <v>0</v>
      </c>
      <c r="U573" s="1" t="str">
        <f t="shared" si="53"/>
        <v/>
      </c>
      <c r="W573" s="21" t="str">
        <f>IF(C573&gt;0,CONCATENATE("0x",(DEC2HEX(IF(B573&lt;&gt;"",VLOOKUP(B573,Notes!$A$2:$B$37,2,FALSE)*1024,0) + C573*16 + IF(D573="",7,D573)*2 + IF(E573&gt;0, 1, 0))),","),"")</f>
        <v/>
      </c>
      <c r="X573" s="21" t="str">
        <f>IF(J573&gt;0,CONCATENATE("0x",(DEC2HEX(IF(I573&lt;&gt;"",VLOOKUP(I573,Notes!$A$2:$B$37,2,FALSE)*1024,0) + J573*16 + IF(K573="",7,K573)*2 + IF(L573&gt;0, 1, 0))),","),"")</f>
        <v/>
      </c>
      <c r="Y573" s="21" t="str">
        <f>IF(Q573&gt;0,CONCATENATE("0x",(DEC2HEX(IF(P573&lt;&gt;"",VLOOKUP(P573,Notes!$A$2:$B$37,2,FALSE)*1024,0) + Q573*16 + IF(R573="",7,R573)*2 + IF(S573&gt;0, 1, 0))),","),"")</f>
        <v/>
      </c>
    </row>
    <row r="574" spans="2:25" x14ac:dyDescent="0.25">
      <c r="F574" s="18">
        <f t="shared" si="48"/>
        <v>0</v>
      </c>
      <c r="G574" s="1" t="str">
        <f t="shared" si="51"/>
        <v/>
      </c>
      <c r="M574" s="18">
        <f t="shared" si="49"/>
        <v>0</v>
      </c>
      <c r="N574" s="1" t="str">
        <f t="shared" si="52"/>
        <v/>
      </c>
      <c r="T574" s="18">
        <f t="shared" si="50"/>
        <v>0</v>
      </c>
      <c r="U574" s="1" t="str">
        <f t="shared" si="53"/>
        <v/>
      </c>
      <c r="W574" s="21" t="str">
        <f>IF(C574&gt;0,CONCATENATE("0x",(DEC2HEX(IF(B574&lt;&gt;"",VLOOKUP(B574,Notes!$A$2:$B$37,2,FALSE)*1024,0) + C574*16 + IF(D574="",7,D574)*2 + IF(E574&gt;0, 1, 0))),","),"")</f>
        <v/>
      </c>
      <c r="X574" s="21" t="str">
        <f>IF(J574&gt;0,CONCATENATE("0x",(DEC2HEX(IF(I574&lt;&gt;"",VLOOKUP(I574,Notes!$A$2:$B$37,2,FALSE)*1024,0) + J574*16 + IF(K574="",7,K574)*2 + IF(L574&gt;0, 1, 0))),","),"")</f>
        <v/>
      </c>
      <c r="Y574" s="21" t="str">
        <f>IF(Q574&gt;0,CONCATENATE("0x",(DEC2HEX(IF(P574&lt;&gt;"",VLOOKUP(P574,Notes!$A$2:$B$37,2,FALSE)*1024,0) + Q574*16 + IF(R574="",7,R574)*2 + IF(S574&gt;0, 1, 0))),","),"")</f>
        <v/>
      </c>
    </row>
    <row r="575" spans="2:25" x14ac:dyDescent="0.25">
      <c r="F575" s="18">
        <f t="shared" si="48"/>
        <v>0</v>
      </c>
      <c r="G575" s="1" t="str">
        <f t="shared" si="51"/>
        <v/>
      </c>
      <c r="M575" s="18">
        <f t="shared" si="49"/>
        <v>0</v>
      </c>
      <c r="N575" s="1" t="str">
        <f t="shared" si="52"/>
        <v/>
      </c>
      <c r="T575" s="18">
        <f t="shared" si="50"/>
        <v>0</v>
      </c>
      <c r="U575" s="1" t="str">
        <f t="shared" si="53"/>
        <v/>
      </c>
      <c r="W575" s="21" t="str">
        <f>IF(C575&gt;0,CONCATENATE("0x",(DEC2HEX(IF(B575&lt;&gt;"",VLOOKUP(B575,Notes!$A$2:$B$37,2,FALSE)*1024,0) + C575*16 + IF(D575="",7,D575)*2 + IF(E575&gt;0, 1, 0))),","),"")</f>
        <v/>
      </c>
      <c r="X575" s="21" t="str">
        <f>IF(J575&gt;0,CONCATENATE("0x",(DEC2HEX(IF(I575&lt;&gt;"",VLOOKUP(I575,Notes!$A$2:$B$37,2,FALSE)*1024,0) + J575*16 + IF(K575="",7,K575)*2 + IF(L575&gt;0, 1, 0))),","),"")</f>
        <v/>
      </c>
      <c r="Y575" s="21" t="str">
        <f>IF(Q575&gt;0,CONCATENATE("0x",(DEC2HEX(IF(P575&lt;&gt;"",VLOOKUP(P575,Notes!$A$2:$B$37,2,FALSE)*1024,0) + Q575*16 + IF(R575="",7,R575)*2 + IF(S575&gt;0, 1, 0))),","),"")</f>
        <v/>
      </c>
    </row>
    <row r="576" spans="2:25" x14ac:dyDescent="0.25">
      <c r="F576" s="18">
        <f t="shared" si="48"/>
        <v>0</v>
      </c>
      <c r="G576" s="1" t="str">
        <f t="shared" si="51"/>
        <v/>
      </c>
      <c r="M576" s="18">
        <f t="shared" si="49"/>
        <v>0</v>
      </c>
      <c r="N576" s="1" t="str">
        <f t="shared" si="52"/>
        <v/>
      </c>
      <c r="T576" s="18">
        <f t="shared" si="50"/>
        <v>0</v>
      </c>
      <c r="U576" s="1" t="str">
        <f t="shared" si="53"/>
        <v/>
      </c>
      <c r="W576" s="21" t="str">
        <f>IF(C576&gt;0,CONCATENATE("0x",(DEC2HEX(IF(B576&lt;&gt;"",VLOOKUP(B576,Notes!$A$2:$B$37,2,FALSE)*1024,0) + C576*16 + IF(D576="",7,D576)*2 + IF(E576&gt;0, 1, 0))),","),"")</f>
        <v/>
      </c>
      <c r="X576" s="21" t="str">
        <f>IF(J576&gt;0,CONCATENATE("0x",(DEC2HEX(IF(I576&lt;&gt;"",VLOOKUP(I576,Notes!$A$2:$B$37,2,FALSE)*1024,0) + J576*16 + IF(K576="",7,K576)*2 + IF(L576&gt;0, 1, 0))),","),"")</f>
        <v/>
      </c>
      <c r="Y576" s="21" t="str">
        <f>IF(Q576&gt;0,CONCATENATE("0x",(DEC2HEX(IF(P576&lt;&gt;"",VLOOKUP(P576,Notes!$A$2:$B$37,2,FALSE)*1024,0) + Q576*16 + IF(R576="",7,R576)*2 + IF(S576&gt;0, 1, 0))),","),"")</f>
        <v/>
      </c>
    </row>
    <row r="577" spans="1:25" ht="16.5" thickBot="1" x14ac:dyDescent="0.3">
      <c r="B577" s="15"/>
      <c r="C577" s="16"/>
      <c r="D577" s="16"/>
      <c r="E577" s="17"/>
      <c r="F577" s="18">
        <f t="shared" si="48"/>
        <v>0</v>
      </c>
      <c r="G577" s="1" t="str">
        <f t="shared" si="51"/>
        <v/>
      </c>
      <c r="I577" s="15"/>
      <c r="J577" s="16"/>
      <c r="K577" s="16"/>
      <c r="L577" s="17"/>
      <c r="M577" s="18">
        <f t="shared" si="49"/>
        <v>0</v>
      </c>
      <c r="N577" s="1" t="str">
        <f t="shared" si="52"/>
        <v/>
      </c>
      <c r="P577" s="15"/>
      <c r="Q577" s="16"/>
      <c r="R577" s="16"/>
      <c r="S577" s="17"/>
      <c r="T577" s="18">
        <f t="shared" si="50"/>
        <v>0</v>
      </c>
      <c r="U577" s="1" t="str">
        <f t="shared" si="53"/>
        <v/>
      </c>
      <c r="W577" s="21" t="str">
        <f>IF(C577&gt;0,CONCATENATE("0x",(DEC2HEX(IF(B577&lt;&gt;"",VLOOKUP(B577,Notes!$A$2:$B$37,2,FALSE)*1024,0) + C577*16 + IF(D577="",7,D577)*2 + IF(E577&gt;0, 1, 0))),","),"")</f>
        <v/>
      </c>
      <c r="X577" s="21" t="str">
        <f>IF(J577&gt;0,CONCATENATE("0x",(DEC2HEX(IF(I577&lt;&gt;"",VLOOKUP(I577,Notes!$A$2:$B$37,2,FALSE)*1024,0) + J577*16 + IF(K577="",7,K577)*2 + IF(L577&gt;0, 1, 0))),","),"")</f>
        <v/>
      </c>
      <c r="Y577" s="21" t="str">
        <f>IF(Q577&gt;0,CONCATENATE("0x",(DEC2HEX(IF(P577&lt;&gt;"",VLOOKUP(P577,Notes!$A$2:$B$37,2,FALSE)*1024,0) + Q577*16 + IF(R577="",7,R577)*2 + IF(S577&gt;0, 1, 0))),","),"")</f>
        <v/>
      </c>
    </row>
    <row r="578" spans="1:25" ht="16.5" thickTop="1" x14ac:dyDescent="0.25">
      <c r="A578" s="1">
        <v>19</v>
      </c>
      <c r="F578" s="18">
        <f t="shared" si="48"/>
        <v>0</v>
      </c>
      <c r="G578" s="1" t="str">
        <f t="shared" si="51"/>
        <v/>
      </c>
      <c r="M578" s="18">
        <f t="shared" si="49"/>
        <v>0</v>
      </c>
      <c r="N578" s="1" t="str">
        <f t="shared" si="52"/>
        <v/>
      </c>
      <c r="T578" s="18">
        <f t="shared" si="50"/>
        <v>0</v>
      </c>
      <c r="U578" s="1" t="str">
        <f t="shared" si="53"/>
        <v/>
      </c>
      <c r="W578" s="21" t="str">
        <f>IF(C578&gt;0,CONCATENATE("0x",(DEC2HEX(IF(B578&lt;&gt;"",VLOOKUP(B578,Notes!$A$2:$B$37,2,FALSE)*1024,0) + C578*16 + IF(D578="",7,D578)*2 + IF(E578&gt;0, 1, 0))),","),"")</f>
        <v/>
      </c>
      <c r="X578" s="21" t="str">
        <f>IF(J578&gt;0,CONCATENATE("0x",(DEC2HEX(IF(I578&lt;&gt;"",VLOOKUP(I578,Notes!$A$2:$B$37,2,FALSE)*1024,0) + J578*16 + IF(K578="",7,K578)*2 + IF(L578&gt;0, 1, 0))),","),"")</f>
        <v/>
      </c>
      <c r="Y578" s="21" t="str">
        <f>IF(Q578&gt;0,CONCATENATE("0x",(DEC2HEX(IF(P578&lt;&gt;"",VLOOKUP(P578,Notes!$A$2:$B$37,2,FALSE)*1024,0) + Q578*16 + IF(R578="",7,R578)*2 + IF(S578&gt;0, 1, 0))),","),"")</f>
        <v/>
      </c>
    </row>
    <row r="579" spans="1:25" x14ac:dyDescent="0.25">
      <c r="F579" s="18">
        <f t="shared" ref="F579:F642" si="54">IF(C579&gt;0, C579, MAX(F578-1,0))</f>
        <v>0</v>
      </c>
      <c r="G579" s="1" t="str">
        <f t="shared" si="51"/>
        <v/>
      </c>
      <c r="M579" s="18">
        <f t="shared" ref="M579:M642" si="55">IF(J579&gt;0, J579, MAX(M578-1,0))</f>
        <v>0</v>
      </c>
      <c r="N579" s="1" t="str">
        <f t="shared" si="52"/>
        <v/>
      </c>
      <c r="T579" s="18">
        <f t="shared" ref="T579:T642" si="56">IF(Q579&gt;0, Q579, MAX(T578-1,0))</f>
        <v>0</v>
      </c>
      <c r="U579" s="1" t="str">
        <f t="shared" si="53"/>
        <v/>
      </c>
      <c r="W579" s="21" t="str">
        <f>IF(C579&gt;0,CONCATENATE("0x",(DEC2HEX(IF(B579&lt;&gt;"",VLOOKUP(B579,Notes!$A$2:$B$37,2,FALSE)*1024,0) + C579*16 + IF(D579="",7,D579)*2 + IF(E579&gt;0, 1, 0))),","),"")</f>
        <v/>
      </c>
      <c r="X579" s="21" t="str">
        <f>IF(J579&gt;0,CONCATENATE("0x",(DEC2HEX(IF(I579&lt;&gt;"",VLOOKUP(I579,Notes!$A$2:$B$37,2,FALSE)*1024,0) + J579*16 + IF(K579="",7,K579)*2 + IF(L579&gt;0, 1, 0))),","),"")</f>
        <v/>
      </c>
      <c r="Y579" s="21" t="str">
        <f>IF(Q579&gt;0,CONCATENATE("0x",(DEC2HEX(IF(P579&lt;&gt;"",VLOOKUP(P579,Notes!$A$2:$B$37,2,FALSE)*1024,0) + Q579*16 + IF(R579="",7,R579)*2 + IF(S579&gt;0, 1, 0))),","),"")</f>
        <v/>
      </c>
    </row>
    <row r="580" spans="1:25" x14ac:dyDescent="0.25">
      <c r="F580" s="18">
        <f t="shared" si="54"/>
        <v>0</v>
      </c>
      <c r="G580" s="1" t="str">
        <f t="shared" ref="G580:G643" si="57">IF(AND(F579&gt;1,C580&gt;0), "OVERLAPPING","")</f>
        <v/>
      </c>
      <c r="M580" s="18">
        <f t="shared" si="55"/>
        <v>0</v>
      </c>
      <c r="N580" s="1" t="str">
        <f t="shared" ref="N580:N643" si="58">IF(AND(M579&gt;1,J580&gt;0), "OVERLAPPING","")</f>
        <v/>
      </c>
      <c r="T580" s="18">
        <f t="shared" si="56"/>
        <v>0</v>
      </c>
      <c r="U580" s="1" t="str">
        <f t="shared" ref="U580:U643" si="59">IF(AND(T579&gt;1,Q580&gt;0), "OVERLAPPING","")</f>
        <v/>
      </c>
      <c r="W580" s="21" t="str">
        <f>IF(C580&gt;0,CONCATENATE("0x",(DEC2HEX(IF(B580&lt;&gt;"",VLOOKUP(B580,Notes!$A$2:$B$37,2,FALSE)*1024,0) + C580*16 + IF(D580="",7,D580)*2 + IF(E580&gt;0, 1, 0))),","),"")</f>
        <v/>
      </c>
      <c r="X580" s="21" t="str">
        <f>IF(J580&gt;0,CONCATENATE("0x",(DEC2HEX(IF(I580&lt;&gt;"",VLOOKUP(I580,Notes!$A$2:$B$37,2,FALSE)*1024,0) + J580*16 + IF(K580="",7,K580)*2 + IF(L580&gt;0, 1, 0))),","),"")</f>
        <v/>
      </c>
      <c r="Y580" s="21" t="str">
        <f>IF(Q580&gt;0,CONCATENATE("0x",(DEC2HEX(IF(P580&lt;&gt;"",VLOOKUP(P580,Notes!$A$2:$B$37,2,FALSE)*1024,0) + Q580*16 + IF(R580="",7,R580)*2 + IF(S580&gt;0, 1, 0))),","),"")</f>
        <v/>
      </c>
    </row>
    <row r="581" spans="1:25" x14ac:dyDescent="0.25">
      <c r="F581" s="18">
        <f t="shared" si="54"/>
        <v>0</v>
      </c>
      <c r="G581" s="1" t="str">
        <f t="shared" si="57"/>
        <v/>
      </c>
      <c r="M581" s="18">
        <f t="shared" si="55"/>
        <v>0</v>
      </c>
      <c r="N581" s="1" t="str">
        <f t="shared" si="58"/>
        <v/>
      </c>
      <c r="T581" s="18">
        <f t="shared" si="56"/>
        <v>0</v>
      </c>
      <c r="U581" s="1" t="str">
        <f t="shared" si="59"/>
        <v/>
      </c>
      <c r="W581" s="21" t="str">
        <f>IF(C581&gt;0,CONCATENATE("0x",(DEC2HEX(IF(B581&lt;&gt;"",VLOOKUP(B581,Notes!$A$2:$B$37,2,FALSE)*1024,0) + C581*16 + IF(D581="",7,D581)*2 + IF(E581&gt;0, 1, 0))),","),"")</f>
        <v/>
      </c>
      <c r="X581" s="21" t="str">
        <f>IF(J581&gt;0,CONCATENATE("0x",(DEC2HEX(IF(I581&lt;&gt;"",VLOOKUP(I581,Notes!$A$2:$B$37,2,FALSE)*1024,0) + J581*16 + IF(K581="",7,K581)*2 + IF(L581&gt;0, 1, 0))),","),"")</f>
        <v/>
      </c>
      <c r="Y581" s="21" t="str">
        <f>IF(Q581&gt;0,CONCATENATE("0x",(DEC2HEX(IF(P581&lt;&gt;"",VLOOKUP(P581,Notes!$A$2:$B$37,2,FALSE)*1024,0) + Q581*16 + IF(R581="",7,R581)*2 + IF(S581&gt;0, 1, 0))),","),"")</f>
        <v/>
      </c>
    </row>
    <row r="582" spans="1:25" x14ac:dyDescent="0.25">
      <c r="F582" s="18">
        <f t="shared" si="54"/>
        <v>0</v>
      </c>
      <c r="G582" s="1" t="str">
        <f t="shared" si="57"/>
        <v/>
      </c>
      <c r="M582" s="18">
        <f t="shared" si="55"/>
        <v>0</v>
      </c>
      <c r="N582" s="1" t="str">
        <f t="shared" si="58"/>
        <v/>
      </c>
      <c r="T582" s="18">
        <f t="shared" si="56"/>
        <v>0</v>
      </c>
      <c r="U582" s="1" t="str">
        <f t="shared" si="59"/>
        <v/>
      </c>
      <c r="W582" s="21" t="str">
        <f>IF(C582&gt;0,CONCATENATE("0x",(DEC2HEX(IF(B582&lt;&gt;"",VLOOKUP(B582,Notes!$A$2:$B$37,2,FALSE)*1024,0) + C582*16 + IF(D582="",7,D582)*2 + IF(E582&gt;0, 1, 0))),","),"")</f>
        <v/>
      </c>
      <c r="X582" s="21" t="str">
        <f>IF(J582&gt;0,CONCATENATE("0x",(DEC2HEX(IF(I582&lt;&gt;"",VLOOKUP(I582,Notes!$A$2:$B$37,2,FALSE)*1024,0) + J582*16 + IF(K582="",7,K582)*2 + IF(L582&gt;0, 1, 0))),","),"")</f>
        <v/>
      </c>
      <c r="Y582" s="21" t="str">
        <f>IF(Q582&gt;0,CONCATENATE("0x",(DEC2HEX(IF(P582&lt;&gt;"",VLOOKUP(P582,Notes!$A$2:$B$37,2,FALSE)*1024,0) + Q582*16 + IF(R582="",7,R582)*2 + IF(S582&gt;0, 1, 0))),","),"")</f>
        <v/>
      </c>
    </row>
    <row r="583" spans="1:25" x14ac:dyDescent="0.25">
      <c r="F583" s="18">
        <f t="shared" si="54"/>
        <v>0</v>
      </c>
      <c r="G583" s="1" t="str">
        <f t="shared" si="57"/>
        <v/>
      </c>
      <c r="M583" s="18">
        <f t="shared" si="55"/>
        <v>0</v>
      </c>
      <c r="N583" s="1" t="str">
        <f t="shared" si="58"/>
        <v/>
      </c>
      <c r="T583" s="18">
        <f t="shared" si="56"/>
        <v>0</v>
      </c>
      <c r="U583" s="1" t="str">
        <f t="shared" si="59"/>
        <v/>
      </c>
      <c r="W583" s="21" t="str">
        <f>IF(C583&gt;0,CONCATENATE("0x",(DEC2HEX(IF(B583&lt;&gt;"",VLOOKUP(B583,Notes!$A$2:$B$37,2,FALSE)*1024,0) + C583*16 + IF(D583="",7,D583)*2 + IF(E583&gt;0, 1, 0))),","),"")</f>
        <v/>
      </c>
      <c r="X583" s="21" t="str">
        <f>IF(J583&gt;0,CONCATENATE("0x",(DEC2HEX(IF(I583&lt;&gt;"",VLOOKUP(I583,Notes!$A$2:$B$37,2,FALSE)*1024,0) + J583*16 + IF(K583="",7,K583)*2 + IF(L583&gt;0, 1, 0))),","),"")</f>
        <v/>
      </c>
      <c r="Y583" s="21" t="str">
        <f>IF(Q583&gt;0,CONCATENATE("0x",(DEC2HEX(IF(P583&lt;&gt;"",VLOOKUP(P583,Notes!$A$2:$B$37,2,FALSE)*1024,0) + Q583*16 + IF(R583="",7,R583)*2 + IF(S583&gt;0, 1, 0))),","),"")</f>
        <v/>
      </c>
    </row>
    <row r="584" spans="1:25" x14ac:dyDescent="0.25">
      <c r="F584" s="18">
        <f t="shared" si="54"/>
        <v>0</v>
      </c>
      <c r="G584" s="1" t="str">
        <f t="shared" si="57"/>
        <v/>
      </c>
      <c r="M584" s="18">
        <f t="shared" si="55"/>
        <v>0</v>
      </c>
      <c r="N584" s="1" t="str">
        <f t="shared" si="58"/>
        <v/>
      </c>
      <c r="T584" s="18">
        <f t="shared" si="56"/>
        <v>0</v>
      </c>
      <c r="U584" s="1" t="str">
        <f t="shared" si="59"/>
        <v/>
      </c>
      <c r="W584" s="21" t="str">
        <f>IF(C584&gt;0,CONCATENATE("0x",(DEC2HEX(IF(B584&lt;&gt;"",VLOOKUP(B584,Notes!$A$2:$B$37,2,FALSE)*1024,0) + C584*16 + IF(D584="",7,D584)*2 + IF(E584&gt;0, 1, 0))),","),"")</f>
        <v/>
      </c>
      <c r="X584" s="21" t="str">
        <f>IF(J584&gt;0,CONCATENATE("0x",(DEC2HEX(IF(I584&lt;&gt;"",VLOOKUP(I584,Notes!$A$2:$B$37,2,FALSE)*1024,0) + J584*16 + IF(K584="",7,K584)*2 + IF(L584&gt;0, 1, 0))),","),"")</f>
        <v/>
      </c>
      <c r="Y584" s="21" t="str">
        <f>IF(Q584&gt;0,CONCATENATE("0x",(DEC2HEX(IF(P584&lt;&gt;"",VLOOKUP(P584,Notes!$A$2:$B$37,2,FALSE)*1024,0) + Q584*16 + IF(R584="",7,R584)*2 + IF(S584&gt;0, 1, 0))),","),"")</f>
        <v/>
      </c>
    </row>
    <row r="585" spans="1:25" x14ac:dyDescent="0.25">
      <c r="B585" s="12"/>
      <c r="C585" s="13"/>
      <c r="D585" s="13"/>
      <c r="E585" s="14"/>
      <c r="F585" s="18">
        <f t="shared" si="54"/>
        <v>0</v>
      </c>
      <c r="G585" s="1" t="str">
        <f t="shared" si="57"/>
        <v/>
      </c>
      <c r="I585" s="12"/>
      <c r="J585" s="13"/>
      <c r="K585" s="13"/>
      <c r="L585" s="14"/>
      <c r="M585" s="18">
        <f t="shared" si="55"/>
        <v>0</v>
      </c>
      <c r="N585" s="1" t="str">
        <f t="shared" si="58"/>
        <v/>
      </c>
      <c r="P585" s="12"/>
      <c r="Q585" s="13"/>
      <c r="R585" s="13"/>
      <c r="S585" s="14"/>
      <c r="T585" s="18">
        <f t="shared" si="56"/>
        <v>0</v>
      </c>
      <c r="U585" s="1" t="str">
        <f t="shared" si="59"/>
        <v/>
      </c>
      <c r="W585" s="21" t="str">
        <f>IF(C585&gt;0,CONCATENATE("0x",(DEC2HEX(IF(B585&lt;&gt;"",VLOOKUP(B585,Notes!$A$2:$B$37,2,FALSE)*1024,0) + C585*16 + IF(D585="",7,D585)*2 + IF(E585&gt;0, 1, 0))),","),"")</f>
        <v/>
      </c>
      <c r="X585" s="21" t="str">
        <f>IF(J585&gt;0,CONCATENATE("0x",(DEC2HEX(IF(I585&lt;&gt;"",VLOOKUP(I585,Notes!$A$2:$B$37,2,FALSE)*1024,0) + J585*16 + IF(K585="",7,K585)*2 + IF(L585&gt;0, 1, 0))),","),"")</f>
        <v/>
      </c>
      <c r="Y585" s="21" t="str">
        <f>IF(Q585&gt;0,CONCATENATE("0x",(DEC2HEX(IF(P585&lt;&gt;"",VLOOKUP(P585,Notes!$A$2:$B$37,2,FALSE)*1024,0) + Q585*16 + IF(R585="",7,R585)*2 + IF(S585&gt;0, 1, 0))),","),"")</f>
        <v/>
      </c>
    </row>
    <row r="586" spans="1:25" x14ac:dyDescent="0.25">
      <c r="F586" s="18">
        <f t="shared" si="54"/>
        <v>0</v>
      </c>
      <c r="G586" s="1" t="str">
        <f t="shared" si="57"/>
        <v/>
      </c>
      <c r="M586" s="18">
        <f t="shared" si="55"/>
        <v>0</v>
      </c>
      <c r="N586" s="1" t="str">
        <f t="shared" si="58"/>
        <v/>
      </c>
      <c r="T586" s="18">
        <f t="shared" si="56"/>
        <v>0</v>
      </c>
      <c r="U586" s="1" t="str">
        <f t="shared" si="59"/>
        <v/>
      </c>
      <c r="W586" s="21" t="str">
        <f>IF(C586&gt;0,CONCATENATE("0x",(DEC2HEX(IF(B586&lt;&gt;"",VLOOKUP(B586,Notes!$A$2:$B$37,2,FALSE)*1024,0) + C586*16 + IF(D586="",7,D586)*2 + IF(E586&gt;0, 1, 0))),","),"")</f>
        <v/>
      </c>
      <c r="X586" s="21" t="str">
        <f>IF(J586&gt;0,CONCATENATE("0x",(DEC2HEX(IF(I586&lt;&gt;"",VLOOKUP(I586,Notes!$A$2:$B$37,2,FALSE)*1024,0) + J586*16 + IF(K586="",7,K586)*2 + IF(L586&gt;0, 1, 0))),","),"")</f>
        <v/>
      </c>
      <c r="Y586" s="21" t="str">
        <f>IF(Q586&gt;0,CONCATENATE("0x",(DEC2HEX(IF(P586&lt;&gt;"",VLOOKUP(P586,Notes!$A$2:$B$37,2,FALSE)*1024,0) + Q586*16 + IF(R586="",7,R586)*2 + IF(S586&gt;0, 1, 0))),","),"")</f>
        <v/>
      </c>
    </row>
    <row r="587" spans="1:25" x14ac:dyDescent="0.25">
      <c r="F587" s="18">
        <f t="shared" si="54"/>
        <v>0</v>
      </c>
      <c r="G587" s="1" t="str">
        <f t="shared" si="57"/>
        <v/>
      </c>
      <c r="M587" s="18">
        <f t="shared" si="55"/>
        <v>0</v>
      </c>
      <c r="N587" s="1" t="str">
        <f t="shared" si="58"/>
        <v/>
      </c>
      <c r="T587" s="18">
        <f t="shared" si="56"/>
        <v>0</v>
      </c>
      <c r="U587" s="1" t="str">
        <f t="shared" si="59"/>
        <v/>
      </c>
      <c r="W587" s="21" t="str">
        <f>IF(C587&gt;0,CONCATENATE("0x",(DEC2HEX(IF(B587&lt;&gt;"",VLOOKUP(B587,Notes!$A$2:$B$37,2,FALSE)*1024,0) + C587*16 + IF(D587="",7,D587)*2 + IF(E587&gt;0, 1, 0))),","),"")</f>
        <v/>
      </c>
      <c r="X587" s="21" t="str">
        <f>IF(J587&gt;0,CONCATENATE("0x",(DEC2HEX(IF(I587&lt;&gt;"",VLOOKUP(I587,Notes!$A$2:$B$37,2,FALSE)*1024,0) + J587*16 + IF(K587="",7,K587)*2 + IF(L587&gt;0, 1, 0))),","),"")</f>
        <v/>
      </c>
      <c r="Y587" s="21" t="str">
        <f>IF(Q587&gt;0,CONCATENATE("0x",(DEC2HEX(IF(P587&lt;&gt;"",VLOOKUP(P587,Notes!$A$2:$B$37,2,FALSE)*1024,0) + Q587*16 + IF(R587="",7,R587)*2 + IF(S587&gt;0, 1, 0))),","),"")</f>
        <v/>
      </c>
    </row>
    <row r="588" spans="1:25" x14ac:dyDescent="0.25">
      <c r="F588" s="18">
        <f t="shared" si="54"/>
        <v>0</v>
      </c>
      <c r="G588" s="1" t="str">
        <f t="shared" si="57"/>
        <v/>
      </c>
      <c r="M588" s="18">
        <f t="shared" si="55"/>
        <v>0</v>
      </c>
      <c r="N588" s="1" t="str">
        <f t="shared" si="58"/>
        <v/>
      </c>
      <c r="T588" s="18">
        <f t="shared" si="56"/>
        <v>0</v>
      </c>
      <c r="U588" s="1" t="str">
        <f t="shared" si="59"/>
        <v/>
      </c>
      <c r="W588" s="21" t="str">
        <f>IF(C588&gt;0,CONCATENATE("0x",(DEC2HEX(IF(B588&lt;&gt;"",VLOOKUP(B588,Notes!$A$2:$B$37,2,FALSE)*1024,0) + C588*16 + IF(D588="",7,D588)*2 + IF(E588&gt;0, 1, 0))),","),"")</f>
        <v/>
      </c>
      <c r="X588" s="21" t="str">
        <f>IF(J588&gt;0,CONCATENATE("0x",(DEC2HEX(IF(I588&lt;&gt;"",VLOOKUP(I588,Notes!$A$2:$B$37,2,FALSE)*1024,0) + J588*16 + IF(K588="",7,K588)*2 + IF(L588&gt;0, 1, 0))),","),"")</f>
        <v/>
      </c>
      <c r="Y588" s="21" t="str">
        <f>IF(Q588&gt;0,CONCATENATE("0x",(DEC2HEX(IF(P588&lt;&gt;"",VLOOKUP(P588,Notes!$A$2:$B$37,2,FALSE)*1024,0) + Q588*16 + IF(R588="",7,R588)*2 + IF(S588&gt;0, 1, 0))),","),"")</f>
        <v/>
      </c>
    </row>
    <row r="589" spans="1:25" x14ac:dyDescent="0.25">
      <c r="F589" s="18">
        <f t="shared" si="54"/>
        <v>0</v>
      </c>
      <c r="G589" s="1" t="str">
        <f t="shared" si="57"/>
        <v/>
      </c>
      <c r="M589" s="18">
        <f t="shared" si="55"/>
        <v>0</v>
      </c>
      <c r="N589" s="1" t="str">
        <f t="shared" si="58"/>
        <v/>
      </c>
      <c r="T589" s="18">
        <f t="shared" si="56"/>
        <v>0</v>
      </c>
      <c r="U589" s="1" t="str">
        <f t="shared" si="59"/>
        <v/>
      </c>
      <c r="W589" s="21" t="str">
        <f>IF(C589&gt;0,CONCATENATE("0x",(DEC2HEX(IF(B589&lt;&gt;"",VLOOKUP(B589,Notes!$A$2:$B$37,2,FALSE)*1024,0) + C589*16 + IF(D589="",7,D589)*2 + IF(E589&gt;0, 1, 0))),","),"")</f>
        <v/>
      </c>
      <c r="X589" s="21" t="str">
        <f>IF(J589&gt;0,CONCATENATE("0x",(DEC2HEX(IF(I589&lt;&gt;"",VLOOKUP(I589,Notes!$A$2:$B$37,2,FALSE)*1024,0) + J589*16 + IF(K589="",7,K589)*2 + IF(L589&gt;0, 1, 0))),","),"")</f>
        <v/>
      </c>
      <c r="Y589" s="21" t="str">
        <f>IF(Q589&gt;0,CONCATENATE("0x",(DEC2HEX(IF(P589&lt;&gt;"",VLOOKUP(P589,Notes!$A$2:$B$37,2,FALSE)*1024,0) + Q589*16 + IF(R589="",7,R589)*2 + IF(S589&gt;0, 1, 0))),","),"")</f>
        <v/>
      </c>
    </row>
    <row r="590" spans="1:25" x14ac:dyDescent="0.25">
      <c r="F590" s="18">
        <f t="shared" si="54"/>
        <v>0</v>
      </c>
      <c r="G590" s="1" t="str">
        <f t="shared" si="57"/>
        <v/>
      </c>
      <c r="M590" s="18">
        <f t="shared" si="55"/>
        <v>0</v>
      </c>
      <c r="N590" s="1" t="str">
        <f t="shared" si="58"/>
        <v/>
      </c>
      <c r="T590" s="18">
        <f t="shared" si="56"/>
        <v>0</v>
      </c>
      <c r="U590" s="1" t="str">
        <f t="shared" si="59"/>
        <v/>
      </c>
      <c r="W590" s="21" t="str">
        <f>IF(C590&gt;0,CONCATENATE("0x",(DEC2HEX(IF(B590&lt;&gt;"",VLOOKUP(B590,Notes!$A$2:$B$37,2,FALSE)*1024,0) + C590*16 + IF(D590="",7,D590)*2 + IF(E590&gt;0, 1, 0))),","),"")</f>
        <v/>
      </c>
      <c r="X590" s="21" t="str">
        <f>IF(J590&gt;0,CONCATENATE("0x",(DEC2HEX(IF(I590&lt;&gt;"",VLOOKUP(I590,Notes!$A$2:$B$37,2,FALSE)*1024,0) + J590*16 + IF(K590="",7,K590)*2 + IF(L590&gt;0, 1, 0))),","),"")</f>
        <v/>
      </c>
      <c r="Y590" s="21" t="str">
        <f>IF(Q590&gt;0,CONCATENATE("0x",(DEC2HEX(IF(P590&lt;&gt;"",VLOOKUP(P590,Notes!$A$2:$B$37,2,FALSE)*1024,0) + Q590*16 + IF(R590="",7,R590)*2 + IF(S590&gt;0, 1, 0))),","),"")</f>
        <v/>
      </c>
    </row>
    <row r="591" spans="1:25" x14ac:dyDescent="0.25">
      <c r="F591" s="18">
        <f t="shared" si="54"/>
        <v>0</v>
      </c>
      <c r="G591" s="1" t="str">
        <f t="shared" si="57"/>
        <v/>
      </c>
      <c r="M591" s="18">
        <f t="shared" si="55"/>
        <v>0</v>
      </c>
      <c r="N591" s="1" t="str">
        <f t="shared" si="58"/>
        <v/>
      </c>
      <c r="T591" s="18">
        <f t="shared" si="56"/>
        <v>0</v>
      </c>
      <c r="U591" s="1" t="str">
        <f t="shared" si="59"/>
        <v/>
      </c>
      <c r="W591" s="21" t="str">
        <f>IF(C591&gt;0,CONCATENATE("0x",(DEC2HEX(IF(B591&lt;&gt;"",VLOOKUP(B591,Notes!$A$2:$B$37,2,FALSE)*1024,0) + C591*16 + IF(D591="",7,D591)*2 + IF(E591&gt;0, 1, 0))),","),"")</f>
        <v/>
      </c>
      <c r="X591" s="21" t="str">
        <f>IF(J591&gt;0,CONCATENATE("0x",(DEC2HEX(IF(I591&lt;&gt;"",VLOOKUP(I591,Notes!$A$2:$B$37,2,FALSE)*1024,0) + J591*16 + IF(K591="",7,K591)*2 + IF(L591&gt;0, 1, 0))),","),"")</f>
        <v/>
      </c>
      <c r="Y591" s="21" t="str">
        <f>IF(Q591&gt;0,CONCATENATE("0x",(DEC2HEX(IF(P591&lt;&gt;"",VLOOKUP(P591,Notes!$A$2:$B$37,2,FALSE)*1024,0) + Q591*16 + IF(R591="",7,R591)*2 + IF(S591&gt;0, 1, 0))),","),"")</f>
        <v/>
      </c>
    </row>
    <row r="592" spans="1:25" x14ac:dyDescent="0.25">
      <c r="F592" s="18">
        <f t="shared" si="54"/>
        <v>0</v>
      </c>
      <c r="G592" s="1" t="str">
        <f t="shared" si="57"/>
        <v/>
      </c>
      <c r="M592" s="18">
        <f t="shared" si="55"/>
        <v>0</v>
      </c>
      <c r="N592" s="1" t="str">
        <f t="shared" si="58"/>
        <v/>
      </c>
      <c r="T592" s="18">
        <f t="shared" si="56"/>
        <v>0</v>
      </c>
      <c r="U592" s="1" t="str">
        <f t="shared" si="59"/>
        <v/>
      </c>
      <c r="W592" s="21" t="str">
        <f>IF(C592&gt;0,CONCATENATE("0x",(DEC2HEX(IF(B592&lt;&gt;"",VLOOKUP(B592,Notes!$A$2:$B$37,2,FALSE)*1024,0) + C592*16 + IF(D592="",7,D592)*2 + IF(E592&gt;0, 1, 0))),","),"")</f>
        <v/>
      </c>
      <c r="X592" s="21" t="str">
        <f>IF(J592&gt;0,CONCATENATE("0x",(DEC2HEX(IF(I592&lt;&gt;"",VLOOKUP(I592,Notes!$A$2:$B$37,2,FALSE)*1024,0) + J592*16 + IF(K592="",7,K592)*2 + IF(L592&gt;0, 1, 0))),","),"")</f>
        <v/>
      </c>
      <c r="Y592" s="21" t="str">
        <f>IF(Q592&gt;0,CONCATENATE("0x",(DEC2HEX(IF(P592&lt;&gt;"",VLOOKUP(P592,Notes!$A$2:$B$37,2,FALSE)*1024,0) + Q592*16 + IF(R592="",7,R592)*2 + IF(S592&gt;0, 1, 0))),","),"")</f>
        <v/>
      </c>
    </row>
    <row r="593" spans="2:25" x14ac:dyDescent="0.25">
      <c r="B593" s="12"/>
      <c r="C593" s="13"/>
      <c r="D593" s="13"/>
      <c r="E593" s="14"/>
      <c r="F593" s="18">
        <f t="shared" si="54"/>
        <v>0</v>
      </c>
      <c r="G593" s="1" t="str">
        <f t="shared" si="57"/>
        <v/>
      </c>
      <c r="I593" s="12"/>
      <c r="J593" s="13"/>
      <c r="K593" s="13"/>
      <c r="L593" s="14"/>
      <c r="M593" s="18">
        <f t="shared" si="55"/>
        <v>0</v>
      </c>
      <c r="N593" s="1" t="str">
        <f t="shared" si="58"/>
        <v/>
      </c>
      <c r="P593" s="12"/>
      <c r="Q593" s="13"/>
      <c r="R593" s="13"/>
      <c r="S593" s="14"/>
      <c r="T593" s="18">
        <f t="shared" si="56"/>
        <v>0</v>
      </c>
      <c r="U593" s="1" t="str">
        <f t="shared" si="59"/>
        <v/>
      </c>
      <c r="W593" s="21" t="str">
        <f>IF(C593&gt;0,CONCATENATE("0x",(DEC2HEX(IF(B593&lt;&gt;"",VLOOKUP(B593,Notes!$A$2:$B$37,2,FALSE)*1024,0) + C593*16 + IF(D593="",7,D593)*2 + IF(E593&gt;0, 1, 0))),","),"")</f>
        <v/>
      </c>
      <c r="X593" s="21" t="str">
        <f>IF(J593&gt;0,CONCATENATE("0x",(DEC2HEX(IF(I593&lt;&gt;"",VLOOKUP(I593,Notes!$A$2:$B$37,2,FALSE)*1024,0) + J593*16 + IF(K593="",7,K593)*2 + IF(L593&gt;0, 1, 0))),","),"")</f>
        <v/>
      </c>
      <c r="Y593" s="21" t="str">
        <f>IF(Q593&gt;0,CONCATENATE("0x",(DEC2HEX(IF(P593&lt;&gt;"",VLOOKUP(P593,Notes!$A$2:$B$37,2,FALSE)*1024,0) + Q593*16 + IF(R593="",7,R593)*2 + IF(S593&gt;0, 1, 0))),","),"")</f>
        <v/>
      </c>
    </row>
    <row r="594" spans="2:25" x14ac:dyDescent="0.25">
      <c r="F594" s="18">
        <f t="shared" si="54"/>
        <v>0</v>
      </c>
      <c r="G594" s="1" t="str">
        <f t="shared" si="57"/>
        <v/>
      </c>
      <c r="M594" s="18">
        <f t="shared" si="55"/>
        <v>0</v>
      </c>
      <c r="N594" s="1" t="str">
        <f t="shared" si="58"/>
        <v/>
      </c>
      <c r="T594" s="18">
        <f t="shared" si="56"/>
        <v>0</v>
      </c>
      <c r="U594" s="1" t="str">
        <f t="shared" si="59"/>
        <v/>
      </c>
      <c r="W594" s="21" t="str">
        <f>IF(C594&gt;0,CONCATENATE("0x",(DEC2HEX(IF(B594&lt;&gt;"",VLOOKUP(B594,Notes!$A$2:$B$37,2,FALSE)*1024,0) + C594*16 + IF(D594="",7,D594)*2 + IF(E594&gt;0, 1, 0))),","),"")</f>
        <v/>
      </c>
      <c r="X594" s="21" t="str">
        <f>IF(J594&gt;0,CONCATENATE("0x",(DEC2HEX(IF(I594&lt;&gt;"",VLOOKUP(I594,Notes!$A$2:$B$37,2,FALSE)*1024,0) + J594*16 + IF(K594="",7,K594)*2 + IF(L594&gt;0, 1, 0))),","),"")</f>
        <v/>
      </c>
      <c r="Y594" s="21" t="str">
        <f>IF(Q594&gt;0,CONCATENATE("0x",(DEC2HEX(IF(P594&lt;&gt;"",VLOOKUP(P594,Notes!$A$2:$B$37,2,FALSE)*1024,0) + Q594*16 + IF(R594="",7,R594)*2 + IF(S594&gt;0, 1, 0))),","),"")</f>
        <v/>
      </c>
    </row>
    <row r="595" spans="2:25" x14ac:dyDescent="0.25">
      <c r="F595" s="18">
        <f t="shared" si="54"/>
        <v>0</v>
      </c>
      <c r="G595" s="1" t="str">
        <f t="shared" si="57"/>
        <v/>
      </c>
      <c r="M595" s="18">
        <f t="shared" si="55"/>
        <v>0</v>
      </c>
      <c r="N595" s="1" t="str">
        <f t="shared" si="58"/>
        <v/>
      </c>
      <c r="T595" s="18">
        <f t="shared" si="56"/>
        <v>0</v>
      </c>
      <c r="U595" s="1" t="str">
        <f t="shared" si="59"/>
        <v/>
      </c>
      <c r="W595" s="21" t="str">
        <f>IF(C595&gt;0,CONCATENATE("0x",(DEC2HEX(IF(B595&lt;&gt;"",VLOOKUP(B595,Notes!$A$2:$B$37,2,FALSE)*1024,0) + C595*16 + IF(D595="",7,D595)*2 + IF(E595&gt;0, 1, 0))),","),"")</f>
        <v/>
      </c>
      <c r="X595" s="21" t="str">
        <f>IF(J595&gt;0,CONCATENATE("0x",(DEC2HEX(IF(I595&lt;&gt;"",VLOOKUP(I595,Notes!$A$2:$B$37,2,FALSE)*1024,0) + J595*16 + IF(K595="",7,K595)*2 + IF(L595&gt;0, 1, 0))),","),"")</f>
        <v/>
      </c>
      <c r="Y595" s="21" t="str">
        <f>IF(Q595&gt;0,CONCATENATE("0x",(DEC2HEX(IF(P595&lt;&gt;"",VLOOKUP(P595,Notes!$A$2:$B$37,2,FALSE)*1024,0) + Q595*16 + IF(R595="",7,R595)*2 + IF(S595&gt;0, 1, 0))),","),"")</f>
        <v/>
      </c>
    </row>
    <row r="596" spans="2:25" x14ac:dyDescent="0.25">
      <c r="F596" s="18">
        <f t="shared" si="54"/>
        <v>0</v>
      </c>
      <c r="G596" s="1" t="str">
        <f t="shared" si="57"/>
        <v/>
      </c>
      <c r="M596" s="18">
        <f t="shared" si="55"/>
        <v>0</v>
      </c>
      <c r="N596" s="1" t="str">
        <f t="shared" si="58"/>
        <v/>
      </c>
      <c r="T596" s="18">
        <f t="shared" si="56"/>
        <v>0</v>
      </c>
      <c r="U596" s="1" t="str">
        <f t="shared" si="59"/>
        <v/>
      </c>
      <c r="W596" s="21" t="str">
        <f>IF(C596&gt;0,CONCATENATE("0x",(DEC2HEX(IF(B596&lt;&gt;"",VLOOKUP(B596,Notes!$A$2:$B$37,2,FALSE)*1024,0) + C596*16 + IF(D596="",7,D596)*2 + IF(E596&gt;0, 1, 0))),","),"")</f>
        <v/>
      </c>
      <c r="X596" s="21" t="str">
        <f>IF(J596&gt;0,CONCATENATE("0x",(DEC2HEX(IF(I596&lt;&gt;"",VLOOKUP(I596,Notes!$A$2:$B$37,2,FALSE)*1024,0) + J596*16 + IF(K596="",7,K596)*2 + IF(L596&gt;0, 1, 0))),","),"")</f>
        <v/>
      </c>
      <c r="Y596" s="21" t="str">
        <f>IF(Q596&gt;0,CONCATENATE("0x",(DEC2HEX(IF(P596&lt;&gt;"",VLOOKUP(P596,Notes!$A$2:$B$37,2,FALSE)*1024,0) + Q596*16 + IF(R596="",7,R596)*2 + IF(S596&gt;0, 1, 0))),","),"")</f>
        <v/>
      </c>
    </row>
    <row r="597" spans="2:25" x14ac:dyDescent="0.25">
      <c r="F597" s="18">
        <f t="shared" si="54"/>
        <v>0</v>
      </c>
      <c r="G597" s="1" t="str">
        <f t="shared" si="57"/>
        <v/>
      </c>
      <c r="M597" s="18">
        <f t="shared" si="55"/>
        <v>0</v>
      </c>
      <c r="N597" s="1" t="str">
        <f t="shared" si="58"/>
        <v/>
      </c>
      <c r="T597" s="18">
        <f t="shared" si="56"/>
        <v>0</v>
      </c>
      <c r="U597" s="1" t="str">
        <f t="shared" si="59"/>
        <v/>
      </c>
      <c r="W597" s="21" t="str">
        <f>IF(C597&gt;0,CONCATENATE("0x",(DEC2HEX(IF(B597&lt;&gt;"",VLOOKUP(B597,Notes!$A$2:$B$37,2,FALSE)*1024,0) + C597*16 + IF(D597="",7,D597)*2 + IF(E597&gt;0, 1, 0))),","),"")</f>
        <v/>
      </c>
      <c r="X597" s="21" t="str">
        <f>IF(J597&gt;0,CONCATENATE("0x",(DEC2HEX(IF(I597&lt;&gt;"",VLOOKUP(I597,Notes!$A$2:$B$37,2,FALSE)*1024,0) + J597*16 + IF(K597="",7,K597)*2 + IF(L597&gt;0, 1, 0))),","),"")</f>
        <v/>
      </c>
      <c r="Y597" s="21" t="str">
        <f>IF(Q597&gt;0,CONCATENATE("0x",(DEC2HEX(IF(P597&lt;&gt;"",VLOOKUP(P597,Notes!$A$2:$B$37,2,FALSE)*1024,0) + Q597*16 + IF(R597="",7,R597)*2 + IF(S597&gt;0, 1, 0))),","),"")</f>
        <v/>
      </c>
    </row>
    <row r="598" spans="2:25" x14ac:dyDescent="0.25">
      <c r="F598" s="18">
        <f t="shared" si="54"/>
        <v>0</v>
      </c>
      <c r="G598" s="1" t="str">
        <f t="shared" si="57"/>
        <v/>
      </c>
      <c r="M598" s="18">
        <f t="shared" si="55"/>
        <v>0</v>
      </c>
      <c r="N598" s="1" t="str">
        <f t="shared" si="58"/>
        <v/>
      </c>
      <c r="T598" s="18">
        <f t="shared" si="56"/>
        <v>0</v>
      </c>
      <c r="U598" s="1" t="str">
        <f t="shared" si="59"/>
        <v/>
      </c>
      <c r="W598" s="21" t="str">
        <f>IF(C598&gt;0,CONCATENATE("0x",(DEC2HEX(IF(B598&lt;&gt;"",VLOOKUP(B598,Notes!$A$2:$B$37,2,FALSE)*1024,0) + C598*16 + IF(D598="",7,D598)*2 + IF(E598&gt;0, 1, 0))),","),"")</f>
        <v/>
      </c>
      <c r="X598" s="21" t="str">
        <f>IF(J598&gt;0,CONCATENATE("0x",(DEC2HEX(IF(I598&lt;&gt;"",VLOOKUP(I598,Notes!$A$2:$B$37,2,FALSE)*1024,0) + J598*16 + IF(K598="",7,K598)*2 + IF(L598&gt;0, 1, 0))),","),"")</f>
        <v/>
      </c>
      <c r="Y598" s="21" t="str">
        <f>IF(Q598&gt;0,CONCATENATE("0x",(DEC2HEX(IF(P598&lt;&gt;"",VLOOKUP(P598,Notes!$A$2:$B$37,2,FALSE)*1024,0) + Q598*16 + IF(R598="",7,R598)*2 + IF(S598&gt;0, 1, 0))),","),"")</f>
        <v/>
      </c>
    </row>
    <row r="599" spans="2:25" x14ac:dyDescent="0.25">
      <c r="F599" s="18">
        <f t="shared" si="54"/>
        <v>0</v>
      </c>
      <c r="G599" s="1" t="str">
        <f t="shared" si="57"/>
        <v/>
      </c>
      <c r="M599" s="18">
        <f t="shared" si="55"/>
        <v>0</v>
      </c>
      <c r="N599" s="1" t="str">
        <f t="shared" si="58"/>
        <v/>
      </c>
      <c r="T599" s="18">
        <f t="shared" si="56"/>
        <v>0</v>
      </c>
      <c r="U599" s="1" t="str">
        <f t="shared" si="59"/>
        <v/>
      </c>
      <c r="W599" s="21" t="str">
        <f>IF(C599&gt;0,CONCATENATE("0x",(DEC2HEX(IF(B599&lt;&gt;"",VLOOKUP(B599,Notes!$A$2:$B$37,2,FALSE)*1024,0) + C599*16 + IF(D599="",7,D599)*2 + IF(E599&gt;0, 1, 0))),","),"")</f>
        <v/>
      </c>
      <c r="X599" s="21" t="str">
        <f>IF(J599&gt;0,CONCATENATE("0x",(DEC2HEX(IF(I599&lt;&gt;"",VLOOKUP(I599,Notes!$A$2:$B$37,2,FALSE)*1024,0) + J599*16 + IF(K599="",7,K599)*2 + IF(L599&gt;0, 1, 0))),","),"")</f>
        <v/>
      </c>
      <c r="Y599" s="21" t="str">
        <f>IF(Q599&gt;0,CONCATENATE("0x",(DEC2HEX(IF(P599&lt;&gt;"",VLOOKUP(P599,Notes!$A$2:$B$37,2,FALSE)*1024,0) + Q599*16 + IF(R599="",7,R599)*2 + IF(S599&gt;0, 1, 0))),","),"")</f>
        <v/>
      </c>
    </row>
    <row r="600" spans="2:25" x14ac:dyDescent="0.25">
      <c r="F600" s="18">
        <f t="shared" si="54"/>
        <v>0</v>
      </c>
      <c r="G600" s="1" t="str">
        <f t="shared" si="57"/>
        <v/>
      </c>
      <c r="M600" s="18">
        <f t="shared" si="55"/>
        <v>0</v>
      </c>
      <c r="N600" s="1" t="str">
        <f t="shared" si="58"/>
        <v/>
      </c>
      <c r="T600" s="18">
        <f t="shared" si="56"/>
        <v>0</v>
      </c>
      <c r="U600" s="1" t="str">
        <f t="shared" si="59"/>
        <v/>
      </c>
      <c r="W600" s="21" t="str">
        <f>IF(C600&gt;0,CONCATENATE("0x",(DEC2HEX(IF(B600&lt;&gt;"",VLOOKUP(B600,Notes!$A$2:$B$37,2,FALSE)*1024,0) + C600*16 + IF(D600="",7,D600)*2 + IF(E600&gt;0, 1, 0))),","),"")</f>
        <v/>
      </c>
      <c r="X600" s="21" t="str">
        <f>IF(J600&gt;0,CONCATENATE("0x",(DEC2HEX(IF(I600&lt;&gt;"",VLOOKUP(I600,Notes!$A$2:$B$37,2,FALSE)*1024,0) + J600*16 + IF(K600="",7,K600)*2 + IF(L600&gt;0, 1, 0))),","),"")</f>
        <v/>
      </c>
      <c r="Y600" s="21" t="str">
        <f>IF(Q600&gt;0,CONCATENATE("0x",(DEC2HEX(IF(P600&lt;&gt;"",VLOOKUP(P600,Notes!$A$2:$B$37,2,FALSE)*1024,0) + Q600*16 + IF(R600="",7,R600)*2 + IF(S600&gt;0, 1, 0))),","),"")</f>
        <v/>
      </c>
    </row>
    <row r="601" spans="2:25" x14ac:dyDescent="0.25">
      <c r="B601" s="12"/>
      <c r="C601" s="13"/>
      <c r="D601" s="13"/>
      <c r="E601" s="14"/>
      <c r="F601" s="18">
        <f t="shared" si="54"/>
        <v>0</v>
      </c>
      <c r="G601" s="1" t="str">
        <f t="shared" si="57"/>
        <v/>
      </c>
      <c r="I601" s="12"/>
      <c r="J601" s="13"/>
      <c r="K601" s="13"/>
      <c r="L601" s="14"/>
      <c r="M601" s="18">
        <f t="shared" si="55"/>
        <v>0</v>
      </c>
      <c r="N601" s="1" t="str">
        <f t="shared" si="58"/>
        <v/>
      </c>
      <c r="P601" s="12"/>
      <c r="Q601" s="13"/>
      <c r="R601" s="13"/>
      <c r="S601" s="14"/>
      <c r="T601" s="18">
        <f t="shared" si="56"/>
        <v>0</v>
      </c>
      <c r="U601" s="1" t="str">
        <f t="shared" si="59"/>
        <v/>
      </c>
      <c r="W601" s="21" t="str">
        <f>IF(C601&gt;0,CONCATENATE("0x",(DEC2HEX(IF(B601&lt;&gt;"",VLOOKUP(B601,Notes!$A$2:$B$37,2,FALSE)*1024,0) + C601*16 + IF(D601="",7,D601)*2 + IF(E601&gt;0, 1, 0))),","),"")</f>
        <v/>
      </c>
      <c r="X601" s="21" t="str">
        <f>IF(J601&gt;0,CONCATENATE("0x",(DEC2HEX(IF(I601&lt;&gt;"",VLOOKUP(I601,Notes!$A$2:$B$37,2,FALSE)*1024,0) + J601*16 + IF(K601="",7,K601)*2 + IF(L601&gt;0, 1, 0))),","),"")</f>
        <v/>
      </c>
      <c r="Y601" s="21" t="str">
        <f>IF(Q601&gt;0,CONCATENATE("0x",(DEC2HEX(IF(P601&lt;&gt;"",VLOOKUP(P601,Notes!$A$2:$B$37,2,FALSE)*1024,0) + Q601*16 + IF(R601="",7,R601)*2 + IF(S601&gt;0, 1, 0))),","),"")</f>
        <v/>
      </c>
    </row>
    <row r="602" spans="2:25" x14ac:dyDescent="0.25">
      <c r="F602" s="18">
        <f t="shared" si="54"/>
        <v>0</v>
      </c>
      <c r="G602" s="1" t="str">
        <f t="shared" si="57"/>
        <v/>
      </c>
      <c r="M602" s="18">
        <f t="shared" si="55"/>
        <v>0</v>
      </c>
      <c r="N602" s="1" t="str">
        <f t="shared" si="58"/>
        <v/>
      </c>
      <c r="T602" s="18">
        <f t="shared" si="56"/>
        <v>0</v>
      </c>
      <c r="U602" s="1" t="str">
        <f t="shared" si="59"/>
        <v/>
      </c>
      <c r="W602" s="21" t="str">
        <f>IF(C602&gt;0,CONCATENATE("0x",(DEC2HEX(IF(B602&lt;&gt;"",VLOOKUP(B602,Notes!$A$2:$B$37,2,FALSE)*1024,0) + C602*16 + IF(D602="",7,D602)*2 + IF(E602&gt;0, 1, 0))),","),"")</f>
        <v/>
      </c>
      <c r="X602" s="21" t="str">
        <f>IF(J602&gt;0,CONCATENATE("0x",(DEC2HEX(IF(I602&lt;&gt;"",VLOOKUP(I602,Notes!$A$2:$B$37,2,FALSE)*1024,0) + J602*16 + IF(K602="",7,K602)*2 + IF(L602&gt;0, 1, 0))),","),"")</f>
        <v/>
      </c>
      <c r="Y602" s="21" t="str">
        <f>IF(Q602&gt;0,CONCATENATE("0x",(DEC2HEX(IF(P602&lt;&gt;"",VLOOKUP(P602,Notes!$A$2:$B$37,2,FALSE)*1024,0) + Q602*16 + IF(R602="",7,R602)*2 + IF(S602&gt;0, 1, 0))),","),"")</f>
        <v/>
      </c>
    </row>
    <row r="603" spans="2:25" x14ac:dyDescent="0.25">
      <c r="F603" s="18">
        <f t="shared" si="54"/>
        <v>0</v>
      </c>
      <c r="G603" s="1" t="str">
        <f t="shared" si="57"/>
        <v/>
      </c>
      <c r="M603" s="18">
        <f t="shared" si="55"/>
        <v>0</v>
      </c>
      <c r="N603" s="1" t="str">
        <f t="shared" si="58"/>
        <v/>
      </c>
      <c r="T603" s="18">
        <f t="shared" si="56"/>
        <v>0</v>
      </c>
      <c r="U603" s="1" t="str">
        <f t="shared" si="59"/>
        <v/>
      </c>
      <c r="W603" s="21" t="str">
        <f>IF(C603&gt;0,CONCATENATE("0x",(DEC2HEX(IF(B603&lt;&gt;"",VLOOKUP(B603,Notes!$A$2:$B$37,2,FALSE)*1024,0) + C603*16 + IF(D603="",7,D603)*2 + IF(E603&gt;0, 1, 0))),","),"")</f>
        <v/>
      </c>
      <c r="X603" s="21" t="str">
        <f>IF(J603&gt;0,CONCATENATE("0x",(DEC2HEX(IF(I603&lt;&gt;"",VLOOKUP(I603,Notes!$A$2:$B$37,2,FALSE)*1024,0) + J603*16 + IF(K603="",7,K603)*2 + IF(L603&gt;0, 1, 0))),","),"")</f>
        <v/>
      </c>
      <c r="Y603" s="21" t="str">
        <f>IF(Q603&gt;0,CONCATENATE("0x",(DEC2HEX(IF(P603&lt;&gt;"",VLOOKUP(P603,Notes!$A$2:$B$37,2,FALSE)*1024,0) + Q603*16 + IF(R603="",7,R603)*2 + IF(S603&gt;0, 1, 0))),","),"")</f>
        <v/>
      </c>
    </row>
    <row r="604" spans="2:25" x14ac:dyDescent="0.25">
      <c r="F604" s="18">
        <f t="shared" si="54"/>
        <v>0</v>
      </c>
      <c r="G604" s="1" t="str">
        <f t="shared" si="57"/>
        <v/>
      </c>
      <c r="M604" s="18">
        <f t="shared" si="55"/>
        <v>0</v>
      </c>
      <c r="N604" s="1" t="str">
        <f t="shared" si="58"/>
        <v/>
      </c>
      <c r="T604" s="18">
        <f t="shared" si="56"/>
        <v>0</v>
      </c>
      <c r="U604" s="1" t="str">
        <f t="shared" si="59"/>
        <v/>
      </c>
      <c r="W604" s="21" t="str">
        <f>IF(C604&gt;0,CONCATENATE("0x",(DEC2HEX(IF(B604&lt;&gt;"",VLOOKUP(B604,Notes!$A$2:$B$37,2,FALSE)*1024,0) + C604*16 + IF(D604="",7,D604)*2 + IF(E604&gt;0, 1, 0))),","),"")</f>
        <v/>
      </c>
      <c r="X604" s="21" t="str">
        <f>IF(J604&gt;0,CONCATENATE("0x",(DEC2HEX(IF(I604&lt;&gt;"",VLOOKUP(I604,Notes!$A$2:$B$37,2,FALSE)*1024,0) + J604*16 + IF(K604="",7,K604)*2 + IF(L604&gt;0, 1, 0))),","),"")</f>
        <v/>
      </c>
      <c r="Y604" s="21" t="str">
        <f>IF(Q604&gt;0,CONCATENATE("0x",(DEC2HEX(IF(P604&lt;&gt;"",VLOOKUP(P604,Notes!$A$2:$B$37,2,FALSE)*1024,0) + Q604*16 + IF(R604="",7,R604)*2 + IF(S604&gt;0, 1, 0))),","),"")</f>
        <v/>
      </c>
    </row>
    <row r="605" spans="2:25" x14ac:dyDescent="0.25">
      <c r="F605" s="18">
        <f t="shared" si="54"/>
        <v>0</v>
      </c>
      <c r="G605" s="1" t="str">
        <f t="shared" si="57"/>
        <v/>
      </c>
      <c r="M605" s="18">
        <f t="shared" si="55"/>
        <v>0</v>
      </c>
      <c r="N605" s="1" t="str">
        <f t="shared" si="58"/>
        <v/>
      </c>
      <c r="T605" s="18">
        <f t="shared" si="56"/>
        <v>0</v>
      </c>
      <c r="U605" s="1" t="str">
        <f t="shared" si="59"/>
        <v/>
      </c>
      <c r="W605" s="21" t="str">
        <f>IF(C605&gt;0,CONCATENATE("0x",(DEC2HEX(IF(B605&lt;&gt;"",VLOOKUP(B605,Notes!$A$2:$B$37,2,FALSE)*1024,0) + C605*16 + IF(D605="",7,D605)*2 + IF(E605&gt;0, 1, 0))),","),"")</f>
        <v/>
      </c>
      <c r="X605" s="21" t="str">
        <f>IF(J605&gt;0,CONCATENATE("0x",(DEC2HEX(IF(I605&lt;&gt;"",VLOOKUP(I605,Notes!$A$2:$B$37,2,FALSE)*1024,0) + J605*16 + IF(K605="",7,K605)*2 + IF(L605&gt;0, 1, 0))),","),"")</f>
        <v/>
      </c>
      <c r="Y605" s="21" t="str">
        <f>IF(Q605&gt;0,CONCATENATE("0x",(DEC2HEX(IF(P605&lt;&gt;"",VLOOKUP(P605,Notes!$A$2:$B$37,2,FALSE)*1024,0) + Q605*16 + IF(R605="",7,R605)*2 + IF(S605&gt;0, 1, 0))),","),"")</f>
        <v/>
      </c>
    </row>
    <row r="606" spans="2:25" x14ac:dyDescent="0.25">
      <c r="F606" s="18">
        <f t="shared" si="54"/>
        <v>0</v>
      </c>
      <c r="G606" s="1" t="str">
        <f t="shared" si="57"/>
        <v/>
      </c>
      <c r="M606" s="18">
        <f t="shared" si="55"/>
        <v>0</v>
      </c>
      <c r="N606" s="1" t="str">
        <f t="shared" si="58"/>
        <v/>
      </c>
      <c r="T606" s="18">
        <f t="shared" si="56"/>
        <v>0</v>
      </c>
      <c r="U606" s="1" t="str">
        <f t="shared" si="59"/>
        <v/>
      </c>
      <c r="W606" s="21" t="str">
        <f>IF(C606&gt;0,CONCATENATE("0x",(DEC2HEX(IF(B606&lt;&gt;"",VLOOKUP(B606,Notes!$A$2:$B$37,2,FALSE)*1024,0) + C606*16 + IF(D606="",7,D606)*2 + IF(E606&gt;0, 1, 0))),","),"")</f>
        <v/>
      </c>
      <c r="X606" s="21" t="str">
        <f>IF(J606&gt;0,CONCATENATE("0x",(DEC2HEX(IF(I606&lt;&gt;"",VLOOKUP(I606,Notes!$A$2:$B$37,2,FALSE)*1024,0) + J606*16 + IF(K606="",7,K606)*2 + IF(L606&gt;0, 1, 0))),","),"")</f>
        <v/>
      </c>
      <c r="Y606" s="21" t="str">
        <f>IF(Q606&gt;0,CONCATENATE("0x",(DEC2HEX(IF(P606&lt;&gt;"",VLOOKUP(P606,Notes!$A$2:$B$37,2,FALSE)*1024,0) + Q606*16 + IF(R606="",7,R606)*2 + IF(S606&gt;0, 1, 0))),","),"")</f>
        <v/>
      </c>
    </row>
    <row r="607" spans="2:25" x14ac:dyDescent="0.25">
      <c r="F607" s="18">
        <f t="shared" si="54"/>
        <v>0</v>
      </c>
      <c r="G607" s="1" t="str">
        <f t="shared" si="57"/>
        <v/>
      </c>
      <c r="M607" s="18">
        <f t="shared" si="55"/>
        <v>0</v>
      </c>
      <c r="N607" s="1" t="str">
        <f t="shared" si="58"/>
        <v/>
      </c>
      <c r="T607" s="18">
        <f t="shared" si="56"/>
        <v>0</v>
      </c>
      <c r="U607" s="1" t="str">
        <f t="shared" si="59"/>
        <v/>
      </c>
      <c r="W607" s="21" t="str">
        <f>IF(C607&gt;0,CONCATENATE("0x",(DEC2HEX(IF(B607&lt;&gt;"",VLOOKUP(B607,Notes!$A$2:$B$37,2,FALSE)*1024,0) + C607*16 + IF(D607="",7,D607)*2 + IF(E607&gt;0, 1, 0))),","),"")</f>
        <v/>
      </c>
      <c r="X607" s="21" t="str">
        <f>IF(J607&gt;0,CONCATENATE("0x",(DEC2HEX(IF(I607&lt;&gt;"",VLOOKUP(I607,Notes!$A$2:$B$37,2,FALSE)*1024,0) + J607*16 + IF(K607="",7,K607)*2 + IF(L607&gt;0, 1, 0))),","),"")</f>
        <v/>
      </c>
      <c r="Y607" s="21" t="str">
        <f>IF(Q607&gt;0,CONCATENATE("0x",(DEC2HEX(IF(P607&lt;&gt;"",VLOOKUP(P607,Notes!$A$2:$B$37,2,FALSE)*1024,0) + Q607*16 + IF(R607="",7,R607)*2 + IF(S607&gt;0, 1, 0))),","),"")</f>
        <v/>
      </c>
    </row>
    <row r="608" spans="2:25" x14ac:dyDescent="0.25">
      <c r="F608" s="18">
        <f t="shared" si="54"/>
        <v>0</v>
      </c>
      <c r="G608" s="1" t="str">
        <f t="shared" si="57"/>
        <v/>
      </c>
      <c r="M608" s="18">
        <f t="shared" si="55"/>
        <v>0</v>
      </c>
      <c r="N608" s="1" t="str">
        <f t="shared" si="58"/>
        <v/>
      </c>
      <c r="T608" s="18">
        <f t="shared" si="56"/>
        <v>0</v>
      </c>
      <c r="U608" s="1" t="str">
        <f t="shared" si="59"/>
        <v/>
      </c>
      <c r="W608" s="21" t="str">
        <f>IF(C608&gt;0,CONCATENATE("0x",(DEC2HEX(IF(B608&lt;&gt;"",VLOOKUP(B608,Notes!$A$2:$B$37,2,FALSE)*1024,0) + C608*16 + IF(D608="",7,D608)*2 + IF(E608&gt;0, 1, 0))),","),"")</f>
        <v/>
      </c>
      <c r="X608" s="21" t="str">
        <f>IF(J608&gt;0,CONCATENATE("0x",(DEC2HEX(IF(I608&lt;&gt;"",VLOOKUP(I608,Notes!$A$2:$B$37,2,FALSE)*1024,0) + J608*16 + IF(K608="",7,K608)*2 + IF(L608&gt;0, 1, 0))),","),"")</f>
        <v/>
      </c>
      <c r="Y608" s="21" t="str">
        <f>IF(Q608&gt;0,CONCATENATE("0x",(DEC2HEX(IF(P608&lt;&gt;"",VLOOKUP(P608,Notes!$A$2:$B$37,2,FALSE)*1024,0) + Q608*16 + IF(R608="",7,R608)*2 + IF(S608&gt;0, 1, 0))),","),"")</f>
        <v/>
      </c>
    </row>
    <row r="609" spans="1:25" ht="16.5" thickBot="1" x14ac:dyDescent="0.3">
      <c r="B609" s="15"/>
      <c r="C609" s="16"/>
      <c r="D609" s="16"/>
      <c r="E609" s="17"/>
      <c r="F609" s="18">
        <f t="shared" si="54"/>
        <v>0</v>
      </c>
      <c r="G609" s="1" t="str">
        <f t="shared" si="57"/>
        <v/>
      </c>
      <c r="I609" s="15"/>
      <c r="J609" s="16"/>
      <c r="K609" s="16"/>
      <c r="L609" s="17"/>
      <c r="M609" s="18">
        <f t="shared" si="55"/>
        <v>0</v>
      </c>
      <c r="N609" s="1" t="str">
        <f t="shared" si="58"/>
        <v/>
      </c>
      <c r="P609" s="15"/>
      <c r="Q609" s="16"/>
      <c r="R609" s="16"/>
      <c r="S609" s="17"/>
      <c r="T609" s="18">
        <f t="shared" si="56"/>
        <v>0</v>
      </c>
      <c r="U609" s="1" t="str">
        <f t="shared" si="59"/>
        <v/>
      </c>
      <c r="W609" s="21" t="str">
        <f>IF(C609&gt;0,CONCATENATE("0x",(DEC2HEX(IF(B609&lt;&gt;"",VLOOKUP(B609,Notes!$A$2:$B$37,2,FALSE)*1024,0) + C609*16 + IF(D609="",7,D609)*2 + IF(E609&gt;0, 1, 0))),","),"")</f>
        <v/>
      </c>
      <c r="X609" s="21" t="str">
        <f>IF(J609&gt;0,CONCATENATE("0x",(DEC2HEX(IF(I609&lt;&gt;"",VLOOKUP(I609,Notes!$A$2:$B$37,2,FALSE)*1024,0) + J609*16 + IF(K609="",7,K609)*2 + IF(L609&gt;0, 1, 0))),","),"")</f>
        <v/>
      </c>
      <c r="Y609" s="21" t="str">
        <f>IF(Q609&gt;0,CONCATENATE("0x",(DEC2HEX(IF(P609&lt;&gt;"",VLOOKUP(P609,Notes!$A$2:$B$37,2,FALSE)*1024,0) + Q609*16 + IF(R609="",7,R609)*2 + IF(S609&gt;0, 1, 0))),","),"")</f>
        <v/>
      </c>
    </row>
    <row r="610" spans="1:25" ht="16.5" thickTop="1" x14ac:dyDescent="0.25">
      <c r="A610" s="1">
        <v>20</v>
      </c>
      <c r="F610" s="18">
        <f t="shared" si="54"/>
        <v>0</v>
      </c>
      <c r="G610" s="1" t="str">
        <f t="shared" si="57"/>
        <v/>
      </c>
      <c r="M610" s="18">
        <f t="shared" si="55"/>
        <v>0</v>
      </c>
      <c r="N610" s="1" t="str">
        <f t="shared" si="58"/>
        <v/>
      </c>
      <c r="T610" s="18">
        <f t="shared" si="56"/>
        <v>0</v>
      </c>
      <c r="U610" s="1" t="str">
        <f t="shared" si="59"/>
        <v/>
      </c>
      <c r="W610" s="21" t="str">
        <f>IF(C610&gt;0,CONCATENATE("0x",(DEC2HEX(IF(B610&lt;&gt;"",VLOOKUP(B610,Notes!$A$2:$B$37,2,FALSE)*1024,0) + C610*16 + IF(D610="",7,D610)*2 + IF(E610&gt;0, 1, 0))),","),"")</f>
        <v/>
      </c>
      <c r="X610" s="21" t="str">
        <f>IF(J610&gt;0,CONCATENATE("0x",(DEC2HEX(IF(I610&lt;&gt;"",VLOOKUP(I610,Notes!$A$2:$B$37,2,FALSE)*1024,0) + J610*16 + IF(K610="",7,K610)*2 + IF(L610&gt;0, 1, 0))),","),"")</f>
        <v/>
      </c>
      <c r="Y610" s="21" t="str">
        <f>IF(Q610&gt;0,CONCATENATE("0x",(DEC2HEX(IF(P610&lt;&gt;"",VLOOKUP(P610,Notes!$A$2:$B$37,2,FALSE)*1024,0) + Q610*16 + IF(R610="",7,R610)*2 + IF(S610&gt;0, 1, 0))),","),"")</f>
        <v/>
      </c>
    </row>
    <row r="611" spans="1:25" x14ac:dyDescent="0.25">
      <c r="F611" s="18">
        <f t="shared" si="54"/>
        <v>0</v>
      </c>
      <c r="G611" s="1" t="str">
        <f t="shared" si="57"/>
        <v/>
      </c>
      <c r="M611" s="18">
        <f t="shared" si="55"/>
        <v>0</v>
      </c>
      <c r="N611" s="1" t="str">
        <f t="shared" si="58"/>
        <v/>
      </c>
      <c r="T611" s="18">
        <f t="shared" si="56"/>
        <v>0</v>
      </c>
      <c r="U611" s="1" t="str">
        <f t="shared" si="59"/>
        <v/>
      </c>
      <c r="W611" s="21" t="str">
        <f>IF(C611&gt;0,CONCATENATE("0x",(DEC2HEX(IF(B611&lt;&gt;"",VLOOKUP(B611,Notes!$A$2:$B$37,2,FALSE)*1024,0) + C611*16 + IF(D611="",7,D611)*2 + IF(E611&gt;0, 1, 0))),","),"")</f>
        <v/>
      </c>
      <c r="X611" s="21" t="str">
        <f>IF(J611&gt;0,CONCATENATE("0x",(DEC2HEX(IF(I611&lt;&gt;"",VLOOKUP(I611,Notes!$A$2:$B$37,2,FALSE)*1024,0) + J611*16 + IF(K611="",7,K611)*2 + IF(L611&gt;0, 1, 0))),","),"")</f>
        <v/>
      </c>
      <c r="Y611" s="21" t="str">
        <f>IF(Q611&gt;0,CONCATENATE("0x",(DEC2HEX(IF(P611&lt;&gt;"",VLOOKUP(P611,Notes!$A$2:$B$37,2,FALSE)*1024,0) + Q611*16 + IF(R611="",7,R611)*2 + IF(S611&gt;0, 1, 0))),","),"")</f>
        <v/>
      </c>
    </row>
    <row r="612" spans="1:25" x14ac:dyDescent="0.25">
      <c r="F612" s="18">
        <f t="shared" si="54"/>
        <v>0</v>
      </c>
      <c r="G612" s="1" t="str">
        <f t="shared" si="57"/>
        <v/>
      </c>
      <c r="M612" s="18">
        <f t="shared" si="55"/>
        <v>0</v>
      </c>
      <c r="N612" s="1" t="str">
        <f t="shared" si="58"/>
        <v/>
      </c>
      <c r="T612" s="18">
        <f t="shared" si="56"/>
        <v>0</v>
      </c>
      <c r="U612" s="1" t="str">
        <f t="shared" si="59"/>
        <v/>
      </c>
      <c r="W612" s="21" t="str">
        <f>IF(C612&gt;0,CONCATENATE("0x",(DEC2HEX(IF(B612&lt;&gt;"",VLOOKUP(B612,Notes!$A$2:$B$37,2,FALSE)*1024,0) + C612*16 + IF(D612="",7,D612)*2 + IF(E612&gt;0, 1, 0))),","),"")</f>
        <v/>
      </c>
      <c r="X612" s="21" t="str">
        <f>IF(J612&gt;0,CONCATENATE("0x",(DEC2HEX(IF(I612&lt;&gt;"",VLOOKUP(I612,Notes!$A$2:$B$37,2,FALSE)*1024,0) + J612*16 + IF(K612="",7,K612)*2 + IF(L612&gt;0, 1, 0))),","),"")</f>
        <v/>
      </c>
      <c r="Y612" s="21" t="str">
        <f>IF(Q612&gt;0,CONCATENATE("0x",(DEC2HEX(IF(P612&lt;&gt;"",VLOOKUP(P612,Notes!$A$2:$B$37,2,FALSE)*1024,0) + Q612*16 + IF(R612="",7,R612)*2 + IF(S612&gt;0, 1, 0))),","),"")</f>
        <v/>
      </c>
    </row>
    <row r="613" spans="1:25" x14ac:dyDescent="0.25">
      <c r="F613" s="18">
        <f t="shared" si="54"/>
        <v>0</v>
      </c>
      <c r="G613" s="1" t="str">
        <f t="shared" si="57"/>
        <v/>
      </c>
      <c r="M613" s="18">
        <f t="shared" si="55"/>
        <v>0</v>
      </c>
      <c r="N613" s="1" t="str">
        <f t="shared" si="58"/>
        <v/>
      </c>
      <c r="T613" s="18">
        <f t="shared" si="56"/>
        <v>0</v>
      </c>
      <c r="U613" s="1" t="str">
        <f t="shared" si="59"/>
        <v/>
      </c>
      <c r="W613" s="21" t="str">
        <f>IF(C613&gt;0,CONCATENATE("0x",(DEC2HEX(IF(B613&lt;&gt;"",VLOOKUP(B613,Notes!$A$2:$B$37,2,FALSE)*1024,0) + C613*16 + IF(D613="",7,D613)*2 + IF(E613&gt;0, 1, 0))),","),"")</f>
        <v/>
      </c>
      <c r="X613" s="21" t="str">
        <f>IF(J613&gt;0,CONCATENATE("0x",(DEC2HEX(IF(I613&lt;&gt;"",VLOOKUP(I613,Notes!$A$2:$B$37,2,FALSE)*1024,0) + J613*16 + IF(K613="",7,K613)*2 + IF(L613&gt;0, 1, 0))),","),"")</f>
        <v/>
      </c>
      <c r="Y613" s="21" t="str">
        <f>IF(Q613&gt;0,CONCATENATE("0x",(DEC2HEX(IF(P613&lt;&gt;"",VLOOKUP(P613,Notes!$A$2:$B$37,2,FALSE)*1024,0) + Q613*16 + IF(R613="",7,R613)*2 + IF(S613&gt;0, 1, 0))),","),"")</f>
        <v/>
      </c>
    </row>
    <row r="614" spans="1:25" x14ac:dyDescent="0.25">
      <c r="F614" s="18">
        <f t="shared" si="54"/>
        <v>0</v>
      </c>
      <c r="G614" s="1" t="str">
        <f t="shared" si="57"/>
        <v/>
      </c>
      <c r="M614" s="18">
        <f t="shared" si="55"/>
        <v>0</v>
      </c>
      <c r="N614" s="1" t="str">
        <f t="shared" si="58"/>
        <v/>
      </c>
      <c r="T614" s="18">
        <f t="shared" si="56"/>
        <v>0</v>
      </c>
      <c r="U614" s="1" t="str">
        <f t="shared" si="59"/>
        <v/>
      </c>
      <c r="W614" s="21" t="str">
        <f>IF(C614&gt;0,CONCATENATE("0x",(DEC2HEX(IF(B614&lt;&gt;"",VLOOKUP(B614,Notes!$A$2:$B$37,2,FALSE)*1024,0) + C614*16 + IF(D614="",7,D614)*2 + IF(E614&gt;0, 1, 0))),","),"")</f>
        <v/>
      </c>
      <c r="X614" s="21" t="str">
        <f>IF(J614&gt;0,CONCATENATE("0x",(DEC2HEX(IF(I614&lt;&gt;"",VLOOKUP(I614,Notes!$A$2:$B$37,2,FALSE)*1024,0) + J614*16 + IF(K614="",7,K614)*2 + IF(L614&gt;0, 1, 0))),","),"")</f>
        <v/>
      </c>
      <c r="Y614" s="21" t="str">
        <f>IF(Q614&gt;0,CONCATENATE("0x",(DEC2HEX(IF(P614&lt;&gt;"",VLOOKUP(P614,Notes!$A$2:$B$37,2,FALSE)*1024,0) + Q614*16 + IF(R614="",7,R614)*2 + IF(S614&gt;0, 1, 0))),","),"")</f>
        <v/>
      </c>
    </row>
    <row r="615" spans="1:25" x14ac:dyDescent="0.25">
      <c r="F615" s="18">
        <f t="shared" si="54"/>
        <v>0</v>
      </c>
      <c r="G615" s="1" t="str">
        <f t="shared" si="57"/>
        <v/>
      </c>
      <c r="M615" s="18">
        <f t="shared" si="55"/>
        <v>0</v>
      </c>
      <c r="N615" s="1" t="str">
        <f t="shared" si="58"/>
        <v/>
      </c>
      <c r="T615" s="18">
        <f t="shared" si="56"/>
        <v>0</v>
      </c>
      <c r="U615" s="1" t="str">
        <f t="shared" si="59"/>
        <v/>
      </c>
      <c r="W615" s="21" t="str">
        <f>IF(C615&gt;0,CONCATENATE("0x",(DEC2HEX(IF(B615&lt;&gt;"",VLOOKUP(B615,Notes!$A$2:$B$37,2,FALSE)*1024,0) + C615*16 + IF(D615="",7,D615)*2 + IF(E615&gt;0, 1, 0))),","),"")</f>
        <v/>
      </c>
      <c r="X615" s="21" t="str">
        <f>IF(J615&gt;0,CONCATENATE("0x",(DEC2HEX(IF(I615&lt;&gt;"",VLOOKUP(I615,Notes!$A$2:$B$37,2,FALSE)*1024,0) + J615*16 + IF(K615="",7,K615)*2 + IF(L615&gt;0, 1, 0))),","),"")</f>
        <v/>
      </c>
      <c r="Y615" s="21" t="str">
        <f>IF(Q615&gt;0,CONCATENATE("0x",(DEC2HEX(IF(P615&lt;&gt;"",VLOOKUP(P615,Notes!$A$2:$B$37,2,FALSE)*1024,0) + Q615*16 + IF(R615="",7,R615)*2 + IF(S615&gt;0, 1, 0))),","),"")</f>
        <v/>
      </c>
    </row>
    <row r="616" spans="1:25" x14ac:dyDescent="0.25">
      <c r="F616" s="18">
        <f t="shared" si="54"/>
        <v>0</v>
      </c>
      <c r="G616" s="1" t="str">
        <f t="shared" si="57"/>
        <v/>
      </c>
      <c r="M616" s="18">
        <f t="shared" si="55"/>
        <v>0</v>
      </c>
      <c r="N616" s="1" t="str">
        <f t="shared" si="58"/>
        <v/>
      </c>
      <c r="T616" s="18">
        <f t="shared" si="56"/>
        <v>0</v>
      </c>
      <c r="U616" s="1" t="str">
        <f t="shared" si="59"/>
        <v/>
      </c>
      <c r="W616" s="21" t="str">
        <f>IF(C616&gt;0,CONCATENATE("0x",(DEC2HEX(IF(B616&lt;&gt;"",VLOOKUP(B616,Notes!$A$2:$B$37,2,FALSE)*1024,0) + C616*16 + IF(D616="",7,D616)*2 + IF(E616&gt;0, 1, 0))),","),"")</f>
        <v/>
      </c>
      <c r="X616" s="21" t="str">
        <f>IF(J616&gt;0,CONCATENATE("0x",(DEC2HEX(IF(I616&lt;&gt;"",VLOOKUP(I616,Notes!$A$2:$B$37,2,FALSE)*1024,0) + J616*16 + IF(K616="",7,K616)*2 + IF(L616&gt;0, 1, 0))),","),"")</f>
        <v/>
      </c>
      <c r="Y616" s="21" t="str">
        <f>IF(Q616&gt;0,CONCATENATE("0x",(DEC2HEX(IF(P616&lt;&gt;"",VLOOKUP(P616,Notes!$A$2:$B$37,2,FALSE)*1024,0) + Q616*16 + IF(R616="",7,R616)*2 + IF(S616&gt;0, 1, 0))),","),"")</f>
        <v/>
      </c>
    </row>
    <row r="617" spans="1:25" x14ac:dyDescent="0.25">
      <c r="B617" s="12"/>
      <c r="C617" s="13"/>
      <c r="D617" s="13"/>
      <c r="E617" s="14"/>
      <c r="F617" s="18">
        <f t="shared" si="54"/>
        <v>0</v>
      </c>
      <c r="G617" s="1" t="str">
        <f t="shared" si="57"/>
        <v/>
      </c>
      <c r="I617" s="12"/>
      <c r="J617" s="13"/>
      <c r="K617" s="13"/>
      <c r="L617" s="14"/>
      <c r="M617" s="18">
        <f t="shared" si="55"/>
        <v>0</v>
      </c>
      <c r="N617" s="1" t="str">
        <f t="shared" si="58"/>
        <v/>
      </c>
      <c r="P617" s="12"/>
      <c r="Q617" s="13"/>
      <c r="R617" s="13"/>
      <c r="S617" s="14"/>
      <c r="T617" s="18">
        <f t="shared" si="56"/>
        <v>0</v>
      </c>
      <c r="U617" s="1" t="str">
        <f t="shared" si="59"/>
        <v/>
      </c>
      <c r="W617" s="21" t="str">
        <f>IF(C617&gt;0,CONCATENATE("0x",(DEC2HEX(IF(B617&lt;&gt;"",VLOOKUP(B617,Notes!$A$2:$B$37,2,FALSE)*1024,0) + C617*16 + IF(D617="",7,D617)*2 + IF(E617&gt;0, 1, 0))),","),"")</f>
        <v/>
      </c>
      <c r="X617" s="21" t="str">
        <f>IF(J617&gt;0,CONCATENATE("0x",(DEC2HEX(IF(I617&lt;&gt;"",VLOOKUP(I617,Notes!$A$2:$B$37,2,FALSE)*1024,0) + J617*16 + IF(K617="",7,K617)*2 + IF(L617&gt;0, 1, 0))),","),"")</f>
        <v/>
      </c>
      <c r="Y617" s="21" t="str">
        <f>IF(Q617&gt;0,CONCATENATE("0x",(DEC2HEX(IF(P617&lt;&gt;"",VLOOKUP(P617,Notes!$A$2:$B$37,2,FALSE)*1024,0) + Q617*16 + IF(R617="",7,R617)*2 + IF(S617&gt;0, 1, 0))),","),"")</f>
        <v/>
      </c>
    </row>
    <row r="618" spans="1:25" x14ac:dyDescent="0.25">
      <c r="F618" s="18">
        <f t="shared" si="54"/>
        <v>0</v>
      </c>
      <c r="G618" s="1" t="str">
        <f t="shared" si="57"/>
        <v/>
      </c>
      <c r="M618" s="18">
        <f t="shared" si="55"/>
        <v>0</v>
      </c>
      <c r="N618" s="1" t="str">
        <f t="shared" si="58"/>
        <v/>
      </c>
      <c r="T618" s="18">
        <f t="shared" si="56"/>
        <v>0</v>
      </c>
      <c r="U618" s="1" t="str">
        <f t="shared" si="59"/>
        <v/>
      </c>
      <c r="W618" s="21" t="str">
        <f>IF(C618&gt;0,CONCATENATE("0x",(DEC2HEX(IF(B618&lt;&gt;"",VLOOKUP(B618,Notes!$A$2:$B$37,2,FALSE)*1024,0) + C618*16 + IF(D618="",7,D618)*2 + IF(E618&gt;0, 1, 0))),","),"")</f>
        <v/>
      </c>
      <c r="X618" s="21" t="str">
        <f>IF(J618&gt;0,CONCATENATE("0x",(DEC2HEX(IF(I618&lt;&gt;"",VLOOKUP(I618,Notes!$A$2:$B$37,2,FALSE)*1024,0) + J618*16 + IF(K618="",7,K618)*2 + IF(L618&gt;0, 1, 0))),","),"")</f>
        <v/>
      </c>
      <c r="Y618" s="21" t="str">
        <f>IF(Q618&gt;0,CONCATENATE("0x",(DEC2HEX(IF(P618&lt;&gt;"",VLOOKUP(P618,Notes!$A$2:$B$37,2,FALSE)*1024,0) + Q618*16 + IF(R618="",7,R618)*2 + IF(S618&gt;0, 1, 0))),","),"")</f>
        <v/>
      </c>
    </row>
    <row r="619" spans="1:25" x14ac:dyDescent="0.25">
      <c r="F619" s="18">
        <f t="shared" si="54"/>
        <v>0</v>
      </c>
      <c r="G619" s="1" t="str">
        <f t="shared" si="57"/>
        <v/>
      </c>
      <c r="M619" s="18">
        <f t="shared" si="55"/>
        <v>0</v>
      </c>
      <c r="N619" s="1" t="str">
        <f t="shared" si="58"/>
        <v/>
      </c>
      <c r="T619" s="18">
        <f t="shared" si="56"/>
        <v>0</v>
      </c>
      <c r="U619" s="1" t="str">
        <f t="shared" si="59"/>
        <v/>
      </c>
      <c r="W619" s="21" t="str">
        <f>IF(C619&gt;0,CONCATENATE("0x",(DEC2HEX(IF(B619&lt;&gt;"",VLOOKUP(B619,Notes!$A$2:$B$37,2,FALSE)*1024,0) + C619*16 + IF(D619="",7,D619)*2 + IF(E619&gt;0, 1, 0))),","),"")</f>
        <v/>
      </c>
      <c r="X619" s="21" t="str">
        <f>IF(J619&gt;0,CONCATENATE("0x",(DEC2HEX(IF(I619&lt;&gt;"",VLOOKUP(I619,Notes!$A$2:$B$37,2,FALSE)*1024,0) + J619*16 + IF(K619="",7,K619)*2 + IF(L619&gt;0, 1, 0))),","),"")</f>
        <v/>
      </c>
      <c r="Y619" s="21" t="str">
        <f>IF(Q619&gt;0,CONCATENATE("0x",(DEC2HEX(IF(P619&lt;&gt;"",VLOOKUP(P619,Notes!$A$2:$B$37,2,FALSE)*1024,0) + Q619*16 + IF(R619="",7,R619)*2 + IF(S619&gt;0, 1, 0))),","),"")</f>
        <v/>
      </c>
    </row>
    <row r="620" spans="1:25" x14ac:dyDescent="0.25">
      <c r="F620" s="18">
        <f t="shared" si="54"/>
        <v>0</v>
      </c>
      <c r="G620" s="1" t="str">
        <f t="shared" si="57"/>
        <v/>
      </c>
      <c r="M620" s="18">
        <f t="shared" si="55"/>
        <v>0</v>
      </c>
      <c r="N620" s="1" t="str">
        <f t="shared" si="58"/>
        <v/>
      </c>
      <c r="T620" s="18">
        <f t="shared" si="56"/>
        <v>0</v>
      </c>
      <c r="U620" s="1" t="str">
        <f t="shared" si="59"/>
        <v/>
      </c>
      <c r="W620" s="21" t="str">
        <f>IF(C620&gt;0,CONCATENATE("0x",(DEC2HEX(IF(B620&lt;&gt;"",VLOOKUP(B620,Notes!$A$2:$B$37,2,FALSE)*1024,0) + C620*16 + IF(D620="",7,D620)*2 + IF(E620&gt;0, 1, 0))),","),"")</f>
        <v/>
      </c>
      <c r="X620" s="21" t="str">
        <f>IF(J620&gt;0,CONCATENATE("0x",(DEC2HEX(IF(I620&lt;&gt;"",VLOOKUP(I620,Notes!$A$2:$B$37,2,FALSE)*1024,0) + J620*16 + IF(K620="",7,K620)*2 + IF(L620&gt;0, 1, 0))),","),"")</f>
        <v/>
      </c>
      <c r="Y620" s="21" t="str">
        <f>IF(Q620&gt;0,CONCATENATE("0x",(DEC2HEX(IF(P620&lt;&gt;"",VLOOKUP(P620,Notes!$A$2:$B$37,2,FALSE)*1024,0) + Q620*16 + IF(R620="",7,R620)*2 + IF(S620&gt;0, 1, 0))),","),"")</f>
        <v/>
      </c>
    </row>
    <row r="621" spans="1:25" x14ac:dyDescent="0.25">
      <c r="F621" s="18">
        <f t="shared" si="54"/>
        <v>0</v>
      </c>
      <c r="G621" s="1" t="str">
        <f t="shared" si="57"/>
        <v/>
      </c>
      <c r="M621" s="18">
        <f t="shared" si="55"/>
        <v>0</v>
      </c>
      <c r="N621" s="1" t="str">
        <f t="shared" si="58"/>
        <v/>
      </c>
      <c r="T621" s="18">
        <f t="shared" si="56"/>
        <v>0</v>
      </c>
      <c r="U621" s="1" t="str">
        <f t="shared" si="59"/>
        <v/>
      </c>
      <c r="W621" s="21" t="str">
        <f>IF(C621&gt;0,CONCATENATE("0x",(DEC2HEX(IF(B621&lt;&gt;"",VLOOKUP(B621,Notes!$A$2:$B$37,2,FALSE)*1024,0) + C621*16 + IF(D621="",7,D621)*2 + IF(E621&gt;0, 1, 0))),","),"")</f>
        <v/>
      </c>
      <c r="X621" s="21" t="str">
        <f>IF(J621&gt;0,CONCATENATE("0x",(DEC2HEX(IF(I621&lt;&gt;"",VLOOKUP(I621,Notes!$A$2:$B$37,2,FALSE)*1024,0) + J621*16 + IF(K621="",7,K621)*2 + IF(L621&gt;0, 1, 0))),","),"")</f>
        <v/>
      </c>
      <c r="Y621" s="21" t="str">
        <f>IF(Q621&gt;0,CONCATENATE("0x",(DEC2HEX(IF(P621&lt;&gt;"",VLOOKUP(P621,Notes!$A$2:$B$37,2,FALSE)*1024,0) + Q621*16 + IF(R621="",7,R621)*2 + IF(S621&gt;0, 1, 0))),","),"")</f>
        <v/>
      </c>
    </row>
    <row r="622" spans="1:25" x14ac:dyDescent="0.25">
      <c r="F622" s="18">
        <f t="shared" si="54"/>
        <v>0</v>
      </c>
      <c r="G622" s="1" t="str">
        <f t="shared" si="57"/>
        <v/>
      </c>
      <c r="M622" s="18">
        <f t="shared" si="55"/>
        <v>0</v>
      </c>
      <c r="N622" s="1" t="str">
        <f t="shared" si="58"/>
        <v/>
      </c>
      <c r="T622" s="18">
        <f t="shared" si="56"/>
        <v>0</v>
      </c>
      <c r="U622" s="1" t="str">
        <f t="shared" si="59"/>
        <v/>
      </c>
      <c r="W622" s="21" t="str">
        <f>IF(C622&gt;0,CONCATENATE("0x",(DEC2HEX(IF(B622&lt;&gt;"",VLOOKUP(B622,Notes!$A$2:$B$37,2,FALSE)*1024,0) + C622*16 + IF(D622="",7,D622)*2 + IF(E622&gt;0, 1, 0))),","),"")</f>
        <v/>
      </c>
      <c r="X622" s="21" t="str">
        <f>IF(J622&gt;0,CONCATENATE("0x",(DEC2HEX(IF(I622&lt;&gt;"",VLOOKUP(I622,Notes!$A$2:$B$37,2,FALSE)*1024,0) + J622*16 + IF(K622="",7,K622)*2 + IF(L622&gt;0, 1, 0))),","),"")</f>
        <v/>
      </c>
      <c r="Y622" s="21" t="str">
        <f>IF(Q622&gt;0,CONCATENATE("0x",(DEC2HEX(IF(P622&lt;&gt;"",VLOOKUP(P622,Notes!$A$2:$B$37,2,FALSE)*1024,0) + Q622*16 + IF(R622="",7,R622)*2 + IF(S622&gt;0, 1, 0))),","),"")</f>
        <v/>
      </c>
    </row>
    <row r="623" spans="1:25" x14ac:dyDescent="0.25">
      <c r="F623" s="18">
        <f t="shared" si="54"/>
        <v>0</v>
      </c>
      <c r="G623" s="1" t="str">
        <f t="shared" si="57"/>
        <v/>
      </c>
      <c r="M623" s="18">
        <f t="shared" si="55"/>
        <v>0</v>
      </c>
      <c r="N623" s="1" t="str">
        <f t="shared" si="58"/>
        <v/>
      </c>
      <c r="T623" s="18">
        <f t="shared" si="56"/>
        <v>0</v>
      </c>
      <c r="U623" s="1" t="str">
        <f t="shared" si="59"/>
        <v/>
      </c>
      <c r="W623" s="21" t="str">
        <f>IF(C623&gt;0,CONCATENATE("0x",(DEC2HEX(IF(B623&lt;&gt;"",VLOOKUP(B623,Notes!$A$2:$B$37,2,FALSE)*1024,0) + C623*16 + IF(D623="",7,D623)*2 + IF(E623&gt;0, 1, 0))),","),"")</f>
        <v/>
      </c>
      <c r="X623" s="21" t="str">
        <f>IF(J623&gt;0,CONCATENATE("0x",(DEC2HEX(IF(I623&lt;&gt;"",VLOOKUP(I623,Notes!$A$2:$B$37,2,FALSE)*1024,0) + J623*16 + IF(K623="",7,K623)*2 + IF(L623&gt;0, 1, 0))),","),"")</f>
        <v/>
      </c>
      <c r="Y623" s="21" t="str">
        <f>IF(Q623&gt;0,CONCATENATE("0x",(DEC2HEX(IF(P623&lt;&gt;"",VLOOKUP(P623,Notes!$A$2:$B$37,2,FALSE)*1024,0) + Q623*16 + IF(R623="",7,R623)*2 + IF(S623&gt;0, 1, 0))),","),"")</f>
        <v/>
      </c>
    </row>
    <row r="624" spans="1:25" x14ac:dyDescent="0.25">
      <c r="F624" s="18">
        <f t="shared" si="54"/>
        <v>0</v>
      </c>
      <c r="G624" s="1" t="str">
        <f t="shared" si="57"/>
        <v/>
      </c>
      <c r="M624" s="18">
        <f t="shared" si="55"/>
        <v>0</v>
      </c>
      <c r="N624" s="1" t="str">
        <f t="shared" si="58"/>
        <v/>
      </c>
      <c r="T624" s="18">
        <f t="shared" si="56"/>
        <v>0</v>
      </c>
      <c r="U624" s="1" t="str">
        <f t="shared" si="59"/>
        <v/>
      </c>
      <c r="W624" s="21" t="str">
        <f>IF(C624&gt;0,CONCATENATE("0x",(DEC2HEX(IF(B624&lt;&gt;"",VLOOKUP(B624,Notes!$A$2:$B$37,2,FALSE)*1024,0) + C624*16 + IF(D624="",7,D624)*2 + IF(E624&gt;0, 1, 0))),","),"")</f>
        <v/>
      </c>
      <c r="X624" s="21" t="str">
        <f>IF(J624&gt;0,CONCATENATE("0x",(DEC2HEX(IF(I624&lt;&gt;"",VLOOKUP(I624,Notes!$A$2:$B$37,2,FALSE)*1024,0) + J624*16 + IF(K624="",7,K624)*2 + IF(L624&gt;0, 1, 0))),","),"")</f>
        <v/>
      </c>
      <c r="Y624" s="21" t="str">
        <f>IF(Q624&gt;0,CONCATENATE("0x",(DEC2HEX(IF(P624&lt;&gt;"",VLOOKUP(P624,Notes!$A$2:$B$37,2,FALSE)*1024,0) + Q624*16 + IF(R624="",7,R624)*2 + IF(S624&gt;0, 1, 0))),","),"")</f>
        <v/>
      </c>
    </row>
    <row r="625" spans="2:25" x14ac:dyDescent="0.25">
      <c r="B625" s="12"/>
      <c r="C625" s="13"/>
      <c r="D625" s="13"/>
      <c r="E625" s="14"/>
      <c r="F625" s="18">
        <f t="shared" si="54"/>
        <v>0</v>
      </c>
      <c r="G625" s="1" t="str">
        <f t="shared" si="57"/>
        <v/>
      </c>
      <c r="I625" s="12"/>
      <c r="J625" s="13"/>
      <c r="K625" s="13"/>
      <c r="L625" s="14"/>
      <c r="M625" s="18">
        <f t="shared" si="55"/>
        <v>0</v>
      </c>
      <c r="N625" s="1" t="str">
        <f t="shared" si="58"/>
        <v/>
      </c>
      <c r="P625" s="12"/>
      <c r="Q625" s="13"/>
      <c r="R625" s="13"/>
      <c r="S625" s="14"/>
      <c r="T625" s="18">
        <f t="shared" si="56"/>
        <v>0</v>
      </c>
      <c r="U625" s="1" t="str">
        <f t="shared" si="59"/>
        <v/>
      </c>
      <c r="W625" s="21" t="str">
        <f>IF(C625&gt;0,CONCATENATE("0x",(DEC2HEX(IF(B625&lt;&gt;"",VLOOKUP(B625,Notes!$A$2:$B$37,2,FALSE)*1024,0) + C625*16 + IF(D625="",7,D625)*2 + IF(E625&gt;0, 1, 0))),","),"")</f>
        <v/>
      </c>
      <c r="X625" s="21" t="str">
        <f>IF(J625&gt;0,CONCATENATE("0x",(DEC2HEX(IF(I625&lt;&gt;"",VLOOKUP(I625,Notes!$A$2:$B$37,2,FALSE)*1024,0) + J625*16 + IF(K625="",7,K625)*2 + IF(L625&gt;0, 1, 0))),","),"")</f>
        <v/>
      </c>
      <c r="Y625" s="21" t="str">
        <f>IF(Q625&gt;0,CONCATENATE("0x",(DEC2HEX(IF(P625&lt;&gt;"",VLOOKUP(P625,Notes!$A$2:$B$37,2,FALSE)*1024,0) + Q625*16 + IF(R625="",7,R625)*2 + IF(S625&gt;0, 1, 0))),","),"")</f>
        <v/>
      </c>
    </row>
    <row r="626" spans="2:25" x14ac:dyDescent="0.25">
      <c r="F626" s="18">
        <f t="shared" si="54"/>
        <v>0</v>
      </c>
      <c r="G626" s="1" t="str">
        <f t="shared" si="57"/>
        <v/>
      </c>
      <c r="M626" s="18">
        <f t="shared" si="55"/>
        <v>0</v>
      </c>
      <c r="N626" s="1" t="str">
        <f t="shared" si="58"/>
        <v/>
      </c>
      <c r="T626" s="18">
        <f t="shared" si="56"/>
        <v>0</v>
      </c>
      <c r="U626" s="1" t="str">
        <f t="shared" si="59"/>
        <v/>
      </c>
      <c r="W626" s="21" t="str">
        <f>IF(C626&gt;0,CONCATENATE("0x",(DEC2HEX(IF(B626&lt;&gt;"",VLOOKUP(B626,Notes!$A$2:$B$37,2,FALSE)*1024,0) + C626*16 + IF(D626="",7,D626)*2 + IF(E626&gt;0, 1, 0))),","),"")</f>
        <v/>
      </c>
      <c r="X626" s="21" t="str">
        <f>IF(J626&gt;0,CONCATENATE("0x",(DEC2HEX(IF(I626&lt;&gt;"",VLOOKUP(I626,Notes!$A$2:$B$37,2,FALSE)*1024,0) + J626*16 + IF(K626="",7,K626)*2 + IF(L626&gt;0, 1, 0))),","),"")</f>
        <v/>
      </c>
      <c r="Y626" s="21" t="str">
        <f>IF(Q626&gt;0,CONCATENATE("0x",(DEC2HEX(IF(P626&lt;&gt;"",VLOOKUP(P626,Notes!$A$2:$B$37,2,FALSE)*1024,0) + Q626*16 + IF(R626="",7,R626)*2 + IF(S626&gt;0, 1, 0))),","),"")</f>
        <v/>
      </c>
    </row>
    <row r="627" spans="2:25" x14ac:dyDescent="0.25">
      <c r="F627" s="18">
        <f t="shared" si="54"/>
        <v>0</v>
      </c>
      <c r="G627" s="1" t="str">
        <f t="shared" si="57"/>
        <v/>
      </c>
      <c r="M627" s="18">
        <f t="shared" si="55"/>
        <v>0</v>
      </c>
      <c r="N627" s="1" t="str">
        <f t="shared" si="58"/>
        <v/>
      </c>
      <c r="T627" s="18">
        <f t="shared" si="56"/>
        <v>0</v>
      </c>
      <c r="U627" s="1" t="str">
        <f t="shared" si="59"/>
        <v/>
      </c>
      <c r="W627" s="21" t="str">
        <f>IF(C627&gt;0,CONCATENATE("0x",(DEC2HEX(IF(B627&lt;&gt;"",VLOOKUP(B627,Notes!$A$2:$B$37,2,FALSE)*1024,0) + C627*16 + IF(D627="",7,D627)*2 + IF(E627&gt;0, 1, 0))),","),"")</f>
        <v/>
      </c>
      <c r="X627" s="21" t="str">
        <f>IF(J627&gt;0,CONCATENATE("0x",(DEC2HEX(IF(I627&lt;&gt;"",VLOOKUP(I627,Notes!$A$2:$B$37,2,FALSE)*1024,0) + J627*16 + IF(K627="",7,K627)*2 + IF(L627&gt;0, 1, 0))),","),"")</f>
        <v/>
      </c>
      <c r="Y627" s="21" t="str">
        <f>IF(Q627&gt;0,CONCATENATE("0x",(DEC2HEX(IF(P627&lt;&gt;"",VLOOKUP(P627,Notes!$A$2:$B$37,2,FALSE)*1024,0) + Q627*16 + IF(R627="",7,R627)*2 + IF(S627&gt;0, 1, 0))),","),"")</f>
        <v/>
      </c>
    </row>
    <row r="628" spans="2:25" x14ac:dyDescent="0.25">
      <c r="F628" s="18">
        <f t="shared" si="54"/>
        <v>0</v>
      </c>
      <c r="G628" s="1" t="str">
        <f t="shared" si="57"/>
        <v/>
      </c>
      <c r="M628" s="18">
        <f t="shared" si="55"/>
        <v>0</v>
      </c>
      <c r="N628" s="1" t="str">
        <f t="shared" si="58"/>
        <v/>
      </c>
      <c r="T628" s="18">
        <f t="shared" si="56"/>
        <v>0</v>
      </c>
      <c r="U628" s="1" t="str">
        <f t="shared" si="59"/>
        <v/>
      </c>
      <c r="W628" s="21" t="str">
        <f>IF(C628&gt;0,CONCATENATE("0x",(DEC2HEX(IF(B628&lt;&gt;"",VLOOKUP(B628,Notes!$A$2:$B$37,2,FALSE)*1024,0) + C628*16 + IF(D628="",7,D628)*2 + IF(E628&gt;0, 1, 0))),","),"")</f>
        <v/>
      </c>
      <c r="X628" s="21" t="str">
        <f>IF(J628&gt;0,CONCATENATE("0x",(DEC2HEX(IF(I628&lt;&gt;"",VLOOKUP(I628,Notes!$A$2:$B$37,2,FALSE)*1024,0) + J628*16 + IF(K628="",7,K628)*2 + IF(L628&gt;0, 1, 0))),","),"")</f>
        <v/>
      </c>
      <c r="Y628" s="21" t="str">
        <f>IF(Q628&gt;0,CONCATENATE("0x",(DEC2HEX(IF(P628&lt;&gt;"",VLOOKUP(P628,Notes!$A$2:$B$37,2,FALSE)*1024,0) + Q628*16 + IF(R628="",7,R628)*2 + IF(S628&gt;0, 1, 0))),","),"")</f>
        <v/>
      </c>
    </row>
    <row r="629" spans="2:25" x14ac:dyDescent="0.25">
      <c r="F629" s="18">
        <f t="shared" si="54"/>
        <v>0</v>
      </c>
      <c r="G629" s="1" t="str">
        <f t="shared" si="57"/>
        <v/>
      </c>
      <c r="M629" s="18">
        <f t="shared" si="55"/>
        <v>0</v>
      </c>
      <c r="N629" s="1" t="str">
        <f t="shared" si="58"/>
        <v/>
      </c>
      <c r="T629" s="18">
        <f t="shared" si="56"/>
        <v>0</v>
      </c>
      <c r="U629" s="1" t="str">
        <f t="shared" si="59"/>
        <v/>
      </c>
      <c r="W629" s="21" t="str">
        <f>IF(C629&gt;0,CONCATENATE("0x",(DEC2HEX(IF(B629&lt;&gt;"",VLOOKUP(B629,Notes!$A$2:$B$37,2,FALSE)*1024,0) + C629*16 + IF(D629="",7,D629)*2 + IF(E629&gt;0, 1, 0))),","),"")</f>
        <v/>
      </c>
      <c r="X629" s="21" t="str">
        <f>IF(J629&gt;0,CONCATENATE("0x",(DEC2HEX(IF(I629&lt;&gt;"",VLOOKUP(I629,Notes!$A$2:$B$37,2,FALSE)*1024,0) + J629*16 + IF(K629="",7,K629)*2 + IF(L629&gt;0, 1, 0))),","),"")</f>
        <v/>
      </c>
      <c r="Y629" s="21" t="str">
        <f>IF(Q629&gt;0,CONCATENATE("0x",(DEC2HEX(IF(P629&lt;&gt;"",VLOOKUP(P629,Notes!$A$2:$B$37,2,FALSE)*1024,0) + Q629*16 + IF(R629="",7,R629)*2 + IF(S629&gt;0, 1, 0))),","),"")</f>
        <v/>
      </c>
    </row>
    <row r="630" spans="2:25" x14ac:dyDescent="0.25">
      <c r="F630" s="18">
        <f t="shared" si="54"/>
        <v>0</v>
      </c>
      <c r="G630" s="1" t="str">
        <f t="shared" si="57"/>
        <v/>
      </c>
      <c r="M630" s="18">
        <f t="shared" si="55"/>
        <v>0</v>
      </c>
      <c r="N630" s="1" t="str">
        <f t="shared" si="58"/>
        <v/>
      </c>
      <c r="T630" s="18">
        <f t="shared" si="56"/>
        <v>0</v>
      </c>
      <c r="U630" s="1" t="str">
        <f t="shared" si="59"/>
        <v/>
      </c>
      <c r="W630" s="21" t="str">
        <f>IF(C630&gt;0,CONCATENATE("0x",(DEC2HEX(IF(B630&lt;&gt;"",VLOOKUP(B630,Notes!$A$2:$B$37,2,FALSE)*1024,0) + C630*16 + IF(D630="",7,D630)*2 + IF(E630&gt;0, 1, 0))),","),"")</f>
        <v/>
      </c>
      <c r="X630" s="21" t="str">
        <f>IF(J630&gt;0,CONCATENATE("0x",(DEC2HEX(IF(I630&lt;&gt;"",VLOOKUP(I630,Notes!$A$2:$B$37,2,FALSE)*1024,0) + J630*16 + IF(K630="",7,K630)*2 + IF(L630&gt;0, 1, 0))),","),"")</f>
        <v/>
      </c>
      <c r="Y630" s="21" t="str">
        <f>IF(Q630&gt;0,CONCATENATE("0x",(DEC2HEX(IF(P630&lt;&gt;"",VLOOKUP(P630,Notes!$A$2:$B$37,2,FALSE)*1024,0) + Q630*16 + IF(R630="",7,R630)*2 + IF(S630&gt;0, 1, 0))),","),"")</f>
        <v/>
      </c>
    </row>
    <row r="631" spans="2:25" x14ac:dyDescent="0.25">
      <c r="F631" s="18">
        <f t="shared" si="54"/>
        <v>0</v>
      </c>
      <c r="G631" s="1" t="str">
        <f t="shared" si="57"/>
        <v/>
      </c>
      <c r="M631" s="18">
        <f t="shared" si="55"/>
        <v>0</v>
      </c>
      <c r="N631" s="1" t="str">
        <f t="shared" si="58"/>
        <v/>
      </c>
      <c r="T631" s="18">
        <f t="shared" si="56"/>
        <v>0</v>
      </c>
      <c r="U631" s="1" t="str">
        <f t="shared" si="59"/>
        <v/>
      </c>
      <c r="W631" s="21" t="str">
        <f>IF(C631&gt;0,CONCATENATE("0x",(DEC2HEX(IF(B631&lt;&gt;"",VLOOKUP(B631,Notes!$A$2:$B$37,2,FALSE)*1024,0) + C631*16 + IF(D631="",7,D631)*2 + IF(E631&gt;0, 1, 0))),","),"")</f>
        <v/>
      </c>
      <c r="X631" s="21" t="str">
        <f>IF(J631&gt;0,CONCATENATE("0x",(DEC2HEX(IF(I631&lt;&gt;"",VLOOKUP(I631,Notes!$A$2:$B$37,2,FALSE)*1024,0) + J631*16 + IF(K631="",7,K631)*2 + IF(L631&gt;0, 1, 0))),","),"")</f>
        <v/>
      </c>
      <c r="Y631" s="21" t="str">
        <f>IF(Q631&gt;0,CONCATENATE("0x",(DEC2HEX(IF(P631&lt;&gt;"",VLOOKUP(P631,Notes!$A$2:$B$37,2,FALSE)*1024,0) + Q631*16 + IF(R631="",7,R631)*2 + IF(S631&gt;0, 1, 0))),","),"")</f>
        <v/>
      </c>
    </row>
    <row r="632" spans="2:25" x14ac:dyDescent="0.25">
      <c r="F632" s="18">
        <f t="shared" si="54"/>
        <v>0</v>
      </c>
      <c r="G632" s="1" t="str">
        <f t="shared" si="57"/>
        <v/>
      </c>
      <c r="M632" s="18">
        <f t="shared" si="55"/>
        <v>0</v>
      </c>
      <c r="N632" s="1" t="str">
        <f t="shared" si="58"/>
        <v/>
      </c>
      <c r="T632" s="18">
        <f t="shared" si="56"/>
        <v>0</v>
      </c>
      <c r="U632" s="1" t="str">
        <f t="shared" si="59"/>
        <v/>
      </c>
      <c r="W632" s="21" t="str">
        <f>IF(C632&gt;0,CONCATENATE("0x",(DEC2HEX(IF(B632&lt;&gt;"",VLOOKUP(B632,Notes!$A$2:$B$37,2,FALSE)*1024,0) + C632*16 + IF(D632="",7,D632)*2 + IF(E632&gt;0, 1, 0))),","),"")</f>
        <v/>
      </c>
      <c r="X632" s="21" t="str">
        <f>IF(J632&gt;0,CONCATENATE("0x",(DEC2HEX(IF(I632&lt;&gt;"",VLOOKUP(I632,Notes!$A$2:$B$37,2,FALSE)*1024,0) + J632*16 + IF(K632="",7,K632)*2 + IF(L632&gt;0, 1, 0))),","),"")</f>
        <v/>
      </c>
      <c r="Y632" s="21" t="str">
        <f>IF(Q632&gt;0,CONCATENATE("0x",(DEC2HEX(IF(P632&lt;&gt;"",VLOOKUP(P632,Notes!$A$2:$B$37,2,FALSE)*1024,0) + Q632*16 + IF(R632="",7,R632)*2 + IF(S632&gt;0, 1, 0))),","),"")</f>
        <v/>
      </c>
    </row>
    <row r="633" spans="2:25" x14ac:dyDescent="0.25">
      <c r="B633" s="12"/>
      <c r="C633" s="13"/>
      <c r="D633" s="13"/>
      <c r="E633" s="14"/>
      <c r="F633" s="18">
        <f t="shared" si="54"/>
        <v>0</v>
      </c>
      <c r="G633" s="1" t="str">
        <f t="shared" si="57"/>
        <v/>
      </c>
      <c r="I633" s="12"/>
      <c r="J633" s="13"/>
      <c r="K633" s="13"/>
      <c r="L633" s="14"/>
      <c r="M633" s="18">
        <f t="shared" si="55"/>
        <v>0</v>
      </c>
      <c r="N633" s="1" t="str">
        <f t="shared" si="58"/>
        <v/>
      </c>
      <c r="P633" s="12"/>
      <c r="Q633" s="13"/>
      <c r="R633" s="13"/>
      <c r="S633" s="14"/>
      <c r="T633" s="18">
        <f t="shared" si="56"/>
        <v>0</v>
      </c>
      <c r="U633" s="1" t="str">
        <f t="shared" si="59"/>
        <v/>
      </c>
      <c r="W633" s="21" t="str">
        <f>IF(C633&gt;0,CONCATENATE("0x",(DEC2HEX(IF(B633&lt;&gt;"",VLOOKUP(B633,Notes!$A$2:$B$37,2,FALSE)*1024,0) + C633*16 + IF(D633="",7,D633)*2 + IF(E633&gt;0, 1, 0))),","),"")</f>
        <v/>
      </c>
      <c r="X633" s="21" t="str">
        <f>IF(J633&gt;0,CONCATENATE("0x",(DEC2HEX(IF(I633&lt;&gt;"",VLOOKUP(I633,Notes!$A$2:$B$37,2,FALSE)*1024,0) + J633*16 + IF(K633="",7,K633)*2 + IF(L633&gt;0, 1, 0))),","),"")</f>
        <v/>
      </c>
      <c r="Y633" s="21" t="str">
        <f>IF(Q633&gt;0,CONCATENATE("0x",(DEC2HEX(IF(P633&lt;&gt;"",VLOOKUP(P633,Notes!$A$2:$B$37,2,FALSE)*1024,0) + Q633*16 + IF(R633="",7,R633)*2 + IF(S633&gt;0, 1, 0))),","),"")</f>
        <v/>
      </c>
    </row>
    <row r="634" spans="2:25" x14ac:dyDescent="0.25">
      <c r="F634" s="18">
        <f t="shared" si="54"/>
        <v>0</v>
      </c>
      <c r="G634" s="1" t="str">
        <f t="shared" si="57"/>
        <v/>
      </c>
      <c r="M634" s="18">
        <f t="shared" si="55"/>
        <v>0</v>
      </c>
      <c r="N634" s="1" t="str">
        <f t="shared" si="58"/>
        <v/>
      </c>
      <c r="T634" s="18">
        <f t="shared" si="56"/>
        <v>0</v>
      </c>
      <c r="U634" s="1" t="str">
        <f t="shared" si="59"/>
        <v/>
      </c>
      <c r="W634" s="21" t="str">
        <f>IF(C634&gt;0,CONCATENATE("0x",(DEC2HEX(IF(B634&lt;&gt;"",VLOOKUP(B634,Notes!$A$2:$B$37,2,FALSE)*1024,0) + C634*16 + IF(D634="",7,D634)*2 + IF(E634&gt;0, 1, 0))),","),"")</f>
        <v/>
      </c>
      <c r="X634" s="21" t="str">
        <f>IF(J634&gt;0,CONCATENATE("0x",(DEC2HEX(IF(I634&lt;&gt;"",VLOOKUP(I634,Notes!$A$2:$B$37,2,FALSE)*1024,0) + J634*16 + IF(K634="",7,K634)*2 + IF(L634&gt;0, 1, 0))),","),"")</f>
        <v/>
      </c>
      <c r="Y634" s="21" t="str">
        <f>IF(Q634&gt;0,CONCATENATE("0x",(DEC2HEX(IF(P634&lt;&gt;"",VLOOKUP(P634,Notes!$A$2:$B$37,2,FALSE)*1024,0) + Q634*16 + IF(R634="",7,R634)*2 + IF(S634&gt;0, 1, 0))),","),"")</f>
        <v/>
      </c>
    </row>
    <row r="635" spans="2:25" x14ac:dyDescent="0.25">
      <c r="F635" s="18">
        <f t="shared" si="54"/>
        <v>0</v>
      </c>
      <c r="G635" s="1" t="str">
        <f t="shared" si="57"/>
        <v/>
      </c>
      <c r="M635" s="18">
        <f t="shared" si="55"/>
        <v>0</v>
      </c>
      <c r="N635" s="1" t="str">
        <f t="shared" si="58"/>
        <v/>
      </c>
      <c r="T635" s="18">
        <f t="shared" si="56"/>
        <v>0</v>
      </c>
      <c r="U635" s="1" t="str">
        <f t="shared" si="59"/>
        <v/>
      </c>
      <c r="W635" s="21" t="str">
        <f>IF(C635&gt;0,CONCATENATE("0x",(DEC2HEX(IF(B635&lt;&gt;"",VLOOKUP(B635,Notes!$A$2:$B$37,2,FALSE)*1024,0) + C635*16 + IF(D635="",7,D635)*2 + IF(E635&gt;0, 1, 0))),","),"")</f>
        <v/>
      </c>
      <c r="X635" s="21" t="str">
        <f>IF(J635&gt;0,CONCATENATE("0x",(DEC2HEX(IF(I635&lt;&gt;"",VLOOKUP(I635,Notes!$A$2:$B$37,2,FALSE)*1024,0) + J635*16 + IF(K635="",7,K635)*2 + IF(L635&gt;0, 1, 0))),","),"")</f>
        <v/>
      </c>
      <c r="Y635" s="21" t="str">
        <f>IF(Q635&gt;0,CONCATENATE("0x",(DEC2HEX(IF(P635&lt;&gt;"",VLOOKUP(P635,Notes!$A$2:$B$37,2,FALSE)*1024,0) + Q635*16 + IF(R635="",7,R635)*2 + IF(S635&gt;0, 1, 0))),","),"")</f>
        <v/>
      </c>
    </row>
    <row r="636" spans="2:25" x14ac:dyDescent="0.25">
      <c r="F636" s="18">
        <f t="shared" si="54"/>
        <v>0</v>
      </c>
      <c r="G636" s="1" t="str">
        <f t="shared" si="57"/>
        <v/>
      </c>
      <c r="M636" s="18">
        <f t="shared" si="55"/>
        <v>0</v>
      </c>
      <c r="N636" s="1" t="str">
        <f t="shared" si="58"/>
        <v/>
      </c>
      <c r="T636" s="18">
        <f t="shared" si="56"/>
        <v>0</v>
      </c>
      <c r="U636" s="1" t="str">
        <f t="shared" si="59"/>
        <v/>
      </c>
      <c r="W636" s="21" t="str">
        <f>IF(C636&gt;0,CONCATENATE("0x",(DEC2HEX(IF(B636&lt;&gt;"",VLOOKUP(B636,Notes!$A$2:$B$37,2,FALSE)*1024,0) + C636*16 + IF(D636="",7,D636)*2 + IF(E636&gt;0, 1, 0))),","),"")</f>
        <v/>
      </c>
      <c r="X636" s="21" t="str">
        <f>IF(J636&gt;0,CONCATENATE("0x",(DEC2HEX(IF(I636&lt;&gt;"",VLOOKUP(I636,Notes!$A$2:$B$37,2,FALSE)*1024,0) + J636*16 + IF(K636="",7,K636)*2 + IF(L636&gt;0, 1, 0))),","),"")</f>
        <v/>
      </c>
      <c r="Y636" s="21" t="str">
        <f>IF(Q636&gt;0,CONCATENATE("0x",(DEC2HEX(IF(P636&lt;&gt;"",VLOOKUP(P636,Notes!$A$2:$B$37,2,FALSE)*1024,0) + Q636*16 + IF(R636="",7,R636)*2 + IF(S636&gt;0, 1, 0))),","),"")</f>
        <v/>
      </c>
    </row>
    <row r="637" spans="2:25" x14ac:dyDescent="0.25">
      <c r="F637" s="18">
        <f t="shared" si="54"/>
        <v>0</v>
      </c>
      <c r="G637" s="1" t="str">
        <f t="shared" si="57"/>
        <v/>
      </c>
      <c r="M637" s="18">
        <f t="shared" si="55"/>
        <v>0</v>
      </c>
      <c r="N637" s="1" t="str">
        <f t="shared" si="58"/>
        <v/>
      </c>
      <c r="T637" s="18">
        <f t="shared" si="56"/>
        <v>0</v>
      </c>
      <c r="U637" s="1" t="str">
        <f t="shared" si="59"/>
        <v/>
      </c>
      <c r="W637" s="21" t="str">
        <f>IF(C637&gt;0,CONCATENATE("0x",(DEC2HEX(IF(B637&lt;&gt;"",VLOOKUP(B637,Notes!$A$2:$B$37,2,FALSE)*1024,0) + C637*16 + IF(D637="",7,D637)*2 + IF(E637&gt;0, 1, 0))),","),"")</f>
        <v/>
      </c>
      <c r="X637" s="21" t="str">
        <f>IF(J637&gt;0,CONCATENATE("0x",(DEC2HEX(IF(I637&lt;&gt;"",VLOOKUP(I637,Notes!$A$2:$B$37,2,FALSE)*1024,0) + J637*16 + IF(K637="",7,K637)*2 + IF(L637&gt;0, 1, 0))),","),"")</f>
        <v/>
      </c>
      <c r="Y637" s="21" t="str">
        <f>IF(Q637&gt;0,CONCATENATE("0x",(DEC2HEX(IF(P637&lt;&gt;"",VLOOKUP(P637,Notes!$A$2:$B$37,2,FALSE)*1024,0) + Q637*16 + IF(R637="",7,R637)*2 + IF(S637&gt;0, 1, 0))),","),"")</f>
        <v/>
      </c>
    </row>
    <row r="638" spans="2:25" x14ac:dyDescent="0.25">
      <c r="F638" s="18">
        <f t="shared" si="54"/>
        <v>0</v>
      </c>
      <c r="G638" s="1" t="str">
        <f t="shared" si="57"/>
        <v/>
      </c>
      <c r="M638" s="18">
        <f t="shared" si="55"/>
        <v>0</v>
      </c>
      <c r="N638" s="1" t="str">
        <f t="shared" si="58"/>
        <v/>
      </c>
      <c r="T638" s="18">
        <f t="shared" si="56"/>
        <v>0</v>
      </c>
      <c r="U638" s="1" t="str">
        <f t="shared" si="59"/>
        <v/>
      </c>
      <c r="W638" s="21" t="str">
        <f>IF(C638&gt;0,CONCATENATE("0x",(DEC2HEX(IF(B638&lt;&gt;"",VLOOKUP(B638,Notes!$A$2:$B$37,2,FALSE)*1024,0) + C638*16 + IF(D638="",7,D638)*2 + IF(E638&gt;0, 1, 0))),","),"")</f>
        <v/>
      </c>
      <c r="X638" s="21" t="str">
        <f>IF(J638&gt;0,CONCATENATE("0x",(DEC2HEX(IF(I638&lt;&gt;"",VLOOKUP(I638,Notes!$A$2:$B$37,2,FALSE)*1024,0) + J638*16 + IF(K638="",7,K638)*2 + IF(L638&gt;0, 1, 0))),","),"")</f>
        <v/>
      </c>
      <c r="Y638" s="21" t="str">
        <f>IF(Q638&gt;0,CONCATENATE("0x",(DEC2HEX(IF(P638&lt;&gt;"",VLOOKUP(P638,Notes!$A$2:$B$37,2,FALSE)*1024,0) + Q638*16 + IF(R638="",7,R638)*2 + IF(S638&gt;0, 1, 0))),","),"")</f>
        <v/>
      </c>
    </row>
    <row r="639" spans="2:25" x14ac:dyDescent="0.25">
      <c r="F639" s="18">
        <f t="shared" si="54"/>
        <v>0</v>
      </c>
      <c r="G639" s="1" t="str">
        <f t="shared" si="57"/>
        <v/>
      </c>
      <c r="M639" s="18">
        <f t="shared" si="55"/>
        <v>0</v>
      </c>
      <c r="N639" s="1" t="str">
        <f t="shared" si="58"/>
        <v/>
      </c>
      <c r="T639" s="18">
        <f t="shared" si="56"/>
        <v>0</v>
      </c>
      <c r="U639" s="1" t="str">
        <f t="shared" si="59"/>
        <v/>
      </c>
      <c r="W639" s="21" t="str">
        <f>IF(C639&gt;0,CONCATENATE("0x",(DEC2HEX(IF(B639&lt;&gt;"",VLOOKUP(B639,Notes!$A$2:$B$37,2,FALSE)*1024,0) + C639*16 + IF(D639="",7,D639)*2 + IF(E639&gt;0, 1, 0))),","),"")</f>
        <v/>
      </c>
      <c r="X639" s="21" t="str">
        <f>IF(J639&gt;0,CONCATENATE("0x",(DEC2HEX(IF(I639&lt;&gt;"",VLOOKUP(I639,Notes!$A$2:$B$37,2,FALSE)*1024,0) + J639*16 + IF(K639="",7,K639)*2 + IF(L639&gt;0, 1, 0))),","),"")</f>
        <v/>
      </c>
      <c r="Y639" s="21" t="str">
        <f>IF(Q639&gt;0,CONCATENATE("0x",(DEC2HEX(IF(P639&lt;&gt;"",VLOOKUP(P639,Notes!$A$2:$B$37,2,FALSE)*1024,0) + Q639*16 + IF(R639="",7,R639)*2 + IF(S639&gt;0, 1, 0))),","),"")</f>
        <v/>
      </c>
    </row>
    <row r="640" spans="2:25" x14ac:dyDescent="0.25">
      <c r="F640" s="18">
        <f t="shared" si="54"/>
        <v>0</v>
      </c>
      <c r="G640" s="1" t="str">
        <f t="shared" si="57"/>
        <v/>
      </c>
      <c r="M640" s="18">
        <f t="shared" si="55"/>
        <v>0</v>
      </c>
      <c r="N640" s="1" t="str">
        <f t="shared" si="58"/>
        <v/>
      </c>
      <c r="T640" s="18">
        <f t="shared" si="56"/>
        <v>0</v>
      </c>
      <c r="U640" s="1" t="str">
        <f t="shared" si="59"/>
        <v/>
      </c>
      <c r="W640" s="21" t="str">
        <f>IF(C640&gt;0,CONCATENATE("0x",(DEC2HEX(IF(B640&lt;&gt;"",VLOOKUP(B640,Notes!$A$2:$B$37,2,FALSE)*1024,0) + C640*16 + IF(D640="",7,D640)*2 + IF(E640&gt;0, 1, 0))),","),"")</f>
        <v/>
      </c>
      <c r="X640" s="21" t="str">
        <f>IF(J640&gt;0,CONCATENATE("0x",(DEC2HEX(IF(I640&lt;&gt;"",VLOOKUP(I640,Notes!$A$2:$B$37,2,FALSE)*1024,0) + J640*16 + IF(K640="",7,K640)*2 + IF(L640&gt;0, 1, 0))),","),"")</f>
        <v/>
      </c>
      <c r="Y640" s="21" t="str">
        <f>IF(Q640&gt;0,CONCATENATE("0x",(DEC2HEX(IF(P640&lt;&gt;"",VLOOKUP(P640,Notes!$A$2:$B$37,2,FALSE)*1024,0) + Q640*16 + IF(R640="",7,R640)*2 + IF(S640&gt;0, 1, 0))),","),"")</f>
        <v/>
      </c>
    </row>
    <row r="641" spans="1:25" ht="16.5" thickBot="1" x14ac:dyDescent="0.3">
      <c r="B641" s="15"/>
      <c r="C641" s="16"/>
      <c r="D641" s="16"/>
      <c r="E641" s="17"/>
      <c r="F641" s="18">
        <f t="shared" si="54"/>
        <v>0</v>
      </c>
      <c r="G641" s="1" t="str">
        <f t="shared" si="57"/>
        <v/>
      </c>
      <c r="I641" s="15"/>
      <c r="J641" s="16"/>
      <c r="K641" s="16"/>
      <c r="L641" s="17"/>
      <c r="M641" s="18">
        <f t="shared" si="55"/>
        <v>0</v>
      </c>
      <c r="N641" s="1" t="str">
        <f t="shared" si="58"/>
        <v/>
      </c>
      <c r="P641" s="15"/>
      <c r="Q641" s="16"/>
      <c r="R641" s="16"/>
      <c r="S641" s="17"/>
      <c r="T641" s="18">
        <f t="shared" si="56"/>
        <v>0</v>
      </c>
      <c r="U641" s="1" t="str">
        <f t="shared" si="59"/>
        <v/>
      </c>
      <c r="W641" s="21" t="str">
        <f>IF(C641&gt;0,CONCATENATE("0x",(DEC2HEX(IF(B641&lt;&gt;"",VLOOKUP(B641,Notes!$A$2:$B$37,2,FALSE)*1024,0) + C641*16 + IF(D641="",7,D641)*2 + IF(E641&gt;0, 1, 0))),","),"")</f>
        <v/>
      </c>
      <c r="X641" s="21" t="str">
        <f>IF(J641&gt;0,CONCATENATE("0x",(DEC2HEX(IF(I641&lt;&gt;"",VLOOKUP(I641,Notes!$A$2:$B$37,2,FALSE)*1024,0) + J641*16 + IF(K641="",7,K641)*2 + IF(L641&gt;0, 1, 0))),","),"")</f>
        <v/>
      </c>
      <c r="Y641" s="21" t="str">
        <f>IF(Q641&gt;0,CONCATENATE("0x",(DEC2HEX(IF(P641&lt;&gt;"",VLOOKUP(P641,Notes!$A$2:$B$37,2,FALSE)*1024,0) + Q641*16 + IF(R641="",7,R641)*2 + IF(S641&gt;0, 1, 0))),","),"")</f>
        <v/>
      </c>
    </row>
    <row r="642" spans="1:25" ht="16.5" thickTop="1" x14ac:dyDescent="0.25">
      <c r="A642" s="1">
        <v>21</v>
      </c>
      <c r="F642" s="18">
        <f t="shared" si="54"/>
        <v>0</v>
      </c>
      <c r="G642" s="1" t="str">
        <f t="shared" si="57"/>
        <v/>
      </c>
      <c r="M642" s="18">
        <f t="shared" si="55"/>
        <v>0</v>
      </c>
      <c r="N642" s="1" t="str">
        <f t="shared" si="58"/>
        <v/>
      </c>
      <c r="T642" s="18">
        <f t="shared" si="56"/>
        <v>0</v>
      </c>
      <c r="U642" s="1" t="str">
        <f t="shared" si="59"/>
        <v/>
      </c>
      <c r="W642" s="21" t="str">
        <f>IF(C642&gt;0,CONCATENATE("0x",(DEC2HEX(IF(B642&lt;&gt;"",VLOOKUP(B642,Notes!$A$2:$B$37,2,FALSE)*1024,0) + C642*16 + IF(D642="",7,D642)*2 + IF(E642&gt;0, 1, 0))),","),"")</f>
        <v/>
      </c>
      <c r="X642" s="21" t="str">
        <f>IF(J642&gt;0,CONCATENATE("0x",(DEC2HEX(IF(I642&lt;&gt;"",VLOOKUP(I642,Notes!$A$2:$B$37,2,FALSE)*1024,0) + J642*16 + IF(K642="",7,K642)*2 + IF(L642&gt;0, 1, 0))),","),"")</f>
        <v/>
      </c>
      <c r="Y642" s="21" t="str">
        <f>IF(Q642&gt;0,CONCATENATE("0x",(DEC2HEX(IF(P642&lt;&gt;"",VLOOKUP(P642,Notes!$A$2:$B$37,2,FALSE)*1024,0) + Q642*16 + IF(R642="",7,R642)*2 + IF(S642&gt;0, 1, 0))),","),"")</f>
        <v/>
      </c>
    </row>
    <row r="643" spans="1:25" x14ac:dyDescent="0.25">
      <c r="F643" s="18">
        <f t="shared" ref="F643:F706" si="60">IF(C643&gt;0, C643, MAX(F642-1,0))</f>
        <v>0</v>
      </c>
      <c r="G643" s="1" t="str">
        <f t="shared" si="57"/>
        <v/>
      </c>
      <c r="M643" s="18">
        <f t="shared" ref="M643:M706" si="61">IF(J643&gt;0, J643, MAX(M642-1,0))</f>
        <v>0</v>
      </c>
      <c r="N643" s="1" t="str">
        <f t="shared" si="58"/>
        <v/>
      </c>
      <c r="T643" s="18">
        <f t="shared" ref="T643:T706" si="62">IF(Q643&gt;0, Q643, MAX(T642-1,0))</f>
        <v>0</v>
      </c>
      <c r="U643" s="1" t="str">
        <f t="shared" si="59"/>
        <v/>
      </c>
      <c r="W643" s="21" t="str">
        <f>IF(C643&gt;0,CONCATENATE("0x",(DEC2HEX(IF(B643&lt;&gt;"",VLOOKUP(B643,Notes!$A$2:$B$37,2,FALSE)*1024,0) + C643*16 + IF(D643="",7,D643)*2 + IF(E643&gt;0, 1, 0))),","),"")</f>
        <v/>
      </c>
      <c r="X643" s="21" t="str">
        <f>IF(J643&gt;0,CONCATENATE("0x",(DEC2HEX(IF(I643&lt;&gt;"",VLOOKUP(I643,Notes!$A$2:$B$37,2,FALSE)*1024,0) + J643*16 + IF(K643="",7,K643)*2 + IF(L643&gt;0, 1, 0))),","),"")</f>
        <v/>
      </c>
      <c r="Y643" s="21" t="str">
        <f>IF(Q643&gt;0,CONCATENATE("0x",(DEC2HEX(IF(P643&lt;&gt;"",VLOOKUP(P643,Notes!$A$2:$B$37,2,FALSE)*1024,0) + Q643*16 + IF(R643="",7,R643)*2 + IF(S643&gt;0, 1, 0))),","),"")</f>
        <v/>
      </c>
    </row>
    <row r="644" spans="1:25" x14ac:dyDescent="0.25">
      <c r="F644" s="18">
        <f t="shared" si="60"/>
        <v>0</v>
      </c>
      <c r="G644" s="1" t="str">
        <f t="shared" ref="G644:G707" si="63">IF(AND(F643&gt;1,C644&gt;0), "OVERLAPPING","")</f>
        <v/>
      </c>
      <c r="M644" s="18">
        <f t="shared" si="61"/>
        <v>0</v>
      </c>
      <c r="N644" s="1" t="str">
        <f t="shared" ref="N644:N707" si="64">IF(AND(M643&gt;1,J644&gt;0), "OVERLAPPING","")</f>
        <v/>
      </c>
      <c r="T644" s="18">
        <f t="shared" si="62"/>
        <v>0</v>
      </c>
      <c r="U644" s="1" t="str">
        <f t="shared" ref="U644:U707" si="65">IF(AND(T643&gt;1,Q644&gt;0), "OVERLAPPING","")</f>
        <v/>
      </c>
      <c r="W644" s="21" t="str">
        <f>IF(C644&gt;0,CONCATENATE("0x",(DEC2HEX(IF(B644&lt;&gt;"",VLOOKUP(B644,Notes!$A$2:$B$37,2,FALSE)*1024,0) + C644*16 + IF(D644="",7,D644)*2 + IF(E644&gt;0, 1, 0))),","),"")</f>
        <v/>
      </c>
      <c r="X644" s="21" t="str">
        <f>IF(J644&gt;0,CONCATENATE("0x",(DEC2HEX(IF(I644&lt;&gt;"",VLOOKUP(I644,Notes!$A$2:$B$37,2,FALSE)*1024,0) + J644*16 + IF(K644="",7,K644)*2 + IF(L644&gt;0, 1, 0))),","),"")</f>
        <v/>
      </c>
      <c r="Y644" s="21" t="str">
        <f>IF(Q644&gt;0,CONCATENATE("0x",(DEC2HEX(IF(P644&lt;&gt;"",VLOOKUP(P644,Notes!$A$2:$B$37,2,FALSE)*1024,0) + Q644*16 + IF(R644="",7,R644)*2 + IF(S644&gt;0, 1, 0))),","),"")</f>
        <v/>
      </c>
    </row>
    <row r="645" spans="1:25" x14ac:dyDescent="0.25">
      <c r="F645" s="18">
        <f t="shared" si="60"/>
        <v>0</v>
      </c>
      <c r="G645" s="1" t="str">
        <f t="shared" si="63"/>
        <v/>
      </c>
      <c r="M645" s="18">
        <f t="shared" si="61"/>
        <v>0</v>
      </c>
      <c r="N645" s="1" t="str">
        <f t="shared" si="64"/>
        <v/>
      </c>
      <c r="T645" s="18">
        <f t="shared" si="62"/>
        <v>0</v>
      </c>
      <c r="U645" s="1" t="str">
        <f t="shared" si="65"/>
        <v/>
      </c>
      <c r="W645" s="21" t="str">
        <f>IF(C645&gt;0,CONCATENATE("0x",(DEC2HEX(IF(B645&lt;&gt;"",VLOOKUP(B645,Notes!$A$2:$B$37,2,FALSE)*1024,0) + C645*16 + IF(D645="",7,D645)*2 + IF(E645&gt;0, 1, 0))),","),"")</f>
        <v/>
      </c>
      <c r="X645" s="21" t="str">
        <f>IF(J645&gt;0,CONCATENATE("0x",(DEC2HEX(IF(I645&lt;&gt;"",VLOOKUP(I645,Notes!$A$2:$B$37,2,FALSE)*1024,0) + J645*16 + IF(K645="",7,K645)*2 + IF(L645&gt;0, 1, 0))),","),"")</f>
        <v/>
      </c>
      <c r="Y645" s="21" t="str">
        <f>IF(Q645&gt;0,CONCATENATE("0x",(DEC2HEX(IF(P645&lt;&gt;"",VLOOKUP(P645,Notes!$A$2:$B$37,2,FALSE)*1024,0) + Q645*16 + IF(R645="",7,R645)*2 + IF(S645&gt;0, 1, 0))),","),"")</f>
        <v/>
      </c>
    </row>
    <row r="646" spans="1:25" x14ac:dyDescent="0.25">
      <c r="F646" s="18">
        <f t="shared" si="60"/>
        <v>0</v>
      </c>
      <c r="G646" s="1" t="str">
        <f t="shared" si="63"/>
        <v/>
      </c>
      <c r="M646" s="18">
        <f t="shared" si="61"/>
        <v>0</v>
      </c>
      <c r="N646" s="1" t="str">
        <f t="shared" si="64"/>
        <v/>
      </c>
      <c r="T646" s="18">
        <f t="shared" si="62"/>
        <v>0</v>
      </c>
      <c r="U646" s="1" t="str">
        <f t="shared" si="65"/>
        <v/>
      </c>
      <c r="W646" s="21" t="str">
        <f>IF(C646&gt;0,CONCATENATE("0x",(DEC2HEX(IF(B646&lt;&gt;"",VLOOKUP(B646,Notes!$A$2:$B$37,2,FALSE)*1024,0) + C646*16 + IF(D646="",7,D646)*2 + IF(E646&gt;0, 1, 0))),","),"")</f>
        <v/>
      </c>
      <c r="X646" s="21" t="str">
        <f>IF(J646&gt;0,CONCATENATE("0x",(DEC2HEX(IF(I646&lt;&gt;"",VLOOKUP(I646,Notes!$A$2:$B$37,2,FALSE)*1024,0) + J646*16 + IF(K646="",7,K646)*2 + IF(L646&gt;0, 1, 0))),","),"")</f>
        <v/>
      </c>
      <c r="Y646" s="21" t="str">
        <f>IF(Q646&gt;0,CONCATENATE("0x",(DEC2HEX(IF(P646&lt;&gt;"",VLOOKUP(P646,Notes!$A$2:$B$37,2,FALSE)*1024,0) + Q646*16 + IF(R646="",7,R646)*2 + IF(S646&gt;0, 1, 0))),","),"")</f>
        <v/>
      </c>
    </row>
    <row r="647" spans="1:25" x14ac:dyDescent="0.25">
      <c r="F647" s="18">
        <f t="shared" si="60"/>
        <v>0</v>
      </c>
      <c r="G647" s="1" t="str">
        <f t="shared" si="63"/>
        <v/>
      </c>
      <c r="M647" s="18">
        <f t="shared" si="61"/>
        <v>0</v>
      </c>
      <c r="N647" s="1" t="str">
        <f t="shared" si="64"/>
        <v/>
      </c>
      <c r="T647" s="18">
        <f t="shared" si="62"/>
        <v>0</v>
      </c>
      <c r="U647" s="1" t="str">
        <f t="shared" si="65"/>
        <v/>
      </c>
      <c r="W647" s="21" t="str">
        <f>IF(C647&gt;0,CONCATENATE("0x",(DEC2HEX(IF(B647&lt;&gt;"",VLOOKUP(B647,Notes!$A$2:$B$37,2,FALSE)*1024,0) + C647*16 + IF(D647="",7,D647)*2 + IF(E647&gt;0, 1, 0))),","),"")</f>
        <v/>
      </c>
      <c r="X647" s="21" t="str">
        <f>IF(J647&gt;0,CONCATENATE("0x",(DEC2HEX(IF(I647&lt;&gt;"",VLOOKUP(I647,Notes!$A$2:$B$37,2,FALSE)*1024,0) + J647*16 + IF(K647="",7,K647)*2 + IF(L647&gt;0, 1, 0))),","),"")</f>
        <v/>
      </c>
      <c r="Y647" s="21" t="str">
        <f>IF(Q647&gt;0,CONCATENATE("0x",(DEC2HEX(IF(P647&lt;&gt;"",VLOOKUP(P647,Notes!$A$2:$B$37,2,FALSE)*1024,0) + Q647*16 + IF(R647="",7,R647)*2 + IF(S647&gt;0, 1, 0))),","),"")</f>
        <v/>
      </c>
    </row>
    <row r="648" spans="1:25" x14ac:dyDescent="0.25">
      <c r="F648" s="18">
        <f t="shared" si="60"/>
        <v>0</v>
      </c>
      <c r="G648" s="1" t="str">
        <f t="shared" si="63"/>
        <v/>
      </c>
      <c r="M648" s="18">
        <f t="shared" si="61"/>
        <v>0</v>
      </c>
      <c r="N648" s="1" t="str">
        <f t="shared" si="64"/>
        <v/>
      </c>
      <c r="T648" s="18">
        <f t="shared" si="62"/>
        <v>0</v>
      </c>
      <c r="U648" s="1" t="str">
        <f t="shared" si="65"/>
        <v/>
      </c>
      <c r="W648" s="21" t="str">
        <f>IF(C648&gt;0,CONCATENATE("0x",(DEC2HEX(IF(B648&lt;&gt;"",VLOOKUP(B648,Notes!$A$2:$B$37,2,FALSE)*1024,0) + C648*16 + IF(D648="",7,D648)*2 + IF(E648&gt;0, 1, 0))),","),"")</f>
        <v/>
      </c>
      <c r="X648" s="21" t="str">
        <f>IF(J648&gt;0,CONCATENATE("0x",(DEC2HEX(IF(I648&lt;&gt;"",VLOOKUP(I648,Notes!$A$2:$B$37,2,FALSE)*1024,0) + J648*16 + IF(K648="",7,K648)*2 + IF(L648&gt;0, 1, 0))),","),"")</f>
        <v/>
      </c>
      <c r="Y648" s="21" t="str">
        <f>IF(Q648&gt;0,CONCATENATE("0x",(DEC2HEX(IF(P648&lt;&gt;"",VLOOKUP(P648,Notes!$A$2:$B$37,2,FALSE)*1024,0) + Q648*16 + IF(R648="",7,R648)*2 + IF(S648&gt;0, 1, 0))),","),"")</f>
        <v/>
      </c>
    </row>
    <row r="649" spans="1:25" x14ac:dyDescent="0.25">
      <c r="B649" s="12"/>
      <c r="C649" s="13"/>
      <c r="D649" s="13"/>
      <c r="E649" s="14"/>
      <c r="F649" s="18">
        <f t="shared" si="60"/>
        <v>0</v>
      </c>
      <c r="G649" s="1" t="str">
        <f t="shared" si="63"/>
        <v/>
      </c>
      <c r="I649" s="12"/>
      <c r="J649" s="13"/>
      <c r="K649" s="13"/>
      <c r="L649" s="14"/>
      <c r="M649" s="18">
        <f t="shared" si="61"/>
        <v>0</v>
      </c>
      <c r="N649" s="1" t="str">
        <f t="shared" si="64"/>
        <v/>
      </c>
      <c r="P649" s="12"/>
      <c r="Q649" s="13"/>
      <c r="R649" s="13"/>
      <c r="S649" s="14"/>
      <c r="T649" s="18">
        <f t="shared" si="62"/>
        <v>0</v>
      </c>
      <c r="U649" s="1" t="str">
        <f t="shared" si="65"/>
        <v/>
      </c>
      <c r="W649" s="21" t="str">
        <f>IF(C649&gt;0,CONCATENATE("0x",(DEC2HEX(IF(B649&lt;&gt;"",VLOOKUP(B649,Notes!$A$2:$B$37,2,FALSE)*1024,0) + C649*16 + IF(D649="",7,D649)*2 + IF(E649&gt;0, 1, 0))),","),"")</f>
        <v/>
      </c>
      <c r="X649" s="21" t="str">
        <f>IF(J649&gt;0,CONCATENATE("0x",(DEC2HEX(IF(I649&lt;&gt;"",VLOOKUP(I649,Notes!$A$2:$B$37,2,FALSE)*1024,0) + J649*16 + IF(K649="",7,K649)*2 + IF(L649&gt;0, 1, 0))),","),"")</f>
        <v/>
      </c>
      <c r="Y649" s="21" t="str">
        <f>IF(Q649&gt;0,CONCATENATE("0x",(DEC2HEX(IF(P649&lt;&gt;"",VLOOKUP(P649,Notes!$A$2:$B$37,2,FALSE)*1024,0) + Q649*16 + IF(R649="",7,R649)*2 + IF(S649&gt;0, 1, 0))),","),"")</f>
        <v/>
      </c>
    </row>
    <row r="650" spans="1:25" x14ac:dyDescent="0.25">
      <c r="F650" s="18">
        <f t="shared" si="60"/>
        <v>0</v>
      </c>
      <c r="G650" s="1" t="str">
        <f t="shared" si="63"/>
        <v/>
      </c>
      <c r="M650" s="18">
        <f t="shared" si="61"/>
        <v>0</v>
      </c>
      <c r="N650" s="1" t="str">
        <f t="shared" si="64"/>
        <v/>
      </c>
      <c r="T650" s="18">
        <f t="shared" si="62"/>
        <v>0</v>
      </c>
      <c r="U650" s="1" t="str">
        <f t="shared" si="65"/>
        <v/>
      </c>
      <c r="W650" s="21" t="str">
        <f>IF(C650&gt;0,CONCATENATE("0x",(DEC2HEX(IF(B650&lt;&gt;"",VLOOKUP(B650,Notes!$A$2:$B$37,2,FALSE)*1024,0) + C650*16 + IF(D650="",7,D650)*2 + IF(E650&gt;0, 1, 0))),","),"")</f>
        <v/>
      </c>
      <c r="X650" s="21" t="str">
        <f>IF(J650&gt;0,CONCATENATE("0x",(DEC2HEX(IF(I650&lt;&gt;"",VLOOKUP(I650,Notes!$A$2:$B$37,2,FALSE)*1024,0) + J650*16 + IF(K650="",7,K650)*2 + IF(L650&gt;0, 1, 0))),","),"")</f>
        <v/>
      </c>
      <c r="Y650" s="21" t="str">
        <f>IF(Q650&gt;0,CONCATENATE("0x",(DEC2HEX(IF(P650&lt;&gt;"",VLOOKUP(P650,Notes!$A$2:$B$37,2,FALSE)*1024,0) + Q650*16 + IF(R650="",7,R650)*2 + IF(S650&gt;0, 1, 0))),","),"")</f>
        <v/>
      </c>
    </row>
    <row r="651" spans="1:25" x14ac:dyDescent="0.25">
      <c r="F651" s="18">
        <f t="shared" si="60"/>
        <v>0</v>
      </c>
      <c r="G651" s="1" t="str">
        <f t="shared" si="63"/>
        <v/>
      </c>
      <c r="M651" s="18">
        <f t="shared" si="61"/>
        <v>0</v>
      </c>
      <c r="N651" s="1" t="str">
        <f t="shared" si="64"/>
        <v/>
      </c>
      <c r="T651" s="18">
        <f t="shared" si="62"/>
        <v>0</v>
      </c>
      <c r="U651" s="1" t="str">
        <f t="shared" si="65"/>
        <v/>
      </c>
      <c r="W651" s="21" t="str">
        <f>IF(C651&gt;0,CONCATENATE("0x",(DEC2HEX(IF(B651&lt;&gt;"",VLOOKUP(B651,Notes!$A$2:$B$37,2,FALSE)*1024,0) + C651*16 + IF(D651="",7,D651)*2 + IF(E651&gt;0, 1, 0))),","),"")</f>
        <v/>
      </c>
      <c r="X651" s="21" t="str">
        <f>IF(J651&gt;0,CONCATENATE("0x",(DEC2HEX(IF(I651&lt;&gt;"",VLOOKUP(I651,Notes!$A$2:$B$37,2,FALSE)*1024,0) + J651*16 + IF(K651="",7,K651)*2 + IF(L651&gt;0, 1, 0))),","),"")</f>
        <v/>
      </c>
      <c r="Y651" s="21" t="str">
        <f>IF(Q651&gt;0,CONCATENATE("0x",(DEC2HEX(IF(P651&lt;&gt;"",VLOOKUP(P651,Notes!$A$2:$B$37,2,FALSE)*1024,0) + Q651*16 + IF(R651="",7,R651)*2 + IF(S651&gt;0, 1, 0))),","),"")</f>
        <v/>
      </c>
    </row>
    <row r="652" spans="1:25" x14ac:dyDescent="0.25">
      <c r="F652" s="18">
        <f t="shared" si="60"/>
        <v>0</v>
      </c>
      <c r="G652" s="1" t="str">
        <f t="shared" si="63"/>
        <v/>
      </c>
      <c r="M652" s="18">
        <f t="shared" si="61"/>
        <v>0</v>
      </c>
      <c r="N652" s="1" t="str">
        <f t="shared" si="64"/>
        <v/>
      </c>
      <c r="T652" s="18">
        <f t="shared" si="62"/>
        <v>0</v>
      </c>
      <c r="U652" s="1" t="str">
        <f t="shared" si="65"/>
        <v/>
      </c>
      <c r="W652" s="21" t="str">
        <f>IF(C652&gt;0,CONCATENATE("0x",(DEC2HEX(IF(B652&lt;&gt;"",VLOOKUP(B652,Notes!$A$2:$B$37,2,FALSE)*1024,0) + C652*16 + IF(D652="",7,D652)*2 + IF(E652&gt;0, 1, 0))),","),"")</f>
        <v/>
      </c>
      <c r="X652" s="21" t="str">
        <f>IF(J652&gt;0,CONCATENATE("0x",(DEC2HEX(IF(I652&lt;&gt;"",VLOOKUP(I652,Notes!$A$2:$B$37,2,FALSE)*1024,0) + J652*16 + IF(K652="",7,K652)*2 + IF(L652&gt;0, 1, 0))),","),"")</f>
        <v/>
      </c>
      <c r="Y652" s="21" t="str">
        <f>IF(Q652&gt;0,CONCATENATE("0x",(DEC2HEX(IF(P652&lt;&gt;"",VLOOKUP(P652,Notes!$A$2:$B$37,2,FALSE)*1024,0) + Q652*16 + IF(R652="",7,R652)*2 + IF(S652&gt;0, 1, 0))),","),"")</f>
        <v/>
      </c>
    </row>
    <row r="653" spans="1:25" x14ac:dyDescent="0.25">
      <c r="F653" s="18">
        <f t="shared" si="60"/>
        <v>0</v>
      </c>
      <c r="G653" s="1" t="str">
        <f t="shared" si="63"/>
        <v/>
      </c>
      <c r="M653" s="18">
        <f t="shared" si="61"/>
        <v>0</v>
      </c>
      <c r="N653" s="1" t="str">
        <f t="shared" si="64"/>
        <v/>
      </c>
      <c r="T653" s="18">
        <f t="shared" si="62"/>
        <v>0</v>
      </c>
      <c r="U653" s="1" t="str">
        <f t="shared" si="65"/>
        <v/>
      </c>
      <c r="W653" s="21" t="str">
        <f>IF(C653&gt;0,CONCATENATE("0x",(DEC2HEX(IF(B653&lt;&gt;"",VLOOKUP(B653,Notes!$A$2:$B$37,2,FALSE)*1024,0) + C653*16 + IF(D653="",7,D653)*2 + IF(E653&gt;0, 1, 0))),","),"")</f>
        <v/>
      </c>
      <c r="X653" s="21" t="str">
        <f>IF(J653&gt;0,CONCATENATE("0x",(DEC2HEX(IF(I653&lt;&gt;"",VLOOKUP(I653,Notes!$A$2:$B$37,2,FALSE)*1024,0) + J653*16 + IF(K653="",7,K653)*2 + IF(L653&gt;0, 1, 0))),","),"")</f>
        <v/>
      </c>
      <c r="Y653" s="21" t="str">
        <f>IF(Q653&gt;0,CONCATENATE("0x",(DEC2HEX(IF(P653&lt;&gt;"",VLOOKUP(P653,Notes!$A$2:$B$37,2,FALSE)*1024,0) + Q653*16 + IF(R653="",7,R653)*2 + IF(S653&gt;0, 1, 0))),","),"")</f>
        <v/>
      </c>
    </row>
    <row r="654" spans="1:25" x14ac:dyDescent="0.25">
      <c r="F654" s="18">
        <f t="shared" si="60"/>
        <v>0</v>
      </c>
      <c r="G654" s="1" t="str">
        <f t="shared" si="63"/>
        <v/>
      </c>
      <c r="M654" s="18">
        <f t="shared" si="61"/>
        <v>0</v>
      </c>
      <c r="N654" s="1" t="str">
        <f t="shared" si="64"/>
        <v/>
      </c>
      <c r="T654" s="18">
        <f t="shared" si="62"/>
        <v>0</v>
      </c>
      <c r="U654" s="1" t="str">
        <f t="shared" si="65"/>
        <v/>
      </c>
      <c r="W654" s="21" t="str">
        <f>IF(C654&gt;0,CONCATENATE("0x",(DEC2HEX(IF(B654&lt;&gt;"",VLOOKUP(B654,Notes!$A$2:$B$37,2,FALSE)*1024,0) + C654*16 + IF(D654="",7,D654)*2 + IF(E654&gt;0, 1, 0))),","),"")</f>
        <v/>
      </c>
      <c r="X654" s="21" t="str">
        <f>IF(J654&gt;0,CONCATENATE("0x",(DEC2HEX(IF(I654&lt;&gt;"",VLOOKUP(I654,Notes!$A$2:$B$37,2,FALSE)*1024,0) + J654*16 + IF(K654="",7,K654)*2 + IF(L654&gt;0, 1, 0))),","),"")</f>
        <v/>
      </c>
      <c r="Y654" s="21" t="str">
        <f>IF(Q654&gt;0,CONCATENATE("0x",(DEC2HEX(IF(P654&lt;&gt;"",VLOOKUP(P654,Notes!$A$2:$B$37,2,FALSE)*1024,0) + Q654*16 + IF(R654="",7,R654)*2 + IF(S654&gt;0, 1, 0))),","),"")</f>
        <v/>
      </c>
    </row>
    <row r="655" spans="1:25" x14ac:dyDescent="0.25">
      <c r="F655" s="18">
        <f t="shared" si="60"/>
        <v>0</v>
      </c>
      <c r="G655" s="1" t="str">
        <f t="shared" si="63"/>
        <v/>
      </c>
      <c r="M655" s="18">
        <f t="shared" si="61"/>
        <v>0</v>
      </c>
      <c r="N655" s="1" t="str">
        <f t="shared" si="64"/>
        <v/>
      </c>
      <c r="T655" s="18">
        <f t="shared" si="62"/>
        <v>0</v>
      </c>
      <c r="U655" s="1" t="str">
        <f t="shared" si="65"/>
        <v/>
      </c>
      <c r="W655" s="21" t="str">
        <f>IF(C655&gt;0,CONCATENATE("0x",(DEC2HEX(IF(B655&lt;&gt;"",VLOOKUP(B655,Notes!$A$2:$B$37,2,FALSE)*1024,0) + C655*16 + IF(D655="",7,D655)*2 + IF(E655&gt;0, 1, 0))),","),"")</f>
        <v/>
      </c>
      <c r="X655" s="21" t="str">
        <f>IF(J655&gt;0,CONCATENATE("0x",(DEC2HEX(IF(I655&lt;&gt;"",VLOOKUP(I655,Notes!$A$2:$B$37,2,FALSE)*1024,0) + J655*16 + IF(K655="",7,K655)*2 + IF(L655&gt;0, 1, 0))),","),"")</f>
        <v/>
      </c>
      <c r="Y655" s="21" t="str">
        <f>IF(Q655&gt;0,CONCATENATE("0x",(DEC2HEX(IF(P655&lt;&gt;"",VLOOKUP(P655,Notes!$A$2:$B$37,2,FALSE)*1024,0) + Q655*16 + IF(R655="",7,R655)*2 + IF(S655&gt;0, 1, 0))),","),"")</f>
        <v/>
      </c>
    </row>
    <row r="656" spans="1:25" x14ac:dyDescent="0.25">
      <c r="F656" s="18">
        <f t="shared" si="60"/>
        <v>0</v>
      </c>
      <c r="G656" s="1" t="str">
        <f t="shared" si="63"/>
        <v/>
      </c>
      <c r="M656" s="18">
        <f t="shared" si="61"/>
        <v>0</v>
      </c>
      <c r="N656" s="1" t="str">
        <f t="shared" si="64"/>
        <v/>
      </c>
      <c r="T656" s="18">
        <f t="shared" si="62"/>
        <v>0</v>
      </c>
      <c r="U656" s="1" t="str">
        <f t="shared" si="65"/>
        <v/>
      </c>
      <c r="W656" s="21" t="str">
        <f>IF(C656&gt;0,CONCATENATE("0x",(DEC2HEX(IF(B656&lt;&gt;"",VLOOKUP(B656,Notes!$A$2:$B$37,2,FALSE)*1024,0) + C656*16 + IF(D656="",7,D656)*2 + IF(E656&gt;0, 1, 0))),","),"")</f>
        <v/>
      </c>
      <c r="X656" s="21" t="str">
        <f>IF(J656&gt;0,CONCATENATE("0x",(DEC2HEX(IF(I656&lt;&gt;"",VLOOKUP(I656,Notes!$A$2:$B$37,2,FALSE)*1024,0) + J656*16 + IF(K656="",7,K656)*2 + IF(L656&gt;0, 1, 0))),","),"")</f>
        <v/>
      </c>
      <c r="Y656" s="21" t="str">
        <f>IF(Q656&gt;0,CONCATENATE("0x",(DEC2HEX(IF(P656&lt;&gt;"",VLOOKUP(P656,Notes!$A$2:$B$37,2,FALSE)*1024,0) + Q656*16 + IF(R656="",7,R656)*2 + IF(S656&gt;0, 1, 0))),","),"")</f>
        <v/>
      </c>
    </row>
    <row r="657" spans="2:25" x14ac:dyDescent="0.25">
      <c r="B657" s="12"/>
      <c r="C657" s="13"/>
      <c r="D657" s="13"/>
      <c r="E657" s="14"/>
      <c r="F657" s="18">
        <f t="shared" si="60"/>
        <v>0</v>
      </c>
      <c r="G657" s="1" t="str">
        <f t="shared" si="63"/>
        <v/>
      </c>
      <c r="I657" s="12"/>
      <c r="J657" s="13"/>
      <c r="K657" s="13"/>
      <c r="L657" s="14"/>
      <c r="M657" s="18">
        <f t="shared" si="61"/>
        <v>0</v>
      </c>
      <c r="N657" s="1" t="str">
        <f t="shared" si="64"/>
        <v/>
      </c>
      <c r="P657" s="12"/>
      <c r="Q657" s="13"/>
      <c r="R657" s="13"/>
      <c r="S657" s="14"/>
      <c r="T657" s="18">
        <f t="shared" si="62"/>
        <v>0</v>
      </c>
      <c r="U657" s="1" t="str">
        <f t="shared" si="65"/>
        <v/>
      </c>
      <c r="W657" s="21" t="str">
        <f>IF(C657&gt;0,CONCATENATE("0x",(DEC2HEX(IF(B657&lt;&gt;"",VLOOKUP(B657,Notes!$A$2:$B$37,2,FALSE)*1024,0) + C657*16 + IF(D657="",7,D657)*2 + IF(E657&gt;0, 1, 0))),","),"")</f>
        <v/>
      </c>
      <c r="X657" s="21" t="str">
        <f>IF(J657&gt;0,CONCATENATE("0x",(DEC2HEX(IF(I657&lt;&gt;"",VLOOKUP(I657,Notes!$A$2:$B$37,2,FALSE)*1024,0) + J657*16 + IF(K657="",7,K657)*2 + IF(L657&gt;0, 1, 0))),","),"")</f>
        <v/>
      </c>
      <c r="Y657" s="21" t="str">
        <f>IF(Q657&gt;0,CONCATENATE("0x",(DEC2HEX(IF(P657&lt;&gt;"",VLOOKUP(P657,Notes!$A$2:$B$37,2,FALSE)*1024,0) + Q657*16 + IF(R657="",7,R657)*2 + IF(S657&gt;0, 1, 0))),","),"")</f>
        <v/>
      </c>
    </row>
    <row r="658" spans="2:25" x14ac:dyDescent="0.25">
      <c r="F658" s="18">
        <f t="shared" si="60"/>
        <v>0</v>
      </c>
      <c r="G658" s="1" t="str">
        <f t="shared" si="63"/>
        <v/>
      </c>
      <c r="M658" s="18">
        <f t="shared" si="61"/>
        <v>0</v>
      </c>
      <c r="N658" s="1" t="str">
        <f t="shared" si="64"/>
        <v/>
      </c>
      <c r="T658" s="18">
        <f t="shared" si="62"/>
        <v>0</v>
      </c>
      <c r="U658" s="1" t="str">
        <f t="shared" si="65"/>
        <v/>
      </c>
      <c r="W658" s="21" t="str">
        <f>IF(C658&gt;0,CONCATENATE("0x",(DEC2HEX(IF(B658&lt;&gt;"",VLOOKUP(B658,Notes!$A$2:$B$37,2,FALSE)*1024,0) + C658*16 + IF(D658="",7,D658)*2 + IF(E658&gt;0, 1, 0))),","),"")</f>
        <v/>
      </c>
      <c r="X658" s="21" t="str">
        <f>IF(J658&gt;0,CONCATENATE("0x",(DEC2HEX(IF(I658&lt;&gt;"",VLOOKUP(I658,Notes!$A$2:$B$37,2,FALSE)*1024,0) + J658*16 + IF(K658="",7,K658)*2 + IF(L658&gt;0, 1, 0))),","),"")</f>
        <v/>
      </c>
      <c r="Y658" s="21" t="str">
        <f>IF(Q658&gt;0,CONCATENATE("0x",(DEC2HEX(IF(P658&lt;&gt;"",VLOOKUP(P658,Notes!$A$2:$B$37,2,FALSE)*1024,0) + Q658*16 + IF(R658="",7,R658)*2 + IF(S658&gt;0, 1, 0))),","),"")</f>
        <v/>
      </c>
    </row>
    <row r="659" spans="2:25" x14ac:dyDescent="0.25">
      <c r="F659" s="18">
        <f t="shared" si="60"/>
        <v>0</v>
      </c>
      <c r="G659" s="1" t="str">
        <f t="shared" si="63"/>
        <v/>
      </c>
      <c r="M659" s="18">
        <f t="shared" si="61"/>
        <v>0</v>
      </c>
      <c r="N659" s="1" t="str">
        <f t="shared" si="64"/>
        <v/>
      </c>
      <c r="T659" s="18">
        <f t="shared" si="62"/>
        <v>0</v>
      </c>
      <c r="U659" s="1" t="str">
        <f t="shared" si="65"/>
        <v/>
      </c>
      <c r="W659" s="21" t="str">
        <f>IF(C659&gt;0,CONCATENATE("0x",(DEC2HEX(IF(B659&lt;&gt;"",VLOOKUP(B659,Notes!$A$2:$B$37,2,FALSE)*1024,0) + C659*16 + IF(D659="",7,D659)*2 + IF(E659&gt;0, 1, 0))),","),"")</f>
        <v/>
      </c>
      <c r="X659" s="21" t="str">
        <f>IF(J659&gt;0,CONCATENATE("0x",(DEC2HEX(IF(I659&lt;&gt;"",VLOOKUP(I659,Notes!$A$2:$B$37,2,FALSE)*1024,0) + J659*16 + IF(K659="",7,K659)*2 + IF(L659&gt;0, 1, 0))),","),"")</f>
        <v/>
      </c>
      <c r="Y659" s="21" t="str">
        <f>IF(Q659&gt;0,CONCATENATE("0x",(DEC2HEX(IF(P659&lt;&gt;"",VLOOKUP(P659,Notes!$A$2:$B$37,2,FALSE)*1024,0) + Q659*16 + IF(R659="",7,R659)*2 + IF(S659&gt;0, 1, 0))),","),"")</f>
        <v/>
      </c>
    </row>
    <row r="660" spans="2:25" x14ac:dyDescent="0.25">
      <c r="F660" s="18">
        <f t="shared" si="60"/>
        <v>0</v>
      </c>
      <c r="G660" s="1" t="str">
        <f t="shared" si="63"/>
        <v/>
      </c>
      <c r="M660" s="18">
        <f t="shared" si="61"/>
        <v>0</v>
      </c>
      <c r="N660" s="1" t="str">
        <f t="shared" si="64"/>
        <v/>
      </c>
      <c r="T660" s="18">
        <f t="shared" si="62"/>
        <v>0</v>
      </c>
      <c r="U660" s="1" t="str">
        <f t="shared" si="65"/>
        <v/>
      </c>
      <c r="W660" s="21" t="str">
        <f>IF(C660&gt;0,CONCATENATE("0x",(DEC2HEX(IF(B660&lt;&gt;"",VLOOKUP(B660,Notes!$A$2:$B$37,2,FALSE)*1024,0) + C660*16 + IF(D660="",7,D660)*2 + IF(E660&gt;0, 1, 0))),","),"")</f>
        <v/>
      </c>
      <c r="X660" s="21" t="str">
        <f>IF(J660&gt;0,CONCATENATE("0x",(DEC2HEX(IF(I660&lt;&gt;"",VLOOKUP(I660,Notes!$A$2:$B$37,2,FALSE)*1024,0) + J660*16 + IF(K660="",7,K660)*2 + IF(L660&gt;0, 1, 0))),","),"")</f>
        <v/>
      </c>
      <c r="Y660" s="21" t="str">
        <f>IF(Q660&gt;0,CONCATENATE("0x",(DEC2HEX(IF(P660&lt;&gt;"",VLOOKUP(P660,Notes!$A$2:$B$37,2,FALSE)*1024,0) + Q660*16 + IF(R660="",7,R660)*2 + IF(S660&gt;0, 1, 0))),","),"")</f>
        <v/>
      </c>
    </row>
    <row r="661" spans="2:25" x14ac:dyDescent="0.25">
      <c r="F661" s="18">
        <f t="shared" si="60"/>
        <v>0</v>
      </c>
      <c r="G661" s="1" t="str">
        <f t="shared" si="63"/>
        <v/>
      </c>
      <c r="M661" s="18">
        <f t="shared" si="61"/>
        <v>0</v>
      </c>
      <c r="N661" s="1" t="str">
        <f t="shared" si="64"/>
        <v/>
      </c>
      <c r="T661" s="18">
        <f t="shared" si="62"/>
        <v>0</v>
      </c>
      <c r="U661" s="1" t="str">
        <f t="shared" si="65"/>
        <v/>
      </c>
      <c r="W661" s="21" t="str">
        <f>IF(C661&gt;0,CONCATENATE("0x",(DEC2HEX(IF(B661&lt;&gt;"",VLOOKUP(B661,Notes!$A$2:$B$37,2,FALSE)*1024,0) + C661*16 + IF(D661="",7,D661)*2 + IF(E661&gt;0, 1, 0))),","),"")</f>
        <v/>
      </c>
      <c r="X661" s="21" t="str">
        <f>IF(J661&gt;0,CONCATENATE("0x",(DEC2HEX(IF(I661&lt;&gt;"",VLOOKUP(I661,Notes!$A$2:$B$37,2,FALSE)*1024,0) + J661*16 + IF(K661="",7,K661)*2 + IF(L661&gt;0, 1, 0))),","),"")</f>
        <v/>
      </c>
      <c r="Y661" s="21" t="str">
        <f>IF(Q661&gt;0,CONCATENATE("0x",(DEC2HEX(IF(P661&lt;&gt;"",VLOOKUP(P661,Notes!$A$2:$B$37,2,FALSE)*1024,0) + Q661*16 + IF(R661="",7,R661)*2 + IF(S661&gt;0, 1, 0))),","),"")</f>
        <v/>
      </c>
    </row>
    <row r="662" spans="2:25" x14ac:dyDescent="0.25">
      <c r="F662" s="18">
        <f t="shared" si="60"/>
        <v>0</v>
      </c>
      <c r="G662" s="1" t="str">
        <f t="shared" si="63"/>
        <v/>
      </c>
      <c r="M662" s="18">
        <f t="shared" si="61"/>
        <v>0</v>
      </c>
      <c r="N662" s="1" t="str">
        <f t="shared" si="64"/>
        <v/>
      </c>
      <c r="T662" s="18">
        <f t="shared" si="62"/>
        <v>0</v>
      </c>
      <c r="U662" s="1" t="str">
        <f t="shared" si="65"/>
        <v/>
      </c>
      <c r="W662" s="21" t="str">
        <f>IF(C662&gt;0,CONCATENATE("0x",(DEC2HEX(IF(B662&lt;&gt;"",VLOOKUP(B662,Notes!$A$2:$B$37,2,FALSE)*1024,0) + C662*16 + IF(D662="",7,D662)*2 + IF(E662&gt;0, 1, 0))),","),"")</f>
        <v/>
      </c>
      <c r="X662" s="21" t="str">
        <f>IF(J662&gt;0,CONCATENATE("0x",(DEC2HEX(IF(I662&lt;&gt;"",VLOOKUP(I662,Notes!$A$2:$B$37,2,FALSE)*1024,0) + J662*16 + IF(K662="",7,K662)*2 + IF(L662&gt;0, 1, 0))),","),"")</f>
        <v/>
      </c>
      <c r="Y662" s="21" t="str">
        <f>IF(Q662&gt;0,CONCATENATE("0x",(DEC2HEX(IF(P662&lt;&gt;"",VLOOKUP(P662,Notes!$A$2:$B$37,2,FALSE)*1024,0) + Q662*16 + IF(R662="",7,R662)*2 + IF(S662&gt;0, 1, 0))),","),"")</f>
        <v/>
      </c>
    </row>
    <row r="663" spans="2:25" x14ac:dyDescent="0.25">
      <c r="F663" s="18">
        <f t="shared" si="60"/>
        <v>0</v>
      </c>
      <c r="G663" s="1" t="str">
        <f t="shared" si="63"/>
        <v/>
      </c>
      <c r="M663" s="18">
        <f t="shared" si="61"/>
        <v>0</v>
      </c>
      <c r="N663" s="1" t="str">
        <f t="shared" si="64"/>
        <v/>
      </c>
      <c r="T663" s="18">
        <f t="shared" si="62"/>
        <v>0</v>
      </c>
      <c r="U663" s="1" t="str">
        <f t="shared" si="65"/>
        <v/>
      </c>
      <c r="W663" s="21" t="str">
        <f>IF(C663&gt;0,CONCATENATE("0x",(DEC2HEX(IF(B663&lt;&gt;"",VLOOKUP(B663,Notes!$A$2:$B$37,2,FALSE)*1024,0) + C663*16 + IF(D663="",7,D663)*2 + IF(E663&gt;0, 1, 0))),","),"")</f>
        <v/>
      </c>
      <c r="X663" s="21" t="str">
        <f>IF(J663&gt;0,CONCATENATE("0x",(DEC2HEX(IF(I663&lt;&gt;"",VLOOKUP(I663,Notes!$A$2:$B$37,2,FALSE)*1024,0) + J663*16 + IF(K663="",7,K663)*2 + IF(L663&gt;0, 1, 0))),","),"")</f>
        <v/>
      </c>
      <c r="Y663" s="21" t="str">
        <f>IF(Q663&gt;0,CONCATENATE("0x",(DEC2HEX(IF(P663&lt;&gt;"",VLOOKUP(P663,Notes!$A$2:$B$37,2,FALSE)*1024,0) + Q663*16 + IF(R663="",7,R663)*2 + IF(S663&gt;0, 1, 0))),","),"")</f>
        <v/>
      </c>
    </row>
    <row r="664" spans="2:25" x14ac:dyDescent="0.25">
      <c r="F664" s="18">
        <f t="shared" si="60"/>
        <v>0</v>
      </c>
      <c r="G664" s="1" t="str">
        <f t="shared" si="63"/>
        <v/>
      </c>
      <c r="M664" s="18">
        <f t="shared" si="61"/>
        <v>0</v>
      </c>
      <c r="N664" s="1" t="str">
        <f t="shared" si="64"/>
        <v/>
      </c>
      <c r="T664" s="18">
        <f t="shared" si="62"/>
        <v>0</v>
      </c>
      <c r="U664" s="1" t="str">
        <f t="shared" si="65"/>
        <v/>
      </c>
      <c r="W664" s="21" t="str">
        <f>IF(C664&gt;0,CONCATENATE("0x",(DEC2HEX(IF(B664&lt;&gt;"",VLOOKUP(B664,Notes!$A$2:$B$37,2,FALSE)*1024,0) + C664*16 + IF(D664="",7,D664)*2 + IF(E664&gt;0, 1, 0))),","),"")</f>
        <v/>
      </c>
      <c r="X664" s="21" t="str">
        <f>IF(J664&gt;0,CONCATENATE("0x",(DEC2HEX(IF(I664&lt;&gt;"",VLOOKUP(I664,Notes!$A$2:$B$37,2,FALSE)*1024,0) + J664*16 + IF(K664="",7,K664)*2 + IF(L664&gt;0, 1, 0))),","),"")</f>
        <v/>
      </c>
      <c r="Y664" s="21" t="str">
        <f>IF(Q664&gt;0,CONCATENATE("0x",(DEC2HEX(IF(P664&lt;&gt;"",VLOOKUP(P664,Notes!$A$2:$B$37,2,FALSE)*1024,0) + Q664*16 + IF(R664="",7,R664)*2 + IF(S664&gt;0, 1, 0))),","),"")</f>
        <v/>
      </c>
    </row>
    <row r="665" spans="2:25" x14ac:dyDescent="0.25">
      <c r="B665" s="12"/>
      <c r="C665" s="13"/>
      <c r="D665" s="13"/>
      <c r="E665" s="14"/>
      <c r="F665" s="18">
        <f t="shared" si="60"/>
        <v>0</v>
      </c>
      <c r="G665" s="1" t="str">
        <f t="shared" si="63"/>
        <v/>
      </c>
      <c r="I665" s="12"/>
      <c r="J665" s="13"/>
      <c r="K665" s="13"/>
      <c r="L665" s="14"/>
      <c r="M665" s="18">
        <f t="shared" si="61"/>
        <v>0</v>
      </c>
      <c r="N665" s="1" t="str">
        <f t="shared" si="64"/>
        <v/>
      </c>
      <c r="P665" s="12"/>
      <c r="Q665" s="13"/>
      <c r="R665" s="13"/>
      <c r="S665" s="14"/>
      <c r="T665" s="18">
        <f t="shared" si="62"/>
        <v>0</v>
      </c>
      <c r="U665" s="1" t="str">
        <f t="shared" si="65"/>
        <v/>
      </c>
      <c r="W665" s="21" t="str">
        <f>IF(C665&gt;0,CONCATENATE("0x",(DEC2HEX(IF(B665&lt;&gt;"",VLOOKUP(B665,Notes!$A$2:$B$37,2,FALSE)*1024,0) + C665*16 + IF(D665="",7,D665)*2 + IF(E665&gt;0, 1, 0))),","),"")</f>
        <v/>
      </c>
      <c r="X665" s="21" t="str">
        <f>IF(J665&gt;0,CONCATENATE("0x",(DEC2HEX(IF(I665&lt;&gt;"",VLOOKUP(I665,Notes!$A$2:$B$37,2,FALSE)*1024,0) + J665*16 + IF(K665="",7,K665)*2 + IF(L665&gt;0, 1, 0))),","),"")</f>
        <v/>
      </c>
      <c r="Y665" s="21" t="str">
        <f>IF(Q665&gt;0,CONCATENATE("0x",(DEC2HEX(IF(P665&lt;&gt;"",VLOOKUP(P665,Notes!$A$2:$B$37,2,FALSE)*1024,0) + Q665*16 + IF(R665="",7,R665)*2 + IF(S665&gt;0, 1, 0))),","),"")</f>
        <v/>
      </c>
    </row>
    <row r="666" spans="2:25" x14ac:dyDescent="0.25">
      <c r="F666" s="18">
        <f t="shared" si="60"/>
        <v>0</v>
      </c>
      <c r="G666" s="1" t="str">
        <f t="shared" si="63"/>
        <v/>
      </c>
      <c r="M666" s="18">
        <f t="shared" si="61"/>
        <v>0</v>
      </c>
      <c r="N666" s="1" t="str">
        <f t="shared" si="64"/>
        <v/>
      </c>
      <c r="T666" s="18">
        <f t="shared" si="62"/>
        <v>0</v>
      </c>
      <c r="U666" s="1" t="str">
        <f t="shared" si="65"/>
        <v/>
      </c>
      <c r="W666" s="21" t="str">
        <f>IF(C666&gt;0,CONCATENATE("0x",(DEC2HEX(IF(B666&lt;&gt;"",VLOOKUP(B666,Notes!$A$2:$B$37,2,FALSE)*1024,0) + C666*16 + IF(D666="",7,D666)*2 + IF(E666&gt;0, 1, 0))),","),"")</f>
        <v/>
      </c>
      <c r="X666" s="21" t="str">
        <f>IF(J666&gt;0,CONCATENATE("0x",(DEC2HEX(IF(I666&lt;&gt;"",VLOOKUP(I666,Notes!$A$2:$B$37,2,FALSE)*1024,0) + J666*16 + IF(K666="",7,K666)*2 + IF(L666&gt;0, 1, 0))),","),"")</f>
        <v/>
      </c>
      <c r="Y666" s="21" t="str">
        <f>IF(Q666&gt;0,CONCATENATE("0x",(DEC2HEX(IF(P666&lt;&gt;"",VLOOKUP(P666,Notes!$A$2:$B$37,2,FALSE)*1024,0) + Q666*16 + IF(R666="",7,R666)*2 + IF(S666&gt;0, 1, 0))),","),"")</f>
        <v/>
      </c>
    </row>
    <row r="667" spans="2:25" x14ac:dyDescent="0.25">
      <c r="F667" s="18">
        <f t="shared" si="60"/>
        <v>0</v>
      </c>
      <c r="G667" s="1" t="str">
        <f t="shared" si="63"/>
        <v/>
      </c>
      <c r="M667" s="18">
        <f t="shared" si="61"/>
        <v>0</v>
      </c>
      <c r="N667" s="1" t="str">
        <f t="shared" si="64"/>
        <v/>
      </c>
      <c r="T667" s="18">
        <f t="shared" si="62"/>
        <v>0</v>
      </c>
      <c r="U667" s="1" t="str">
        <f t="shared" si="65"/>
        <v/>
      </c>
      <c r="W667" s="21" t="str">
        <f>IF(C667&gt;0,CONCATENATE("0x",(DEC2HEX(IF(B667&lt;&gt;"",VLOOKUP(B667,Notes!$A$2:$B$37,2,FALSE)*1024,0) + C667*16 + IF(D667="",7,D667)*2 + IF(E667&gt;0, 1, 0))),","),"")</f>
        <v/>
      </c>
      <c r="X667" s="21" t="str">
        <f>IF(J667&gt;0,CONCATENATE("0x",(DEC2HEX(IF(I667&lt;&gt;"",VLOOKUP(I667,Notes!$A$2:$B$37,2,FALSE)*1024,0) + J667*16 + IF(K667="",7,K667)*2 + IF(L667&gt;0, 1, 0))),","),"")</f>
        <v/>
      </c>
      <c r="Y667" s="21" t="str">
        <f>IF(Q667&gt;0,CONCATENATE("0x",(DEC2HEX(IF(P667&lt;&gt;"",VLOOKUP(P667,Notes!$A$2:$B$37,2,FALSE)*1024,0) + Q667*16 + IF(R667="",7,R667)*2 + IF(S667&gt;0, 1, 0))),","),"")</f>
        <v/>
      </c>
    </row>
    <row r="668" spans="2:25" x14ac:dyDescent="0.25">
      <c r="F668" s="18">
        <f t="shared" si="60"/>
        <v>0</v>
      </c>
      <c r="G668" s="1" t="str">
        <f t="shared" si="63"/>
        <v/>
      </c>
      <c r="M668" s="18">
        <f t="shared" si="61"/>
        <v>0</v>
      </c>
      <c r="N668" s="1" t="str">
        <f t="shared" si="64"/>
        <v/>
      </c>
      <c r="T668" s="18">
        <f t="shared" si="62"/>
        <v>0</v>
      </c>
      <c r="U668" s="1" t="str">
        <f t="shared" si="65"/>
        <v/>
      </c>
      <c r="W668" s="21" t="str">
        <f>IF(C668&gt;0,CONCATENATE("0x",(DEC2HEX(IF(B668&lt;&gt;"",VLOOKUP(B668,Notes!$A$2:$B$37,2,FALSE)*1024,0) + C668*16 + IF(D668="",7,D668)*2 + IF(E668&gt;0, 1, 0))),","),"")</f>
        <v/>
      </c>
      <c r="X668" s="21" t="str">
        <f>IF(J668&gt;0,CONCATENATE("0x",(DEC2HEX(IF(I668&lt;&gt;"",VLOOKUP(I668,Notes!$A$2:$B$37,2,FALSE)*1024,0) + J668*16 + IF(K668="",7,K668)*2 + IF(L668&gt;0, 1, 0))),","),"")</f>
        <v/>
      </c>
      <c r="Y668" s="21" t="str">
        <f>IF(Q668&gt;0,CONCATENATE("0x",(DEC2HEX(IF(P668&lt;&gt;"",VLOOKUP(P668,Notes!$A$2:$B$37,2,FALSE)*1024,0) + Q668*16 + IF(R668="",7,R668)*2 + IF(S668&gt;0, 1, 0))),","),"")</f>
        <v/>
      </c>
    </row>
    <row r="669" spans="2:25" x14ac:dyDescent="0.25">
      <c r="F669" s="18">
        <f t="shared" si="60"/>
        <v>0</v>
      </c>
      <c r="G669" s="1" t="str">
        <f t="shared" si="63"/>
        <v/>
      </c>
      <c r="M669" s="18">
        <f t="shared" si="61"/>
        <v>0</v>
      </c>
      <c r="N669" s="1" t="str">
        <f t="shared" si="64"/>
        <v/>
      </c>
      <c r="T669" s="18">
        <f t="shared" si="62"/>
        <v>0</v>
      </c>
      <c r="U669" s="1" t="str">
        <f t="shared" si="65"/>
        <v/>
      </c>
      <c r="W669" s="21" t="str">
        <f>IF(C669&gt;0,CONCATENATE("0x",(DEC2HEX(IF(B669&lt;&gt;"",VLOOKUP(B669,Notes!$A$2:$B$37,2,FALSE)*1024,0) + C669*16 + IF(D669="",7,D669)*2 + IF(E669&gt;0, 1, 0))),","),"")</f>
        <v/>
      </c>
      <c r="X669" s="21" t="str">
        <f>IF(J669&gt;0,CONCATENATE("0x",(DEC2HEX(IF(I669&lt;&gt;"",VLOOKUP(I669,Notes!$A$2:$B$37,2,FALSE)*1024,0) + J669*16 + IF(K669="",7,K669)*2 + IF(L669&gt;0, 1, 0))),","),"")</f>
        <v/>
      </c>
      <c r="Y669" s="21" t="str">
        <f>IF(Q669&gt;0,CONCATENATE("0x",(DEC2HEX(IF(P669&lt;&gt;"",VLOOKUP(P669,Notes!$A$2:$B$37,2,FALSE)*1024,0) + Q669*16 + IF(R669="",7,R669)*2 + IF(S669&gt;0, 1, 0))),","),"")</f>
        <v/>
      </c>
    </row>
    <row r="670" spans="2:25" x14ac:dyDescent="0.25">
      <c r="F670" s="18">
        <f t="shared" si="60"/>
        <v>0</v>
      </c>
      <c r="G670" s="1" t="str">
        <f t="shared" si="63"/>
        <v/>
      </c>
      <c r="M670" s="18">
        <f t="shared" si="61"/>
        <v>0</v>
      </c>
      <c r="N670" s="1" t="str">
        <f t="shared" si="64"/>
        <v/>
      </c>
      <c r="T670" s="18">
        <f t="shared" si="62"/>
        <v>0</v>
      </c>
      <c r="U670" s="1" t="str">
        <f t="shared" si="65"/>
        <v/>
      </c>
      <c r="W670" s="21" t="str">
        <f>IF(C670&gt;0,CONCATENATE("0x",(DEC2HEX(IF(B670&lt;&gt;"",VLOOKUP(B670,Notes!$A$2:$B$37,2,FALSE)*1024,0) + C670*16 + IF(D670="",7,D670)*2 + IF(E670&gt;0, 1, 0))),","),"")</f>
        <v/>
      </c>
      <c r="X670" s="21" t="str">
        <f>IF(J670&gt;0,CONCATENATE("0x",(DEC2HEX(IF(I670&lt;&gt;"",VLOOKUP(I670,Notes!$A$2:$B$37,2,FALSE)*1024,0) + J670*16 + IF(K670="",7,K670)*2 + IF(L670&gt;0, 1, 0))),","),"")</f>
        <v/>
      </c>
      <c r="Y670" s="21" t="str">
        <f>IF(Q670&gt;0,CONCATENATE("0x",(DEC2HEX(IF(P670&lt;&gt;"",VLOOKUP(P670,Notes!$A$2:$B$37,2,FALSE)*1024,0) + Q670*16 + IF(R670="",7,R670)*2 + IF(S670&gt;0, 1, 0))),","),"")</f>
        <v/>
      </c>
    </row>
    <row r="671" spans="2:25" x14ac:dyDescent="0.25">
      <c r="F671" s="18">
        <f t="shared" si="60"/>
        <v>0</v>
      </c>
      <c r="G671" s="1" t="str">
        <f t="shared" si="63"/>
        <v/>
      </c>
      <c r="M671" s="18">
        <f t="shared" si="61"/>
        <v>0</v>
      </c>
      <c r="N671" s="1" t="str">
        <f t="shared" si="64"/>
        <v/>
      </c>
      <c r="T671" s="18">
        <f t="shared" si="62"/>
        <v>0</v>
      </c>
      <c r="U671" s="1" t="str">
        <f t="shared" si="65"/>
        <v/>
      </c>
      <c r="W671" s="21" t="str">
        <f>IF(C671&gt;0,CONCATENATE("0x",(DEC2HEX(IF(B671&lt;&gt;"",VLOOKUP(B671,Notes!$A$2:$B$37,2,FALSE)*1024,0) + C671*16 + IF(D671="",7,D671)*2 + IF(E671&gt;0, 1, 0))),","),"")</f>
        <v/>
      </c>
      <c r="X671" s="21" t="str">
        <f>IF(J671&gt;0,CONCATENATE("0x",(DEC2HEX(IF(I671&lt;&gt;"",VLOOKUP(I671,Notes!$A$2:$B$37,2,FALSE)*1024,0) + J671*16 + IF(K671="",7,K671)*2 + IF(L671&gt;0, 1, 0))),","),"")</f>
        <v/>
      </c>
      <c r="Y671" s="21" t="str">
        <f>IF(Q671&gt;0,CONCATENATE("0x",(DEC2HEX(IF(P671&lt;&gt;"",VLOOKUP(P671,Notes!$A$2:$B$37,2,FALSE)*1024,0) + Q671*16 + IF(R671="",7,R671)*2 + IF(S671&gt;0, 1, 0))),","),"")</f>
        <v/>
      </c>
    </row>
    <row r="672" spans="2:25" x14ac:dyDescent="0.25">
      <c r="F672" s="18">
        <f t="shared" si="60"/>
        <v>0</v>
      </c>
      <c r="G672" s="1" t="str">
        <f t="shared" si="63"/>
        <v/>
      </c>
      <c r="M672" s="18">
        <f t="shared" si="61"/>
        <v>0</v>
      </c>
      <c r="N672" s="1" t="str">
        <f t="shared" si="64"/>
        <v/>
      </c>
      <c r="T672" s="18">
        <f t="shared" si="62"/>
        <v>0</v>
      </c>
      <c r="U672" s="1" t="str">
        <f t="shared" si="65"/>
        <v/>
      </c>
      <c r="W672" s="21" t="str">
        <f>IF(C672&gt;0,CONCATENATE("0x",(DEC2HEX(IF(B672&lt;&gt;"",VLOOKUP(B672,Notes!$A$2:$B$37,2,FALSE)*1024,0) + C672*16 + IF(D672="",7,D672)*2 + IF(E672&gt;0, 1, 0))),","),"")</f>
        <v/>
      </c>
      <c r="X672" s="21" t="str">
        <f>IF(J672&gt;0,CONCATENATE("0x",(DEC2HEX(IF(I672&lt;&gt;"",VLOOKUP(I672,Notes!$A$2:$B$37,2,FALSE)*1024,0) + J672*16 + IF(K672="",7,K672)*2 + IF(L672&gt;0, 1, 0))),","),"")</f>
        <v/>
      </c>
      <c r="Y672" s="21" t="str">
        <f>IF(Q672&gt;0,CONCATENATE("0x",(DEC2HEX(IF(P672&lt;&gt;"",VLOOKUP(P672,Notes!$A$2:$B$37,2,FALSE)*1024,0) + Q672*16 + IF(R672="",7,R672)*2 + IF(S672&gt;0, 1, 0))),","),"")</f>
        <v/>
      </c>
    </row>
    <row r="673" spans="1:25" ht="16.5" thickBot="1" x14ac:dyDescent="0.3">
      <c r="B673" s="15"/>
      <c r="C673" s="16"/>
      <c r="D673" s="16"/>
      <c r="E673" s="17"/>
      <c r="F673" s="18">
        <f t="shared" si="60"/>
        <v>0</v>
      </c>
      <c r="G673" s="1" t="str">
        <f t="shared" si="63"/>
        <v/>
      </c>
      <c r="I673" s="15"/>
      <c r="J673" s="16"/>
      <c r="K673" s="16"/>
      <c r="L673" s="17"/>
      <c r="M673" s="18">
        <f t="shared" si="61"/>
        <v>0</v>
      </c>
      <c r="N673" s="1" t="str">
        <f t="shared" si="64"/>
        <v/>
      </c>
      <c r="P673" s="15"/>
      <c r="Q673" s="16"/>
      <c r="R673" s="16"/>
      <c r="S673" s="17"/>
      <c r="T673" s="18">
        <f t="shared" si="62"/>
        <v>0</v>
      </c>
      <c r="U673" s="1" t="str">
        <f t="shared" si="65"/>
        <v/>
      </c>
      <c r="W673" s="21" t="str">
        <f>IF(C673&gt;0,CONCATENATE("0x",(DEC2HEX(IF(B673&lt;&gt;"",VLOOKUP(B673,Notes!$A$2:$B$37,2,FALSE)*1024,0) + C673*16 + IF(D673="",7,D673)*2 + IF(E673&gt;0, 1, 0))),","),"")</f>
        <v/>
      </c>
      <c r="X673" s="21" t="str">
        <f>IF(J673&gt;0,CONCATENATE("0x",(DEC2HEX(IF(I673&lt;&gt;"",VLOOKUP(I673,Notes!$A$2:$B$37,2,FALSE)*1024,0) + J673*16 + IF(K673="",7,K673)*2 + IF(L673&gt;0, 1, 0))),","),"")</f>
        <v/>
      </c>
      <c r="Y673" s="21" t="str">
        <f>IF(Q673&gt;0,CONCATENATE("0x",(DEC2HEX(IF(P673&lt;&gt;"",VLOOKUP(P673,Notes!$A$2:$B$37,2,FALSE)*1024,0) + Q673*16 + IF(R673="",7,R673)*2 + IF(S673&gt;0, 1, 0))),","),"")</f>
        <v/>
      </c>
    </row>
    <row r="674" spans="1:25" ht="16.5" thickTop="1" x14ac:dyDescent="0.25">
      <c r="A674" s="1">
        <v>22</v>
      </c>
      <c r="F674" s="18">
        <f t="shared" si="60"/>
        <v>0</v>
      </c>
      <c r="G674" s="1" t="str">
        <f t="shared" si="63"/>
        <v/>
      </c>
      <c r="M674" s="18">
        <f t="shared" si="61"/>
        <v>0</v>
      </c>
      <c r="N674" s="1" t="str">
        <f t="shared" si="64"/>
        <v/>
      </c>
      <c r="T674" s="18">
        <f t="shared" si="62"/>
        <v>0</v>
      </c>
      <c r="U674" s="1" t="str">
        <f t="shared" si="65"/>
        <v/>
      </c>
      <c r="W674" s="21" t="str">
        <f>IF(C674&gt;0,CONCATENATE("0x",(DEC2HEX(IF(B674&lt;&gt;"",VLOOKUP(B674,Notes!$A$2:$B$37,2,FALSE)*1024,0) + C674*16 + IF(D674="",7,D674)*2 + IF(E674&gt;0, 1, 0))),","),"")</f>
        <v/>
      </c>
      <c r="X674" s="21" t="str">
        <f>IF(J674&gt;0,CONCATENATE("0x",(DEC2HEX(IF(I674&lt;&gt;"",VLOOKUP(I674,Notes!$A$2:$B$37,2,FALSE)*1024,0) + J674*16 + IF(K674="",7,K674)*2 + IF(L674&gt;0, 1, 0))),","),"")</f>
        <v/>
      </c>
      <c r="Y674" s="21" t="str">
        <f>IF(Q674&gt;0,CONCATENATE("0x",(DEC2HEX(IF(P674&lt;&gt;"",VLOOKUP(P674,Notes!$A$2:$B$37,2,FALSE)*1024,0) + Q674*16 + IF(R674="",7,R674)*2 + IF(S674&gt;0, 1, 0))),","),"")</f>
        <v/>
      </c>
    </row>
    <row r="675" spans="1:25" x14ac:dyDescent="0.25">
      <c r="F675" s="18">
        <f t="shared" si="60"/>
        <v>0</v>
      </c>
      <c r="G675" s="1" t="str">
        <f t="shared" si="63"/>
        <v/>
      </c>
      <c r="M675" s="18">
        <f t="shared" si="61"/>
        <v>0</v>
      </c>
      <c r="N675" s="1" t="str">
        <f t="shared" si="64"/>
        <v/>
      </c>
      <c r="T675" s="18">
        <f t="shared" si="62"/>
        <v>0</v>
      </c>
      <c r="U675" s="1" t="str">
        <f t="shared" si="65"/>
        <v/>
      </c>
      <c r="W675" s="21" t="str">
        <f>IF(C675&gt;0,CONCATENATE("0x",(DEC2HEX(IF(B675&lt;&gt;"",VLOOKUP(B675,Notes!$A$2:$B$37,2,FALSE)*1024,0) + C675*16 + IF(D675="",7,D675)*2 + IF(E675&gt;0, 1, 0))),","),"")</f>
        <v/>
      </c>
      <c r="X675" s="21" t="str">
        <f>IF(J675&gt;0,CONCATENATE("0x",(DEC2HEX(IF(I675&lt;&gt;"",VLOOKUP(I675,Notes!$A$2:$B$37,2,FALSE)*1024,0) + J675*16 + IF(K675="",7,K675)*2 + IF(L675&gt;0, 1, 0))),","),"")</f>
        <v/>
      </c>
      <c r="Y675" s="21" t="str">
        <f>IF(Q675&gt;0,CONCATENATE("0x",(DEC2HEX(IF(P675&lt;&gt;"",VLOOKUP(P675,Notes!$A$2:$B$37,2,FALSE)*1024,0) + Q675*16 + IF(R675="",7,R675)*2 + IF(S675&gt;0, 1, 0))),","),"")</f>
        <v/>
      </c>
    </row>
    <row r="676" spans="1:25" x14ac:dyDescent="0.25">
      <c r="F676" s="18">
        <f t="shared" si="60"/>
        <v>0</v>
      </c>
      <c r="G676" s="1" t="str">
        <f t="shared" si="63"/>
        <v/>
      </c>
      <c r="M676" s="18">
        <f t="shared" si="61"/>
        <v>0</v>
      </c>
      <c r="N676" s="1" t="str">
        <f t="shared" si="64"/>
        <v/>
      </c>
      <c r="T676" s="18">
        <f t="shared" si="62"/>
        <v>0</v>
      </c>
      <c r="U676" s="1" t="str">
        <f t="shared" si="65"/>
        <v/>
      </c>
      <c r="W676" s="21" t="str">
        <f>IF(C676&gt;0,CONCATENATE("0x",(DEC2HEX(IF(B676&lt;&gt;"",VLOOKUP(B676,Notes!$A$2:$B$37,2,FALSE)*1024,0) + C676*16 + IF(D676="",7,D676)*2 + IF(E676&gt;0, 1, 0))),","),"")</f>
        <v/>
      </c>
      <c r="X676" s="21" t="str">
        <f>IF(J676&gt;0,CONCATENATE("0x",(DEC2HEX(IF(I676&lt;&gt;"",VLOOKUP(I676,Notes!$A$2:$B$37,2,FALSE)*1024,0) + J676*16 + IF(K676="",7,K676)*2 + IF(L676&gt;0, 1, 0))),","),"")</f>
        <v/>
      </c>
      <c r="Y676" s="21" t="str">
        <f>IF(Q676&gt;0,CONCATENATE("0x",(DEC2HEX(IF(P676&lt;&gt;"",VLOOKUP(P676,Notes!$A$2:$B$37,2,FALSE)*1024,0) + Q676*16 + IF(R676="",7,R676)*2 + IF(S676&gt;0, 1, 0))),","),"")</f>
        <v/>
      </c>
    </row>
    <row r="677" spans="1:25" x14ac:dyDescent="0.25">
      <c r="F677" s="18">
        <f t="shared" si="60"/>
        <v>0</v>
      </c>
      <c r="G677" s="1" t="str">
        <f t="shared" si="63"/>
        <v/>
      </c>
      <c r="M677" s="18">
        <f t="shared" si="61"/>
        <v>0</v>
      </c>
      <c r="N677" s="1" t="str">
        <f t="shared" si="64"/>
        <v/>
      </c>
      <c r="T677" s="18">
        <f t="shared" si="62"/>
        <v>0</v>
      </c>
      <c r="U677" s="1" t="str">
        <f t="shared" si="65"/>
        <v/>
      </c>
      <c r="W677" s="21" t="str">
        <f>IF(C677&gt;0,CONCATENATE("0x",(DEC2HEX(IF(B677&lt;&gt;"",VLOOKUP(B677,Notes!$A$2:$B$37,2,FALSE)*1024,0) + C677*16 + IF(D677="",7,D677)*2 + IF(E677&gt;0, 1, 0))),","),"")</f>
        <v/>
      </c>
      <c r="X677" s="21" t="str">
        <f>IF(J677&gt;0,CONCATENATE("0x",(DEC2HEX(IF(I677&lt;&gt;"",VLOOKUP(I677,Notes!$A$2:$B$37,2,FALSE)*1024,0) + J677*16 + IF(K677="",7,K677)*2 + IF(L677&gt;0, 1, 0))),","),"")</f>
        <v/>
      </c>
      <c r="Y677" s="21" t="str">
        <f>IF(Q677&gt;0,CONCATENATE("0x",(DEC2HEX(IF(P677&lt;&gt;"",VLOOKUP(P677,Notes!$A$2:$B$37,2,FALSE)*1024,0) + Q677*16 + IF(R677="",7,R677)*2 + IF(S677&gt;0, 1, 0))),","),"")</f>
        <v/>
      </c>
    </row>
    <row r="678" spans="1:25" x14ac:dyDescent="0.25">
      <c r="F678" s="18">
        <f t="shared" si="60"/>
        <v>0</v>
      </c>
      <c r="G678" s="1" t="str">
        <f t="shared" si="63"/>
        <v/>
      </c>
      <c r="M678" s="18">
        <f t="shared" si="61"/>
        <v>0</v>
      </c>
      <c r="N678" s="1" t="str">
        <f t="shared" si="64"/>
        <v/>
      </c>
      <c r="T678" s="18">
        <f t="shared" si="62"/>
        <v>0</v>
      </c>
      <c r="U678" s="1" t="str">
        <f t="shared" si="65"/>
        <v/>
      </c>
      <c r="W678" s="21" t="str">
        <f>IF(C678&gt;0,CONCATENATE("0x",(DEC2HEX(IF(B678&lt;&gt;"",VLOOKUP(B678,Notes!$A$2:$B$37,2,FALSE)*1024,0) + C678*16 + IF(D678="",7,D678)*2 + IF(E678&gt;0, 1, 0))),","),"")</f>
        <v/>
      </c>
      <c r="X678" s="21" t="str">
        <f>IF(J678&gt;0,CONCATENATE("0x",(DEC2HEX(IF(I678&lt;&gt;"",VLOOKUP(I678,Notes!$A$2:$B$37,2,FALSE)*1024,0) + J678*16 + IF(K678="",7,K678)*2 + IF(L678&gt;0, 1, 0))),","),"")</f>
        <v/>
      </c>
      <c r="Y678" s="21" t="str">
        <f>IF(Q678&gt;0,CONCATENATE("0x",(DEC2HEX(IF(P678&lt;&gt;"",VLOOKUP(P678,Notes!$A$2:$B$37,2,FALSE)*1024,0) + Q678*16 + IF(R678="",7,R678)*2 + IF(S678&gt;0, 1, 0))),","),"")</f>
        <v/>
      </c>
    </row>
    <row r="679" spans="1:25" x14ac:dyDescent="0.25">
      <c r="F679" s="18">
        <f t="shared" si="60"/>
        <v>0</v>
      </c>
      <c r="G679" s="1" t="str">
        <f t="shared" si="63"/>
        <v/>
      </c>
      <c r="M679" s="18">
        <f t="shared" si="61"/>
        <v>0</v>
      </c>
      <c r="N679" s="1" t="str">
        <f t="shared" si="64"/>
        <v/>
      </c>
      <c r="T679" s="18">
        <f t="shared" si="62"/>
        <v>0</v>
      </c>
      <c r="U679" s="1" t="str">
        <f t="shared" si="65"/>
        <v/>
      </c>
      <c r="W679" s="21" t="str">
        <f>IF(C679&gt;0,CONCATENATE("0x",(DEC2HEX(IF(B679&lt;&gt;"",VLOOKUP(B679,Notes!$A$2:$B$37,2,FALSE)*1024,0) + C679*16 + IF(D679="",7,D679)*2 + IF(E679&gt;0, 1, 0))),","),"")</f>
        <v/>
      </c>
      <c r="X679" s="21" t="str">
        <f>IF(J679&gt;0,CONCATENATE("0x",(DEC2HEX(IF(I679&lt;&gt;"",VLOOKUP(I679,Notes!$A$2:$B$37,2,FALSE)*1024,0) + J679*16 + IF(K679="",7,K679)*2 + IF(L679&gt;0, 1, 0))),","),"")</f>
        <v/>
      </c>
      <c r="Y679" s="21" t="str">
        <f>IF(Q679&gt;0,CONCATENATE("0x",(DEC2HEX(IF(P679&lt;&gt;"",VLOOKUP(P679,Notes!$A$2:$B$37,2,FALSE)*1024,0) + Q679*16 + IF(R679="",7,R679)*2 + IF(S679&gt;0, 1, 0))),","),"")</f>
        <v/>
      </c>
    </row>
    <row r="680" spans="1:25" x14ac:dyDescent="0.25">
      <c r="F680" s="18">
        <f t="shared" si="60"/>
        <v>0</v>
      </c>
      <c r="G680" s="1" t="str">
        <f t="shared" si="63"/>
        <v/>
      </c>
      <c r="M680" s="18">
        <f t="shared" si="61"/>
        <v>0</v>
      </c>
      <c r="N680" s="1" t="str">
        <f t="shared" si="64"/>
        <v/>
      </c>
      <c r="T680" s="18">
        <f t="shared" si="62"/>
        <v>0</v>
      </c>
      <c r="U680" s="1" t="str">
        <f t="shared" si="65"/>
        <v/>
      </c>
      <c r="W680" s="21" t="str">
        <f>IF(C680&gt;0,CONCATENATE("0x",(DEC2HEX(IF(B680&lt;&gt;"",VLOOKUP(B680,Notes!$A$2:$B$37,2,FALSE)*1024,0) + C680*16 + IF(D680="",7,D680)*2 + IF(E680&gt;0, 1, 0))),","),"")</f>
        <v/>
      </c>
      <c r="X680" s="21" t="str">
        <f>IF(J680&gt;0,CONCATENATE("0x",(DEC2HEX(IF(I680&lt;&gt;"",VLOOKUP(I680,Notes!$A$2:$B$37,2,FALSE)*1024,0) + J680*16 + IF(K680="",7,K680)*2 + IF(L680&gt;0, 1, 0))),","),"")</f>
        <v/>
      </c>
      <c r="Y680" s="21" t="str">
        <f>IF(Q680&gt;0,CONCATENATE("0x",(DEC2HEX(IF(P680&lt;&gt;"",VLOOKUP(P680,Notes!$A$2:$B$37,2,FALSE)*1024,0) + Q680*16 + IF(R680="",7,R680)*2 + IF(S680&gt;0, 1, 0))),","),"")</f>
        <v/>
      </c>
    </row>
    <row r="681" spans="1:25" x14ac:dyDescent="0.25">
      <c r="B681" s="12"/>
      <c r="C681" s="13"/>
      <c r="D681" s="13"/>
      <c r="E681" s="14"/>
      <c r="F681" s="18">
        <f t="shared" si="60"/>
        <v>0</v>
      </c>
      <c r="G681" s="1" t="str">
        <f t="shared" si="63"/>
        <v/>
      </c>
      <c r="I681" s="12"/>
      <c r="J681" s="13"/>
      <c r="K681" s="13"/>
      <c r="L681" s="14"/>
      <c r="M681" s="18">
        <f t="shared" si="61"/>
        <v>0</v>
      </c>
      <c r="N681" s="1" t="str">
        <f t="shared" si="64"/>
        <v/>
      </c>
      <c r="P681" s="12"/>
      <c r="Q681" s="13"/>
      <c r="R681" s="13"/>
      <c r="S681" s="14"/>
      <c r="T681" s="18">
        <f t="shared" si="62"/>
        <v>0</v>
      </c>
      <c r="U681" s="1" t="str">
        <f t="shared" si="65"/>
        <v/>
      </c>
      <c r="W681" s="21" t="str">
        <f>IF(C681&gt;0,CONCATENATE("0x",(DEC2HEX(IF(B681&lt;&gt;"",VLOOKUP(B681,Notes!$A$2:$B$37,2,FALSE)*1024,0) + C681*16 + IF(D681="",7,D681)*2 + IF(E681&gt;0, 1, 0))),","),"")</f>
        <v/>
      </c>
      <c r="X681" s="21" t="str">
        <f>IF(J681&gt;0,CONCATENATE("0x",(DEC2HEX(IF(I681&lt;&gt;"",VLOOKUP(I681,Notes!$A$2:$B$37,2,FALSE)*1024,0) + J681*16 + IF(K681="",7,K681)*2 + IF(L681&gt;0, 1, 0))),","),"")</f>
        <v/>
      </c>
      <c r="Y681" s="21" t="str">
        <f>IF(Q681&gt;0,CONCATENATE("0x",(DEC2HEX(IF(P681&lt;&gt;"",VLOOKUP(P681,Notes!$A$2:$B$37,2,FALSE)*1024,0) + Q681*16 + IF(R681="",7,R681)*2 + IF(S681&gt;0, 1, 0))),","),"")</f>
        <v/>
      </c>
    </row>
    <row r="682" spans="1:25" x14ac:dyDescent="0.25">
      <c r="F682" s="18">
        <f t="shared" si="60"/>
        <v>0</v>
      </c>
      <c r="G682" s="1" t="str">
        <f t="shared" si="63"/>
        <v/>
      </c>
      <c r="M682" s="18">
        <f t="shared" si="61"/>
        <v>0</v>
      </c>
      <c r="N682" s="1" t="str">
        <f t="shared" si="64"/>
        <v/>
      </c>
      <c r="T682" s="18">
        <f t="shared" si="62"/>
        <v>0</v>
      </c>
      <c r="U682" s="1" t="str">
        <f t="shared" si="65"/>
        <v/>
      </c>
      <c r="W682" s="21" t="str">
        <f>IF(C682&gt;0,CONCATENATE("0x",(DEC2HEX(IF(B682&lt;&gt;"",VLOOKUP(B682,Notes!$A$2:$B$37,2,FALSE)*1024,0) + C682*16 + IF(D682="",7,D682)*2 + IF(E682&gt;0, 1, 0))),","),"")</f>
        <v/>
      </c>
      <c r="X682" s="21" t="str">
        <f>IF(J682&gt;0,CONCATENATE("0x",(DEC2HEX(IF(I682&lt;&gt;"",VLOOKUP(I682,Notes!$A$2:$B$37,2,FALSE)*1024,0) + J682*16 + IF(K682="",7,K682)*2 + IF(L682&gt;0, 1, 0))),","),"")</f>
        <v/>
      </c>
      <c r="Y682" s="21" t="str">
        <f>IF(Q682&gt;0,CONCATENATE("0x",(DEC2HEX(IF(P682&lt;&gt;"",VLOOKUP(P682,Notes!$A$2:$B$37,2,FALSE)*1024,0) + Q682*16 + IF(R682="",7,R682)*2 + IF(S682&gt;0, 1, 0))),","),"")</f>
        <v/>
      </c>
    </row>
    <row r="683" spans="1:25" x14ac:dyDescent="0.25">
      <c r="F683" s="18">
        <f t="shared" si="60"/>
        <v>0</v>
      </c>
      <c r="G683" s="1" t="str">
        <f t="shared" si="63"/>
        <v/>
      </c>
      <c r="M683" s="18">
        <f t="shared" si="61"/>
        <v>0</v>
      </c>
      <c r="N683" s="1" t="str">
        <f t="shared" si="64"/>
        <v/>
      </c>
      <c r="T683" s="18">
        <f t="shared" si="62"/>
        <v>0</v>
      </c>
      <c r="U683" s="1" t="str">
        <f t="shared" si="65"/>
        <v/>
      </c>
      <c r="W683" s="21" t="str">
        <f>IF(C683&gt;0,CONCATENATE("0x",(DEC2HEX(IF(B683&lt;&gt;"",VLOOKUP(B683,Notes!$A$2:$B$37,2,FALSE)*1024,0) + C683*16 + IF(D683="",7,D683)*2 + IF(E683&gt;0, 1, 0))),","),"")</f>
        <v/>
      </c>
      <c r="X683" s="21" t="str">
        <f>IF(J683&gt;0,CONCATENATE("0x",(DEC2HEX(IF(I683&lt;&gt;"",VLOOKUP(I683,Notes!$A$2:$B$37,2,FALSE)*1024,0) + J683*16 + IF(K683="",7,K683)*2 + IF(L683&gt;0, 1, 0))),","),"")</f>
        <v/>
      </c>
      <c r="Y683" s="21" t="str">
        <f>IF(Q683&gt;0,CONCATENATE("0x",(DEC2HEX(IF(P683&lt;&gt;"",VLOOKUP(P683,Notes!$A$2:$B$37,2,FALSE)*1024,0) + Q683*16 + IF(R683="",7,R683)*2 + IF(S683&gt;0, 1, 0))),","),"")</f>
        <v/>
      </c>
    </row>
    <row r="684" spans="1:25" x14ac:dyDescent="0.25">
      <c r="F684" s="18">
        <f t="shared" si="60"/>
        <v>0</v>
      </c>
      <c r="G684" s="1" t="str">
        <f t="shared" si="63"/>
        <v/>
      </c>
      <c r="M684" s="18">
        <f t="shared" si="61"/>
        <v>0</v>
      </c>
      <c r="N684" s="1" t="str">
        <f t="shared" si="64"/>
        <v/>
      </c>
      <c r="T684" s="18">
        <f t="shared" si="62"/>
        <v>0</v>
      </c>
      <c r="U684" s="1" t="str">
        <f t="shared" si="65"/>
        <v/>
      </c>
      <c r="W684" s="21" t="str">
        <f>IF(C684&gt;0,CONCATENATE("0x",(DEC2HEX(IF(B684&lt;&gt;"",VLOOKUP(B684,Notes!$A$2:$B$37,2,FALSE)*1024,0) + C684*16 + IF(D684="",7,D684)*2 + IF(E684&gt;0, 1, 0))),","),"")</f>
        <v/>
      </c>
      <c r="X684" s="21" t="str">
        <f>IF(J684&gt;0,CONCATENATE("0x",(DEC2HEX(IF(I684&lt;&gt;"",VLOOKUP(I684,Notes!$A$2:$B$37,2,FALSE)*1024,0) + J684*16 + IF(K684="",7,K684)*2 + IF(L684&gt;0, 1, 0))),","),"")</f>
        <v/>
      </c>
      <c r="Y684" s="21" t="str">
        <f>IF(Q684&gt;0,CONCATENATE("0x",(DEC2HEX(IF(P684&lt;&gt;"",VLOOKUP(P684,Notes!$A$2:$B$37,2,FALSE)*1024,0) + Q684*16 + IF(R684="",7,R684)*2 + IF(S684&gt;0, 1, 0))),","),"")</f>
        <v/>
      </c>
    </row>
    <row r="685" spans="1:25" x14ac:dyDescent="0.25">
      <c r="F685" s="18">
        <f t="shared" si="60"/>
        <v>0</v>
      </c>
      <c r="G685" s="1" t="str">
        <f t="shared" si="63"/>
        <v/>
      </c>
      <c r="M685" s="18">
        <f t="shared" si="61"/>
        <v>0</v>
      </c>
      <c r="N685" s="1" t="str">
        <f t="shared" si="64"/>
        <v/>
      </c>
      <c r="T685" s="18">
        <f t="shared" si="62"/>
        <v>0</v>
      </c>
      <c r="U685" s="1" t="str">
        <f t="shared" si="65"/>
        <v/>
      </c>
      <c r="W685" s="21" t="str">
        <f>IF(C685&gt;0,CONCATENATE("0x",(DEC2HEX(IF(B685&lt;&gt;"",VLOOKUP(B685,Notes!$A$2:$B$37,2,FALSE)*1024,0) + C685*16 + IF(D685="",7,D685)*2 + IF(E685&gt;0, 1, 0))),","),"")</f>
        <v/>
      </c>
      <c r="X685" s="21" t="str">
        <f>IF(J685&gt;0,CONCATENATE("0x",(DEC2HEX(IF(I685&lt;&gt;"",VLOOKUP(I685,Notes!$A$2:$B$37,2,FALSE)*1024,0) + J685*16 + IF(K685="",7,K685)*2 + IF(L685&gt;0, 1, 0))),","),"")</f>
        <v/>
      </c>
      <c r="Y685" s="21" t="str">
        <f>IF(Q685&gt;0,CONCATENATE("0x",(DEC2HEX(IF(P685&lt;&gt;"",VLOOKUP(P685,Notes!$A$2:$B$37,2,FALSE)*1024,0) + Q685*16 + IF(R685="",7,R685)*2 + IF(S685&gt;0, 1, 0))),","),"")</f>
        <v/>
      </c>
    </row>
    <row r="686" spans="1:25" x14ac:dyDescent="0.25">
      <c r="F686" s="18">
        <f t="shared" si="60"/>
        <v>0</v>
      </c>
      <c r="G686" s="1" t="str">
        <f t="shared" si="63"/>
        <v/>
      </c>
      <c r="M686" s="18">
        <f t="shared" si="61"/>
        <v>0</v>
      </c>
      <c r="N686" s="1" t="str">
        <f t="shared" si="64"/>
        <v/>
      </c>
      <c r="T686" s="18">
        <f t="shared" si="62"/>
        <v>0</v>
      </c>
      <c r="U686" s="1" t="str">
        <f t="shared" si="65"/>
        <v/>
      </c>
      <c r="W686" s="21" t="str">
        <f>IF(C686&gt;0,CONCATENATE("0x",(DEC2HEX(IF(B686&lt;&gt;"",VLOOKUP(B686,Notes!$A$2:$B$37,2,FALSE)*1024,0) + C686*16 + IF(D686="",7,D686)*2 + IF(E686&gt;0, 1, 0))),","),"")</f>
        <v/>
      </c>
      <c r="X686" s="21" t="str">
        <f>IF(J686&gt;0,CONCATENATE("0x",(DEC2HEX(IF(I686&lt;&gt;"",VLOOKUP(I686,Notes!$A$2:$B$37,2,FALSE)*1024,0) + J686*16 + IF(K686="",7,K686)*2 + IF(L686&gt;0, 1, 0))),","),"")</f>
        <v/>
      </c>
      <c r="Y686" s="21" t="str">
        <f>IF(Q686&gt;0,CONCATENATE("0x",(DEC2HEX(IF(P686&lt;&gt;"",VLOOKUP(P686,Notes!$A$2:$B$37,2,FALSE)*1024,0) + Q686*16 + IF(R686="",7,R686)*2 + IF(S686&gt;0, 1, 0))),","),"")</f>
        <v/>
      </c>
    </row>
    <row r="687" spans="1:25" x14ac:dyDescent="0.25">
      <c r="F687" s="18">
        <f t="shared" si="60"/>
        <v>0</v>
      </c>
      <c r="G687" s="1" t="str">
        <f t="shared" si="63"/>
        <v/>
      </c>
      <c r="M687" s="18">
        <f t="shared" si="61"/>
        <v>0</v>
      </c>
      <c r="N687" s="1" t="str">
        <f t="shared" si="64"/>
        <v/>
      </c>
      <c r="T687" s="18">
        <f t="shared" si="62"/>
        <v>0</v>
      </c>
      <c r="U687" s="1" t="str">
        <f t="shared" si="65"/>
        <v/>
      </c>
      <c r="W687" s="21" t="str">
        <f>IF(C687&gt;0,CONCATENATE("0x",(DEC2HEX(IF(B687&lt;&gt;"",VLOOKUP(B687,Notes!$A$2:$B$37,2,FALSE)*1024,0) + C687*16 + IF(D687="",7,D687)*2 + IF(E687&gt;0, 1, 0))),","),"")</f>
        <v/>
      </c>
      <c r="X687" s="21" t="str">
        <f>IF(J687&gt;0,CONCATENATE("0x",(DEC2HEX(IF(I687&lt;&gt;"",VLOOKUP(I687,Notes!$A$2:$B$37,2,FALSE)*1024,0) + J687*16 + IF(K687="",7,K687)*2 + IF(L687&gt;0, 1, 0))),","),"")</f>
        <v/>
      </c>
      <c r="Y687" s="21" t="str">
        <f>IF(Q687&gt;0,CONCATENATE("0x",(DEC2HEX(IF(P687&lt;&gt;"",VLOOKUP(P687,Notes!$A$2:$B$37,2,FALSE)*1024,0) + Q687*16 + IF(R687="",7,R687)*2 + IF(S687&gt;0, 1, 0))),","),"")</f>
        <v/>
      </c>
    </row>
    <row r="688" spans="1:25" x14ac:dyDescent="0.25">
      <c r="F688" s="18">
        <f t="shared" si="60"/>
        <v>0</v>
      </c>
      <c r="G688" s="1" t="str">
        <f t="shared" si="63"/>
        <v/>
      </c>
      <c r="M688" s="18">
        <f t="shared" si="61"/>
        <v>0</v>
      </c>
      <c r="N688" s="1" t="str">
        <f t="shared" si="64"/>
        <v/>
      </c>
      <c r="T688" s="18">
        <f t="shared" si="62"/>
        <v>0</v>
      </c>
      <c r="U688" s="1" t="str">
        <f t="shared" si="65"/>
        <v/>
      </c>
      <c r="W688" s="21" t="str">
        <f>IF(C688&gt;0,CONCATENATE("0x",(DEC2HEX(IF(B688&lt;&gt;"",VLOOKUP(B688,Notes!$A$2:$B$37,2,FALSE)*1024,0) + C688*16 + IF(D688="",7,D688)*2 + IF(E688&gt;0, 1, 0))),","),"")</f>
        <v/>
      </c>
      <c r="X688" s="21" t="str">
        <f>IF(J688&gt;0,CONCATENATE("0x",(DEC2HEX(IF(I688&lt;&gt;"",VLOOKUP(I688,Notes!$A$2:$B$37,2,FALSE)*1024,0) + J688*16 + IF(K688="",7,K688)*2 + IF(L688&gt;0, 1, 0))),","),"")</f>
        <v/>
      </c>
      <c r="Y688" s="21" t="str">
        <f>IF(Q688&gt;0,CONCATENATE("0x",(DEC2HEX(IF(P688&lt;&gt;"",VLOOKUP(P688,Notes!$A$2:$B$37,2,FALSE)*1024,0) + Q688*16 + IF(R688="",7,R688)*2 + IF(S688&gt;0, 1, 0))),","),"")</f>
        <v/>
      </c>
    </row>
    <row r="689" spans="2:25" x14ac:dyDescent="0.25">
      <c r="B689" s="12"/>
      <c r="C689" s="13"/>
      <c r="D689" s="13"/>
      <c r="E689" s="14"/>
      <c r="F689" s="18">
        <f t="shared" si="60"/>
        <v>0</v>
      </c>
      <c r="G689" s="1" t="str">
        <f t="shared" si="63"/>
        <v/>
      </c>
      <c r="I689" s="12"/>
      <c r="J689" s="13"/>
      <c r="K689" s="13"/>
      <c r="L689" s="14"/>
      <c r="M689" s="18">
        <f t="shared" si="61"/>
        <v>0</v>
      </c>
      <c r="N689" s="1" t="str">
        <f t="shared" si="64"/>
        <v/>
      </c>
      <c r="P689" s="12"/>
      <c r="Q689" s="13"/>
      <c r="R689" s="13"/>
      <c r="S689" s="14"/>
      <c r="T689" s="18">
        <f t="shared" si="62"/>
        <v>0</v>
      </c>
      <c r="U689" s="1" t="str">
        <f t="shared" si="65"/>
        <v/>
      </c>
      <c r="W689" s="21" t="str">
        <f>IF(C689&gt;0,CONCATENATE("0x",(DEC2HEX(IF(B689&lt;&gt;"",VLOOKUP(B689,Notes!$A$2:$B$37,2,FALSE)*1024,0) + C689*16 + IF(D689="",7,D689)*2 + IF(E689&gt;0, 1, 0))),","),"")</f>
        <v/>
      </c>
      <c r="X689" s="21" t="str">
        <f>IF(J689&gt;0,CONCATENATE("0x",(DEC2HEX(IF(I689&lt;&gt;"",VLOOKUP(I689,Notes!$A$2:$B$37,2,FALSE)*1024,0) + J689*16 + IF(K689="",7,K689)*2 + IF(L689&gt;0, 1, 0))),","),"")</f>
        <v/>
      </c>
      <c r="Y689" s="21" t="str">
        <f>IF(Q689&gt;0,CONCATENATE("0x",(DEC2HEX(IF(P689&lt;&gt;"",VLOOKUP(P689,Notes!$A$2:$B$37,2,FALSE)*1024,0) + Q689*16 + IF(R689="",7,R689)*2 + IF(S689&gt;0, 1, 0))),","),"")</f>
        <v/>
      </c>
    </row>
    <row r="690" spans="2:25" x14ac:dyDescent="0.25">
      <c r="F690" s="18">
        <f t="shared" si="60"/>
        <v>0</v>
      </c>
      <c r="G690" s="1" t="str">
        <f t="shared" si="63"/>
        <v/>
      </c>
      <c r="M690" s="18">
        <f t="shared" si="61"/>
        <v>0</v>
      </c>
      <c r="N690" s="1" t="str">
        <f t="shared" si="64"/>
        <v/>
      </c>
      <c r="T690" s="18">
        <f t="shared" si="62"/>
        <v>0</v>
      </c>
      <c r="U690" s="1" t="str">
        <f t="shared" si="65"/>
        <v/>
      </c>
      <c r="W690" s="21" t="str">
        <f>IF(C690&gt;0,CONCATENATE("0x",(DEC2HEX(IF(B690&lt;&gt;"",VLOOKUP(B690,Notes!$A$2:$B$37,2,FALSE)*1024,0) + C690*16 + IF(D690="",7,D690)*2 + IF(E690&gt;0, 1, 0))),","),"")</f>
        <v/>
      </c>
      <c r="X690" s="21" t="str">
        <f>IF(J690&gt;0,CONCATENATE("0x",(DEC2HEX(IF(I690&lt;&gt;"",VLOOKUP(I690,Notes!$A$2:$B$37,2,FALSE)*1024,0) + J690*16 + IF(K690="",7,K690)*2 + IF(L690&gt;0, 1, 0))),","),"")</f>
        <v/>
      </c>
      <c r="Y690" s="21" t="str">
        <f>IF(Q690&gt;0,CONCATENATE("0x",(DEC2HEX(IF(P690&lt;&gt;"",VLOOKUP(P690,Notes!$A$2:$B$37,2,FALSE)*1024,0) + Q690*16 + IF(R690="",7,R690)*2 + IF(S690&gt;0, 1, 0))),","),"")</f>
        <v/>
      </c>
    </row>
    <row r="691" spans="2:25" x14ac:dyDescent="0.25">
      <c r="F691" s="18">
        <f t="shared" si="60"/>
        <v>0</v>
      </c>
      <c r="G691" s="1" t="str">
        <f t="shared" si="63"/>
        <v/>
      </c>
      <c r="M691" s="18">
        <f t="shared" si="61"/>
        <v>0</v>
      </c>
      <c r="N691" s="1" t="str">
        <f t="shared" si="64"/>
        <v/>
      </c>
      <c r="T691" s="18">
        <f t="shared" si="62"/>
        <v>0</v>
      </c>
      <c r="U691" s="1" t="str">
        <f t="shared" si="65"/>
        <v/>
      </c>
      <c r="W691" s="21" t="str">
        <f>IF(C691&gt;0,CONCATENATE("0x",(DEC2HEX(IF(B691&lt;&gt;"",VLOOKUP(B691,Notes!$A$2:$B$37,2,FALSE)*1024,0) + C691*16 + IF(D691="",7,D691)*2 + IF(E691&gt;0, 1, 0))),","),"")</f>
        <v/>
      </c>
      <c r="X691" s="21" t="str">
        <f>IF(J691&gt;0,CONCATENATE("0x",(DEC2HEX(IF(I691&lt;&gt;"",VLOOKUP(I691,Notes!$A$2:$B$37,2,FALSE)*1024,0) + J691*16 + IF(K691="",7,K691)*2 + IF(L691&gt;0, 1, 0))),","),"")</f>
        <v/>
      </c>
      <c r="Y691" s="21" t="str">
        <f>IF(Q691&gt;0,CONCATENATE("0x",(DEC2HEX(IF(P691&lt;&gt;"",VLOOKUP(P691,Notes!$A$2:$B$37,2,FALSE)*1024,0) + Q691*16 + IF(R691="",7,R691)*2 + IF(S691&gt;0, 1, 0))),","),"")</f>
        <v/>
      </c>
    </row>
    <row r="692" spans="2:25" x14ac:dyDescent="0.25">
      <c r="F692" s="18">
        <f t="shared" si="60"/>
        <v>0</v>
      </c>
      <c r="G692" s="1" t="str">
        <f t="shared" si="63"/>
        <v/>
      </c>
      <c r="M692" s="18">
        <f t="shared" si="61"/>
        <v>0</v>
      </c>
      <c r="N692" s="1" t="str">
        <f t="shared" si="64"/>
        <v/>
      </c>
      <c r="T692" s="18">
        <f t="shared" si="62"/>
        <v>0</v>
      </c>
      <c r="U692" s="1" t="str">
        <f t="shared" si="65"/>
        <v/>
      </c>
      <c r="W692" s="21" t="str">
        <f>IF(C692&gt;0,CONCATENATE("0x",(DEC2HEX(IF(B692&lt;&gt;"",VLOOKUP(B692,Notes!$A$2:$B$37,2,FALSE)*1024,0) + C692*16 + IF(D692="",7,D692)*2 + IF(E692&gt;0, 1, 0))),","),"")</f>
        <v/>
      </c>
      <c r="X692" s="21" t="str">
        <f>IF(J692&gt;0,CONCATENATE("0x",(DEC2HEX(IF(I692&lt;&gt;"",VLOOKUP(I692,Notes!$A$2:$B$37,2,FALSE)*1024,0) + J692*16 + IF(K692="",7,K692)*2 + IF(L692&gt;0, 1, 0))),","),"")</f>
        <v/>
      </c>
      <c r="Y692" s="21" t="str">
        <f>IF(Q692&gt;0,CONCATENATE("0x",(DEC2HEX(IF(P692&lt;&gt;"",VLOOKUP(P692,Notes!$A$2:$B$37,2,FALSE)*1024,0) + Q692*16 + IF(R692="",7,R692)*2 + IF(S692&gt;0, 1, 0))),","),"")</f>
        <v/>
      </c>
    </row>
    <row r="693" spans="2:25" x14ac:dyDescent="0.25">
      <c r="F693" s="18">
        <f t="shared" si="60"/>
        <v>0</v>
      </c>
      <c r="G693" s="1" t="str">
        <f t="shared" si="63"/>
        <v/>
      </c>
      <c r="M693" s="18">
        <f t="shared" si="61"/>
        <v>0</v>
      </c>
      <c r="N693" s="1" t="str">
        <f t="shared" si="64"/>
        <v/>
      </c>
      <c r="T693" s="18">
        <f t="shared" si="62"/>
        <v>0</v>
      </c>
      <c r="U693" s="1" t="str">
        <f t="shared" si="65"/>
        <v/>
      </c>
      <c r="W693" s="21" t="str">
        <f>IF(C693&gt;0,CONCATENATE("0x",(DEC2HEX(IF(B693&lt;&gt;"",VLOOKUP(B693,Notes!$A$2:$B$37,2,FALSE)*1024,0) + C693*16 + IF(D693="",7,D693)*2 + IF(E693&gt;0, 1, 0))),","),"")</f>
        <v/>
      </c>
      <c r="X693" s="21" t="str">
        <f>IF(J693&gt;0,CONCATENATE("0x",(DEC2HEX(IF(I693&lt;&gt;"",VLOOKUP(I693,Notes!$A$2:$B$37,2,FALSE)*1024,0) + J693*16 + IF(K693="",7,K693)*2 + IF(L693&gt;0, 1, 0))),","),"")</f>
        <v/>
      </c>
      <c r="Y693" s="21" t="str">
        <f>IF(Q693&gt;0,CONCATENATE("0x",(DEC2HEX(IF(P693&lt;&gt;"",VLOOKUP(P693,Notes!$A$2:$B$37,2,FALSE)*1024,0) + Q693*16 + IF(R693="",7,R693)*2 + IF(S693&gt;0, 1, 0))),","),"")</f>
        <v/>
      </c>
    </row>
    <row r="694" spans="2:25" x14ac:dyDescent="0.25">
      <c r="F694" s="18">
        <f t="shared" si="60"/>
        <v>0</v>
      </c>
      <c r="G694" s="1" t="str">
        <f t="shared" si="63"/>
        <v/>
      </c>
      <c r="M694" s="18">
        <f t="shared" si="61"/>
        <v>0</v>
      </c>
      <c r="N694" s="1" t="str">
        <f t="shared" si="64"/>
        <v/>
      </c>
      <c r="T694" s="18">
        <f t="shared" si="62"/>
        <v>0</v>
      </c>
      <c r="U694" s="1" t="str">
        <f t="shared" si="65"/>
        <v/>
      </c>
      <c r="W694" s="21" t="str">
        <f>IF(C694&gt;0,CONCATENATE("0x",(DEC2HEX(IF(B694&lt;&gt;"",VLOOKUP(B694,Notes!$A$2:$B$37,2,FALSE)*1024,0) + C694*16 + IF(D694="",7,D694)*2 + IF(E694&gt;0, 1, 0))),","),"")</f>
        <v/>
      </c>
      <c r="X694" s="21" t="str">
        <f>IF(J694&gt;0,CONCATENATE("0x",(DEC2HEX(IF(I694&lt;&gt;"",VLOOKUP(I694,Notes!$A$2:$B$37,2,FALSE)*1024,0) + J694*16 + IF(K694="",7,K694)*2 + IF(L694&gt;0, 1, 0))),","),"")</f>
        <v/>
      </c>
      <c r="Y694" s="21" t="str">
        <f>IF(Q694&gt;0,CONCATENATE("0x",(DEC2HEX(IF(P694&lt;&gt;"",VLOOKUP(P694,Notes!$A$2:$B$37,2,FALSE)*1024,0) + Q694*16 + IF(R694="",7,R694)*2 + IF(S694&gt;0, 1, 0))),","),"")</f>
        <v/>
      </c>
    </row>
    <row r="695" spans="2:25" x14ac:dyDescent="0.25">
      <c r="F695" s="18">
        <f t="shared" si="60"/>
        <v>0</v>
      </c>
      <c r="G695" s="1" t="str">
        <f t="shared" si="63"/>
        <v/>
      </c>
      <c r="M695" s="18">
        <f t="shared" si="61"/>
        <v>0</v>
      </c>
      <c r="N695" s="1" t="str">
        <f t="shared" si="64"/>
        <v/>
      </c>
      <c r="T695" s="18">
        <f t="shared" si="62"/>
        <v>0</v>
      </c>
      <c r="U695" s="1" t="str">
        <f t="shared" si="65"/>
        <v/>
      </c>
      <c r="W695" s="21" t="str">
        <f>IF(C695&gt;0,CONCATENATE("0x",(DEC2HEX(IF(B695&lt;&gt;"",VLOOKUP(B695,Notes!$A$2:$B$37,2,FALSE)*1024,0) + C695*16 + IF(D695="",7,D695)*2 + IF(E695&gt;0, 1, 0))),","),"")</f>
        <v/>
      </c>
      <c r="X695" s="21" t="str">
        <f>IF(J695&gt;0,CONCATENATE("0x",(DEC2HEX(IF(I695&lt;&gt;"",VLOOKUP(I695,Notes!$A$2:$B$37,2,FALSE)*1024,0) + J695*16 + IF(K695="",7,K695)*2 + IF(L695&gt;0, 1, 0))),","),"")</f>
        <v/>
      </c>
      <c r="Y695" s="21" t="str">
        <f>IF(Q695&gt;0,CONCATENATE("0x",(DEC2HEX(IF(P695&lt;&gt;"",VLOOKUP(P695,Notes!$A$2:$B$37,2,FALSE)*1024,0) + Q695*16 + IF(R695="",7,R695)*2 + IF(S695&gt;0, 1, 0))),","),"")</f>
        <v/>
      </c>
    </row>
    <row r="696" spans="2:25" x14ac:dyDescent="0.25">
      <c r="F696" s="18">
        <f t="shared" si="60"/>
        <v>0</v>
      </c>
      <c r="G696" s="1" t="str">
        <f t="shared" si="63"/>
        <v/>
      </c>
      <c r="M696" s="18">
        <f t="shared" si="61"/>
        <v>0</v>
      </c>
      <c r="N696" s="1" t="str">
        <f t="shared" si="64"/>
        <v/>
      </c>
      <c r="T696" s="18">
        <f t="shared" si="62"/>
        <v>0</v>
      </c>
      <c r="U696" s="1" t="str">
        <f t="shared" si="65"/>
        <v/>
      </c>
      <c r="W696" s="21" t="str">
        <f>IF(C696&gt;0,CONCATENATE("0x",(DEC2HEX(IF(B696&lt;&gt;"",VLOOKUP(B696,Notes!$A$2:$B$37,2,FALSE)*1024,0) + C696*16 + IF(D696="",7,D696)*2 + IF(E696&gt;0, 1, 0))),","),"")</f>
        <v/>
      </c>
      <c r="X696" s="21" t="str">
        <f>IF(J696&gt;0,CONCATENATE("0x",(DEC2HEX(IF(I696&lt;&gt;"",VLOOKUP(I696,Notes!$A$2:$B$37,2,FALSE)*1024,0) + J696*16 + IF(K696="",7,K696)*2 + IF(L696&gt;0, 1, 0))),","),"")</f>
        <v/>
      </c>
      <c r="Y696" s="21" t="str">
        <f>IF(Q696&gt;0,CONCATENATE("0x",(DEC2HEX(IF(P696&lt;&gt;"",VLOOKUP(P696,Notes!$A$2:$B$37,2,FALSE)*1024,0) + Q696*16 + IF(R696="",7,R696)*2 + IF(S696&gt;0, 1, 0))),","),"")</f>
        <v/>
      </c>
    </row>
    <row r="697" spans="2:25" x14ac:dyDescent="0.25">
      <c r="B697" s="12"/>
      <c r="C697" s="13"/>
      <c r="D697" s="13"/>
      <c r="E697" s="14"/>
      <c r="F697" s="18">
        <f t="shared" si="60"/>
        <v>0</v>
      </c>
      <c r="G697" s="1" t="str">
        <f t="shared" si="63"/>
        <v/>
      </c>
      <c r="I697" s="12"/>
      <c r="J697" s="13"/>
      <c r="K697" s="13"/>
      <c r="L697" s="14"/>
      <c r="M697" s="18">
        <f t="shared" si="61"/>
        <v>0</v>
      </c>
      <c r="N697" s="1" t="str">
        <f t="shared" si="64"/>
        <v/>
      </c>
      <c r="P697" s="12"/>
      <c r="Q697" s="13"/>
      <c r="R697" s="13"/>
      <c r="S697" s="14"/>
      <c r="T697" s="18">
        <f t="shared" si="62"/>
        <v>0</v>
      </c>
      <c r="U697" s="1" t="str">
        <f t="shared" si="65"/>
        <v/>
      </c>
      <c r="W697" s="21" t="str">
        <f>IF(C697&gt;0,CONCATENATE("0x",(DEC2HEX(IF(B697&lt;&gt;"",VLOOKUP(B697,Notes!$A$2:$B$37,2,FALSE)*1024,0) + C697*16 + IF(D697="",7,D697)*2 + IF(E697&gt;0, 1, 0))),","),"")</f>
        <v/>
      </c>
      <c r="X697" s="21" t="str">
        <f>IF(J697&gt;0,CONCATENATE("0x",(DEC2HEX(IF(I697&lt;&gt;"",VLOOKUP(I697,Notes!$A$2:$B$37,2,FALSE)*1024,0) + J697*16 + IF(K697="",7,K697)*2 + IF(L697&gt;0, 1, 0))),","),"")</f>
        <v/>
      </c>
      <c r="Y697" s="21" t="str">
        <f>IF(Q697&gt;0,CONCATENATE("0x",(DEC2HEX(IF(P697&lt;&gt;"",VLOOKUP(P697,Notes!$A$2:$B$37,2,FALSE)*1024,0) + Q697*16 + IF(R697="",7,R697)*2 + IF(S697&gt;0, 1, 0))),","),"")</f>
        <v/>
      </c>
    </row>
    <row r="698" spans="2:25" x14ac:dyDescent="0.25">
      <c r="F698" s="18">
        <f t="shared" si="60"/>
        <v>0</v>
      </c>
      <c r="G698" s="1" t="str">
        <f t="shared" si="63"/>
        <v/>
      </c>
      <c r="M698" s="18">
        <f t="shared" si="61"/>
        <v>0</v>
      </c>
      <c r="N698" s="1" t="str">
        <f t="shared" si="64"/>
        <v/>
      </c>
      <c r="T698" s="18">
        <f t="shared" si="62"/>
        <v>0</v>
      </c>
      <c r="U698" s="1" t="str">
        <f t="shared" si="65"/>
        <v/>
      </c>
      <c r="W698" s="21" t="str">
        <f>IF(C698&gt;0,CONCATENATE("0x",(DEC2HEX(IF(B698&lt;&gt;"",VLOOKUP(B698,Notes!$A$2:$B$37,2,FALSE)*1024,0) + C698*16 + IF(D698="",7,D698)*2 + IF(E698&gt;0, 1, 0))),","),"")</f>
        <v/>
      </c>
      <c r="X698" s="21" t="str">
        <f>IF(J698&gt;0,CONCATENATE("0x",(DEC2HEX(IF(I698&lt;&gt;"",VLOOKUP(I698,Notes!$A$2:$B$37,2,FALSE)*1024,0) + J698*16 + IF(K698="",7,K698)*2 + IF(L698&gt;0, 1, 0))),","),"")</f>
        <v/>
      </c>
      <c r="Y698" s="21" t="str">
        <f>IF(Q698&gt;0,CONCATENATE("0x",(DEC2HEX(IF(P698&lt;&gt;"",VLOOKUP(P698,Notes!$A$2:$B$37,2,FALSE)*1024,0) + Q698*16 + IF(R698="",7,R698)*2 + IF(S698&gt;0, 1, 0))),","),"")</f>
        <v/>
      </c>
    </row>
    <row r="699" spans="2:25" x14ac:dyDescent="0.25">
      <c r="F699" s="18">
        <f t="shared" si="60"/>
        <v>0</v>
      </c>
      <c r="G699" s="1" t="str">
        <f t="shared" si="63"/>
        <v/>
      </c>
      <c r="M699" s="18">
        <f t="shared" si="61"/>
        <v>0</v>
      </c>
      <c r="N699" s="1" t="str">
        <f t="shared" si="64"/>
        <v/>
      </c>
      <c r="T699" s="18">
        <f t="shared" si="62"/>
        <v>0</v>
      </c>
      <c r="U699" s="1" t="str">
        <f t="shared" si="65"/>
        <v/>
      </c>
      <c r="W699" s="21" t="str">
        <f>IF(C699&gt;0,CONCATENATE("0x",(DEC2HEX(IF(B699&lt;&gt;"",VLOOKUP(B699,Notes!$A$2:$B$37,2,FALSE)*1024,0) + C699*16 + IF(D699="",7,D699)*2 + IF(E699&gt;0, 1, 0))),","),"")</f>
        <v/>
      </c>
      <c r="X699" s="21" t="str">
        <f>IF(J699&gt;0,CONCATENATE("0x",(DEC2HEX(IF(I699&lt;&gt;"",VLOOKUP(I699,Notes!$A$2:$B$37,2,FALSE)*1024,0) + J699*16 + IF(K699="",7,K699)*2 + IF(L699&gt;0, 1, 0))),","),"")</f>
        <v/>
      </c>
      <c r="Y699" s="21" t="str">
        <f>IF(Q699&gt;0,CONCATENATE("0x",(DEC2HEX(IF(P699&lt;&gt;"",VLOOKUP(P699,Notes!$A$2:$B$37,2,FALSE)*1024,0) + Q699*16 + IF(R699="",7,R699)*2 + IF(S699&gt;0, 1, 0))),","),"")</f>
        <v/>
      </c>
    </row>
    <row r="700" spans="2:25" x14ac:dyDescent="0.25">
      <c r="F700" s="18">
        <f t="shared" si="60"/>
        <v>0</v>
      </c>
      <c r="G700" s="1" t="str">
        <f t="shared" si="63"/>
        <v/>
      </c>
      <c r="M700" s="18">
        <f t="shared" si="61"/>
        <v>0</v>
      </c>
      <c r="N700" s="1" t="str">
        <f t="shared" si="64"/>
        <v/>
      </c>
      <c r="T700" s="18">
        <f t="shared" si="62"/>
        <v>0</v>
      </c>
      <c r="U700" s="1" t="str">
        <f t="shared" si="65"/>
        <v/>
      </c>
      <c r="W700" s="21" t="str">
        <f>IF(C700&gt;0,CONCATENATE("0x",(DEC2HEX(IF(B700&lt;&gt;"",VLOOKUP(B700,Notes!$A$2:$B$37,2,FALSE)*1024,0) + C700*16 + IF(D700="",7,D700)*2 + IF(E700&gt;0, 1, 0))),","),"")</f>
        <v/>
      </c>
      <c r="X700" s="21" t="str">
        <f>IF(J700&gt;0,CONCATENATE("0x",(DEC2HEX(IF(I700&lt;&gt;"",VLOOKUP(I700,Notes!$A$2:$B$37,2,FALSE)*1024,0) + J700*16 + IF(K700="",7,K700)*2 + IF(L700&gt;0, 1, 0))),","),"")</f>
        <v/>
      </c>
      <c r="Y700" s="21" t="str">
        <f>IF(Q700&gt;0,CONCATENATE("0x",(DEC2HEX(IF(P700&lt;&gt;"",VLOOKUP(P700,Notes!$A$2:$B$37,2,FALSE)*1024,0) + Q700*16 + IF(R700="",7,R700)*2 + IF(S700&gt;0, 1, 0))),","),"")</f>
        <v/>
      </c>
    </row>
    <row r="701" spans="2:25" x14ac:dyDescent="0.25">
      <c r="F701" s="18">
        <f t="shared" si="60"/>
        <v>0</v>
      </c>
      <c r="G701" s="1" t="str">
        <f t="shared" si="63"/>
        <v/>
      </c>
      <c r="M701" s="18">
        <f t="shared" si="61"/>
        <v>0</v>
      </c>
      <c r="N701" s="1" t="str">
        <f t="shared" si="64"/>
        <v/>
      </c>
      <c r="T701" s="18">
        <f t="shared" si="62"/>
        <v>0</v>
      </c>
      <c r="U701" s="1" t="str">
        <f t="shared" si="65"/>
        <v/>
      </c>
      <c r="W701" s="21" t="str">
        <f>IF(C701&gt;0,CONCATENATE("0x",(DEC2HEX(IF(B701&lt;&gt;"",VLOOKUP(B701,Notes!$A$2:$B$37,2,FALSE)*1024,0) + C701*16 + IF(D701="",7,D701)*2 + IF(E701&gt;0, 1, 0))),","),"")</f>
        <v/>
      </c>
      <c r="X701" s="21" t="str">
        <f>IF(J701&gt;0,CONCATENATE("0x",(DEC2HEX(IF(I701&lt;&gt;"",VLOOKUP(I701,Notes!$A$2:$B$37,2,FALSE)*1024,0) + J701*16 + IF(K701="",7,K701)*2 + IF(L701&gt;0, 1, 0))),","),"")</f>
        <v/>
      </c>
      <c r="Y701" s="21" t="str">
        <f>IF(Q701&gt;0,CONCATENATE("0x",(DEC2HEX(IF(P701&lt;&gt;"",VLOOKUP(P701,Notes!$A$2:$B$37,2,FALSE)*1024,0) + Q701*16 + IF(R701="",7,R701)*2 + IF(S701&gt;0, 1, 0))),","),"")</f>
        <v/>
      </c>
    </row>
    <row r="702" spans="2:25" x14ac:dyDescent="0.25">
      <c r="F702" s="18">
        <f t="shared" si="60"/>
        <v>0</v>
      </c>
      <c r="G702" s="1" t="str">
        <f t="shared" si="63"/>
        <v/>
      </c>
      <c r="M702" s="18">
        <f t="shared" si="61"/>
        <v>0</v>
      </c>
      <c r="N702" s="1" t="str">
        <f t="shared" si="64"/>
        <v/>
      </c>
      <c r="T702" s="18">
        <f t="shared" si="62"/>
        <v>0</v>
      </c>
      <c r="U702" s="1" t="str">
        <f t="shared" si="65"/>
        <v/>
      </c>
      <c r="W702" s="21" t="str">
        <f>IF(C702&gt;0,CONCATENATE("0x",(DEC2HEX(IF(B702&lt;&gt;"",VLOOKUP(B702,Notes!$A$2:$B$37,2,FALSE)*1024,0) + C702*16 + IF(D702="",7,D702)*2 + IF(E702&gt;0, 1, 0))),","),"")</f>
        <v/>
      </c>
      <c r="X702" s="21" t="str">
        <f>IF(J702&gt;0,CONCATENATE("0x",(DEC2HEX(IF(I702&lt;&gt;"",VLOOKUP(I702,Notes!$A$2:$B$37,2,FALSE)*1024,0) + J702*16 + IF(K702="",7,K702)*2 + IF(L702&gt;0, 1, 0))),","),"")</f>
        <v/>
      </c>
      <c r="Y702" s="21" t="str">
        <f>IF(Q702&gt;0,CONCATENATE("0x",(DEC2HEX(IF(P702&lt;&gt;"",VLOOKUP(P702,Notes!$A$2:$B$37,2,FALSE)*1024,0) + Q702*16 + IF(R702="",7,R702)*2 + IF(S702&gt;0, 1, 0))),","),"")</f>
        <v/>
      </c>
    </row>
    <row r="703" spans="2:25" x14ac:dyDescent="0.25">
      <c r="F703" s="18">
        <f t="shared" si="60"/>
        <v>0</v>
      </c>
      <c r="G703" s="1" t="str">
        <f t="shared" si="63"/>
        <v/>
      </c>
      <c r="M703" s="18">
        <f t="shared" si="61"/>
        <v>0</v>
      </c>
      <c r="N703" s="1" t="str">
        <f t="shared" si="64"/>
        <v/>
      </c>
      <c r="T703" s="18">
        <f t="shared" si="62"/>
        <v>0</v>
      </c>
      <c r="U703" s="1" t="str">
        <f t="shared" si="65"/>
        <v/>
      </c>
      <c r="W703" s="21" t="str">
        <f>IF(C703&gt;0,CONCATENATE("0x",(DEC2HEX(IF(B703&lt;&gt;"",VLOOKUP(B703,Notes!$A$2:$B$37,2,FALSE)*1024,0) + C703*16 + IF(D703="",7,D703)*2 + IF(E703&gt;0, 1, 0))),","),"")</f>
        <v/>
      </c>
      <c r="X703" s="21" t="str">
        <f>IF(J703&gt;0,CONCATENATE("0x",(DEC2HEX(IF(I703&lt;&gt;"",VLOOKUP(I703,Notes!$A$2:$B$37,2,FALSE)*1024,0) + J703*16 + IF(K703="",7,K703)*2 + IF(L703&gt;0, 1, 0))),","),"")</f>
        <v/>
      </c>
      <c r="Y703" s="21" t="str">
        <f>IF(Q703&gt;0,CONCATENATE("0x",(DEC2HEX(IF(P703&lt;&gt;"",VLOOKUP(P703,Notes!$A$2:$B$37,2,FALSE)*1024,0) + Q703*16 + IF(R703="",7,R703)*2 + IF(S703&gt;0, 1, 0))),","),"")</f>
        <v/>
      </c>
    </row>
    <row r="704" spans="2:25" x14ac:dyDescent="0.25">
      <c r="F704" s="18">
        <f t="shared" si="60"/>
        <v>0</v>
      </c>
      <c r="G704" s="1" t="str">
        <f t="shared" si="63"/>
        <v/>
      </c>
      <c r="M704" s="18">
        <f t="shared" si="61"/>
        <v>0</v>
      </c>
      <c r="N704" s="1" t="str">
        <f t="shared" si="64"/>
        <v/>
      </c>
      <c r="T704" s="18">
        <f t="shared" si="62"/>
        <v>0</v>
      </c>
      <c r="U704" s="1" t="str">
        <f t="shared" si="65"/>
        <v/>
      </c>
      <c r="W704" s="21" t="str">
        <f>IF(C704&gt;0,CONCATENATE("0x",(DEC2HEX(IF(B704&lt;&gt;"",VLOOKUP(B704,Notes!$A$2:$B$37,2,FALSE)*1024,0) + C704*16 + IF(D704="",7,D704)*2 + IF(E704&gt;0, 1, 0))),","),"")</f>
        <v/>
      </c>
      <c r="X704" s="21" t="str">
        <f>IF(J704&gt;0,CONCATENATE("0x",(DEC2HEX(IF(I704&lt;&gt;"",VLOOKUP(I704,Notes!$A$2:$B$37,2,FALSE)*1024,0) + J704*16 + IF(K704="",7,K704)*2 + IF(L704&gt;0, 1, 0))),","),"")</f>
        <v/>
      </c>
      <c r="Y704" s="21" t="str">
        <f>IF(Q704&gt;0,CONCATENATE("0x",(DEC2HEX(IF(P704&lt;&gt;"",VLOOKUP(P704,Notes!$A$2:$B$37,2,FALSE)*1024,0) + Q704*16 + IF(R704="",7,R704)*2 + IF(S704&gt;0, 1, 0))),","),"")</f>
        <v/>
      </c>
    </row>
    <row r="705" spans="1:25" ht="16.5" thickBot="1" x14ac:dyDescent="0.3">
      <c r="B705" s="15"/>
      <c r="C705" s="16"/>
      <c r="D705" s="16"/>
      <c r="E705" s="17"/>
      <c r="F705" s="18">
        <f t="shared" si="60"/>
        <v>0</v>
      </c>
      <c r="G705" s="1" t="str">
        <f t="shared" si="63"/>
        <v/>
      </c>
      <c r="I705" s="15"/>
      <c r="J705" s="16"/>
      <c r="K705" s="16"/>
      <c r="L705" s="17"/>
      <c r="M705" s="18">
        <f t="shared" si="61"/>
        <v>0</v>
      </c>
      <c r="N705" s="1" t="str">
        <f t="shared" si="64"/>
        <v/>
      </c>
      <c r="P705" s="15"/>
      <c r="Q705" s="16"/>
      <c r="R705" s="16"/>
      <c r="S705" s="17"/>
      <c r="T705" s="18">
        <f t="shared" si="62"/>
        <v>0</v>
      </c>
      <c r="U705" s="1" t="str">
        <f t="shared" si="65"/>
        <v/>
      </c>
      <c r="W705" s="21" t="str">
        <f>IF(C705&gt;0,CONCATENATE("0x",(DEC2HEX(IF(B705&lt;&gt;"",VLOOKUP(B705,Notes!$A$2:$B$37,2,FALSE)*1024,0) + C705*16 + IF(D705="",7,D705)*2 + IF(E705&gt;0, 1, 0))),","),"")</f>
        <v/>
      </c>
      <c r="X705" s="21" t="str">
        <f>IF(J705&gt;0,CONCATENATE("0x",(DEC2HEX(IF(I705&lt;&gt;"",VLOOKUP(I705,Notes!$A$2:$B$37,2,FALSE)*1024,0) + J705*16 + IF(K705="",7,K705)*2 + IF(L705&gt;0, 1, 0))),","),"")</f>
        <v/>
      </c>
      <c r="Y705" s="21" t="str">
        <f>IF(Q705&gt;0,CONCATENATE("0x",(DEC2HEX(IF(P705&lt;&gt;"",VLOOKUP(P705,Notes!$A$2:$B$37,2,FALSE)*1024,0) + Q705*16 + IF(R705="",7,R705)*2 + IF(S705&gt;0, 1, 0))),","),"")</f>
        <v/>
      </c>
    </row>
    <row r="706" spans="1:25" ht="16.5" thickTop="1" x14ac:dyDescent="0.25">
      <c r="A706" s="1">
        <v>23</v>
      </c>
      <c r="F706" s="18">
        <f t="shared" si="60"/>
        <v>0</v>
      </c>
      <c r="G706" s="1" t="str">
        <f t="shared" si="63"/>
        <v/>
      </c>
      <c r="M706" s="18">
        <f t="shared" si="61"/>
        <v>0</v>
      </c>
      <c r="N706" s="1" t="str">
        <f t="shared" si="64"/>
        <v/>
      </c>
      <c r="T706" s="18">
        <f t="shared" si="62"/>
        <v>0</v>
      </c>
      <c r="U706" s="1" t="str">
        <f t="shared" si="65"/>
        <v/>
      </c>
      <c r="W706" s="21" t="str">
        <f>IF(C706&gt;0,CONCATENATE("0x",(DEC2HEX(IF(B706&lt;&gt;"",VLOOKUP(B706,Notes!$A$2:$B$37,2,FALSE)*1024,0) + C706*16 + IF(D706="",7,D706)*2 + IF(E706&gt;0, 1, 0))),","),"")</f>
        <v/>
      </c>
      <c r="X706" s="21" t="str">
        <f>IF(J706&gt;0,CONCATENATE("0x",(DEC2HEX(IF(I706&lt;&gt;"",VLOOKUP(I706,Notes!$A$2:$B$37,2,FALSE)*1024,0) + J706*16 + IF(K706="",7,K706)*2 + IF(L706&gt;0, 1, 0))),","),"")</f>
        <v/>
      </c>
      <c r="Y706" s="21" t="str">
        <f>IF(Q706&gt;0,CONCATENATE("0x",(DEC2HEX(IF(P706&lt;&gt;"",VLOOKUP(P706,Notes!$A$2:$B$37,2,FALSE)*1024,0) + Q706*16 + IF(R706="",7,R706)*2 + IF(S706&gt;0, 1, 0))),","),"")</f>
        <v/>
      </c>
    </row>
    <row r="707" spans="1:25" x14ac:dyDescent="0.25">
      <c r="F707" s="18">
        <f t="shared" ref="F707:F770" si="66">IF(C707&gt;0, C707, MAX(F706-1,0))</f>
        <v>0</v>
      </c>
      <c r="G707" s="1" t="str">
        <f t="shared" si="63"/>
        <v/>
      </c>
      <c r="M707" s="18">
        <f t="shared" ref="M707:M770" si="67">IF(J707&gt;0, J707, MAX(M706-1,0))</f>
        <v>0</v>
      </c>
      <c r="N707" s="1" t="str">
        <f t="shared" si="64"/>
        <v/>
      </c>
      <c r="T707" s="18">
        <f t="shared" ref="T707:T770" si="68">IF(Q707&gt;0, Q707, MAX(T706-1,0))</f>
        <v>0</v>
      </c>
      <c r="U707" s="1" t="str">
        <f t="shared" si="65"/>
        <v/>
      </c>
      <c r="W707" s="21" t="str">
        <f>IF(C707&gt;0,CONCATENATE("0x",(DEC2HEX(IF(B707&lt;&gt;"",VLOOKUP(B707,Notes!$A$2:$B$37,2,FALSE)*1024,0) + C707*16 + IF(D707="",7,D707)*2 + IF(E707&gt;0, 1, 0))),","),"")</f>
        <v/>
      </c>
      <c r="X707" s="21" t="str">
        <f>IF(J707&gt;0,CONCATENATE("0x",(DEC2HEX(IF(I707&lt;&gt;"",VLOOKUP(I707,Notes!$A$2:$B$37,2,FALSE)*1024,0) + J707*16 + IF(K707="",7,K707)*2 + IF(L707&gt;0, 1, 0))),","),"")</f>
        <v/>
      </c>
      <c r="Y707" s="21" t="str">
        <f>IF(Q707&gt;0,CONCATENATE("0x",(DEC2HEX(IF(P707&lt;&gt;"",VLOOKUP(P707,Notes!$A$2:$B$37,2,FALSE)*1024,0) + Q707*16 + IF(R707="",7,R707)*2 + IF(S707&gt;0, 1, 0))),","),"")</f>
        <v/>
      </c>
    </row>
    <row r="708" spans="1:25" x14ac:dyDescent="0.25">
      <c r="F708" s="18">
        <f t="shared" si="66"/>
        <v>0</v>
      </c>
      <c r="G708" s="1" t="str">
        <f t="shared" ref="G708:G771" si="69">IF(AND(F707&gt;1,C708&gt;0), "OVERLAPPING","")</f>
        <v/>
      </c>
      <c r="M708" s="18">
        <f t="shared" si="67"/>
        <v>0</v>
      </c>
      <c r="N708" s="1" t="str">
        <f t="shared" ref="N708:N771" si="70">IF(AND(M707&gt;1,J708&gt;0), "OVERLAPPING","")</f>
        <v/>
      </c>
      <c r="T708" s="18">
        <f t="shared" si="68"/>
        <v>0</v>
      </c>
      <c r="U708" s="1" t="str">
        <f t="shared" ref="U708:U771" si="71">IF(AND(T707&gt;1,Q708&gt;0), "OVERLAPPING","")</f>
        <v/>
      </c>
      <c r="W708" s="21" t="str">
        <f>IF(C708&gt;0,CONCATENATE("0x",(DEC2HEX(IF(B708&lt;&gt;"",VLOOKUP(B708,Notes!$A$2:$B$37,2,FALSE)*1024,0) + C708*16 + IF(D708="",7,D708)*2 + IF(E708&gt;0, 1, 0))),","),"")</f>
        <v/>
      </c>
      <c r="X708" s="21" t="str">
        <f>IF(J708&gt;0,CONCATENATE("0x",(DEC2HEX(IF(I708&lt;&gt;"",VLOOKUP(I708,Notes!$A$2:$B$37,2,FALSE)*1024,0) + J708*16 + IF(K708="",7,K708)*2 + IF(L708&gt;0, 1, 0))),","),"")</f>
        <v/>
      </c>
      <c r="Y708" s="21" t="str">
        <f>IF(Q708&gt;0,CONCATENATE("0x",(DEC2HEX(IF(P708&lt;&gt;"",VLOOKUP(P708,Notes!$A$2:$B$37,2,FALSE)*1024,0) + Q708*16 + IF(R708="",7,R708)*2 + IF(S708&gt;0, 1, 0))),","),"")</f>
        <v/>
      </c>
    </row>
    <row r="709" spans="1:25" x14ac:dyDescent="0.25">
      <c r="F709" s="18">
        <f t="shared" si="66"/>
        <v>0</v>
      </c>
      <c r="G709" s="1" t="str">
        <f t="shared" si="69"/>
        <v/>
      </c>
      <c r="M709" s="18">
        <f t="shared" si="67"/>
        <v>0</v>
      </c>
      <c r="N709" s="1" t="str">
        <f t="shared" si="70"/>
        <v/>
      </c>
      <c r="T709" s="18">
        <f t="shared" si="68"/>
        <v>0</v>
      </c>
      <c r="U709" s="1" t="str">
        <f t="shared" si="71"/>
        <v/>
      </c>
      <c r="W709" s="21" t="str">
        <f>IF(C709&gt;0,CONCATENATE("0x",(DEC2HEX(IF(B709&lt;&gt;"",VLOOKUP(B709,Notes!$A$2:$B$37,2,FALSE)*1024,0) + C709*16 + IF(D709="",7,D709)*2 + IF(E709&gt;0, 1, 0))),","),"")</f>
        <v/>
      </c>
      <c r="X709" s="21" t="str">
        <f>IF(J709&gt;0,CONCATENATE("0x",(DEC2HEX(IF(I709&lt;&gt;"",VLOOKUP(I709,Notes!$A$2:$B$37,2,FALSE)*1024,0) + J709*16 + IF(K709="",7,K709)*2 + IF(L709&gt;0, 1, 0))),","),"")</f>
        <v/>
      </c>
      <c r="Y709" s="21" t="str">
        <f>IF(Q709&gt;0,CONCATENATE("0x",(DEC2HEX(IF(P709&lt;&gt;"",VLOOKUP(P709,Notes!$A$2:$B$37,2,FALSE)*1024,0) + Q709*16 + IF(R709="",7,R709)*2 + IF(S709&gt;0, 1, 0))),","),"")</f>
        <v/>
      </c>
    </row>
    <row r="710" spans="1:25" x14ac:dyDescent="0.25">
      <c r="F710" s="18">
        <f t="shared" si="66"/>
        <v>0</v>
      </c>
      <c r="G710" s="1" t="str">
        <f t="shared" si="69"/>
        <v/>
      </c>
      <c r="M710" s="18">
        <f t="shared" si="67"/>
        <v>0</v>
      </c>
      <c r="N710" s="1" t="str">
        <f t="shared" si="70"/>
        <v/>
      </c>
      <c r="T710" s="18">
        <f t="shared" si="68"/>
        <v>0</v>
      </c>
      <c r="U710" s="1" t="str">
        <f t="shared" si="71"/>
        <v/>
      </c>
      <c r="W710" s="21" t="str">
        <f>IF(C710&gt;0,CONCATENATE("0x",(DEC2HEX(IF(B710&lt;&gt;"",VLOOKUP(B710,Notes!$A$2:$B$37,2,FALSE)*1024,0) + C710*16 + IF(D710="",7,D710)*2 + IF(E710&gt;0, 1, 0))),","),"")</f>
        <v/>
      </c>
      <c r="X710" s="21" t="str">
        <f>IF(J710&gt;0,CONCATENATE("0x",(DEC2HEX(IF(I710&lt;&gt;"",VLOOKUP(I710,Notes!$A$2:$B$37,2,FALSE)*1024,0) + J710*16 + IF(K710="",7,K710)*2 + IF(L710&gt;0, 1, 0))),","),"")</f>
        <v/>
      </c>
      <c r="Y710" s="21" t="str">
        <f>IF(Q710&gt;0,CONCATENATE("0x",(DEC2HEX(IF(P710&lt;&gt;"",VLOOKUP(P710,Notes!$A$2:$B$37,2,FALSE)*1024,0) + Q710*16 + IF(R710="",7,R710)*2 + IF(S710&gt;0, 1, 0))),","),"")</f>
        <v/>
      </c>
    </row>
    <row r="711" spans="1:25" x14ac:dyDescent="0.25">
      <c r="F711" s="18">
        <f t="shared" si="66"/>
        <v>0</v>
      </c>
      <c r="G711" s="1" t="str">
        <f t="shared" si="69"/>
        <v/>
      </c>
      <c r="M711" s="18">
        <f t="shared" si="67"/>
        <v>0</v>
      </c>
      <c r="N711" s="1" t="str">
        <f t="shared" si="70"/>
        <v/>
      </c>
      <c r="T711" s="18">
        <f t="shared" si="68"/>
        <v>0</v>
      </c>
      <c r="U711" s="1" t="str">
        <f t="shared" si="71"/>
        <v/>
      </c>
      <c r="W711" s="21" t="str">
        <f>IF(C711&gt;0,CONCATENATE("0x",(DEC2HEX(IF(B711&lt;&gt;"",VLOOKUP(B711,Notes!$A$2:$B$37,2,FALSE)*1024,0) + C711*16 + IF(D711="",7,D711)*2 + IF(E711&gt;0, 1, 0))),","),"")</f>
        <v/>
      </c>
      <c r="X711" s="21" t="str">
        <f>IF(J711&gt;0,CONCATENATE("0x",(DEC2HEX(IF(I711&lt;&gt;"",VLOOKUP(I711,Notes!$A$2:$B$37,2,FALSE)*1024,0) + J711*16 + IF(K711="",7,K711)*2 + IF(L711&gt;0, 1, 0))),","),"")</f>
        <v/>
      </c>
      <c r="Y711" s="21" t="str">
        <f>IF(Q711&gt;0,CONCATENATE("0x",(DEC2HEX(IF(P711&lt;&gt;"",VLOOKUP(P711,Notes!$A$2:$B$37,2,FALSE)*1024,0) + Q711*16 + IF(R711="",7,R711)*2 + IF(S711&gt;0, 1, 0))),","),"")</f>
        <v/>
      </c>
    </row>
    <row r="712" spans="1:25" x14ac:dyDescent="0.25">
      <c r="F712" s="18">
        <f t="shared" si="66"/>
        <v>0</v>
      </c>
      <c r="G712" s="1" t="str">
        <f t="shared" si="69"/>
        <v/>
      </c>
      <c r="M712" s="18">
        <f t="shared" si="67"/>
        <v>0</v>
      </c>
      <c r="N712" s="1" t="str">
        <f t="shared" si="70"/>
        <v/>
      </c>
      <c r="T712" s="18">
        <f t="shared" si="68"/>
        <v>0</v>
      </c>
      <c r="U712" s="1" t="str">
        <f t="shared" si="71"/>
        <v/>
      </c>
      <c r="W712" s="21" t="str">
        <f>IF(C712&gt;0,CONCATENATE("0x",(DEC2HEX(IF(B712&lt;&gt;"",VLOOKUP(B712,Notes!$A$2:$B$37,2,FALSE)*1024,0) + C712*16 + IF(D712="",7,D712)*2 + IF(E712&gt;0, 1, 0))),","),"")</f>
        <v/>
      </c>
      <c r="X712" s="21" t="str">
        <f>IF(J712&gt;0,CONCATENATE("0x",(DEC2HEX(IF(I712&lt;&gt;"",VLOOKUP(I712,Notes!$A$2:$B$37,2,FALSE)*1024,0) + J712*16 + IF(K712="",7,K712)*2 + IF(L712&gt;0, 1, 0))),","),"")</f>
        <v/>
      </c>
      <c r="Y712" s="21" t="str">
        <f>IF(Q712&gt;0,CONCATENATE("0x",(DEC2HEX(IF(P712&lt;&gt;"",VLOOKUP(P712,Notes!$A$2:$B$37,2,FALSE)*1024,0) + Q712*16 + IF(R712="",7,R712)*2 + IF(S712&gt;0, 1, 0))),","),"")</f>
        <v/>
      </c>
    </row>
    <row r="713" spans="1:25" x14ac:dyDescent="0.25">
      <c r="B713" s="12"/>
      <c r="C713" s="13"/>
      <c r="D713" s="13"/>
      <c r="E713" s="14"/>
      <c r="F713" s="18">
        <f t="shared" si="66"/>
        <v>0</v>
      </c>
      <c r="G713" s="1" t="str">
        <f t="shared" si="69"/>
        <v/>
      </c>
      <c r="I713" s="12"/>
      <c r="J713" s="13"/>
      <c r="K713" s="13"/>
      <c r="L713" s="14"/>
      <c r="M713" s="18">
        <f t="shared" si="67"/>
        <v>0</v>
      </c>
      <c r="N713" s="1" t="str">
        <f t="shared" si="70"/>
        <v/>
      </c>
      <c r="P713" s="12"/>
      <c r="Q713" s="13"/>
      <c r="R713" s="13"/>
      <c r="S713" s="14"/>
      <c r="T713" s="18">
        <f t="shared" si="68"/>
        <v>0</v>
      </c>
      <c r="U713" s="1" t="str">
        <f t="shared" si="71"/>
        <v/>
      </c>
      <c r="W713" s="21" t="str">
        <f>IF(C713&gt;0,CONCATENATE("0x",(DEC2HEX(IF(B713&lt;&gt;"",VLOOKUP(B713,Notes!$A$2:$B$37,2,FALSE)*1024,0) + C713*16 + IF(D713="",7,D713)*2 + IF(E713&gt;0, 1, 0))),","),"")</f>
        <v/>
      </c>
      <c r="X713" s="21" t="str">
        <f>IF(J713&gt;0,CONCATENATE("0x",(DEC2HEX(IF(I713&lt;&gt;"",VLOOKUP(I713,Notes!$A$2:$B$37,2,FALSE)*1024,0) + J713*16 + IF(K713="",7,K713)*2 + IF(L713&gt;0, 1, 0))),","),"")</f>
        <v/>
      </c>
      <c r="Y713" s="21" t="str">
        <f>IF(Q713&gt;0,CONCATENATE("0x",(DEC2HEX(IF(P713&lt;&gt;"",VLOOKUP(P713,Notes!$A$2:$B$37,2,FALSE)*1024,0) + Q713*16 + IF(R713="",7,R713)*2 + IF(S713&gt;0, 1, 0))),","),"")</f>
        <v/>
      </c>
    </row>
    <row r="714" spans="1:25" x14ac:dyDescent="0.25">
      <c r="F714" s="18">
        <f t="shared" si="66"/>
        <v>0</v>
      </c>
      <c r="G714" s="1" t="str">
        <f t="shared" si="69"/>
        <v/>
      </c>
      <c r="M714" s="18">
        <f t="shared" si="67"/>
        <v>0</v>
      </c>
      <c r="N714" s="1" t="str">
        <f t="shared" si="70"/>
        <v/>
      </c>
      <c r="T714" s="18">
        <f t="shared" si="68"/>
        <v>0</v>
      </c>
      <c r="U714" s="1" t="str">
        <f t="shared" si="71"/>
        <v/>
      </c>
      <c r="W714" s="21" t="str">
        <f>IF(C714&gt;0,CONCATENATE("0x",(DEC2HEX(IF(B714&lt;&gt;"",VLOOKUP(B714,Notes!$A$2:$B$37,2,FALSE)*1024,0) + C714*16 + IF(D714="",7,D714)*2 + IF(E714&gt;0, 1, 0))),","),"")</f>
        <v/>
      </c>
      <c r="X714" s="21" t="str">
        <f>IF(J714&gt;0,CONCATENATE("0x",(DEC2HEX(IF(I714&lt;&gt;"",VLOOKUP(I714,Notes!$A$2:$B$37,2,FALSE)*1024,0) + J714*16 + IF(K714="",7,K714)*2 + IF(L714&gt;0, 1, 0))),","),"")</f>
        <v/>
      </c>
      <c r="Y714" s="21" t="str">
        <f>IF(Q714&gt;0,CONCATENATE("0x",(DEC2HEX(IF(P714&lt;&gt;"",VLOOKUP(P714,Notes!$A$2:$B$37,2,FALSE)*1024,0) + Q714*16 + IF(R714="",7,R714)*2 + IF(S714&gt;0, 1, 0))),","),"")</f>
        <v/>
      </c>
    </row>
    <row r="715" spans="1:25" x14ac:dyDescent="0.25">
      <c r="F715" s="18">
        <f t="shared" si="66"/>
        <v>0</v>
      </c>
      <c r="G715" s="1" t="str">
        <f t="shared" si="69"/>
        <v/>
      </c>
      <c r="M715" s="18">
        <f t="shared" si="67"/>
        <v>0</v>
      </c>
      <c r="N715" s="1" t="str">
        <f t="shared" si="70"/>
        <v/>
      </c>
      <c r="T715" s="18">
        <f t="shared" si="68"/>
        <v>0</v>
      </c>
      <c r="U715" s="1" t="str">
        <f t="shared" si="71"/>
        <v/>
      </c>
      <c r="W715" s="21" t="str">
        <f>IF(C715&gt;0,CONCATENATE("0x",(DEC2HEX(IF(B715&lt;&gt;"",VLOOKUP(B715,Notes!$A$2:$B$37,2,FALSE)*1024,0) + C715*16 + IF(D715="",7,D715)*2 + IF(E715&gt;0, 1, 0))),","),"")</f>
        <v/>
      </c>
      <c r="X715" s="21" t="str">
        <f>IF(J715&gt;0,CONCATENATE("0x",(DEC2HEX(IF(I715&lt;&gt;"",VLOOKUP(I715,Notes!$A$2:$B$37,2,FALSE)*1024,0) + J715*16 + IF(K715="",7,K715)*2 + IF(L715&gt;0, 1, 0))),","),"")</f>
        <v/>
      </c>
      <c r="Y715" s="21" t="str">
        <f>IF(Q715&gt;0,CONCATENATE("0x",(DEC2HEX(IF(P715&lt;&gt;"",VLOOKUP(P715,Notes!$A$2:$B$37,2,FALSE)*1024,0) + Q715*16 + IF(R715="",7,R715)*2 + IF(S715&gt;0, 1, 0))),","),"")</f>
        <v/>
      </c>
    </row>
    <row r="716" spans="1:25" x14ac:dyDescent="0.25">
      <c r="F716" s="18">
        <f t="shared" si="66"/>
        <v>0</v>
      </c>
      <c r="G716" s="1" t="str">
        <f t="shared" si="69"/>
        <v/>
      </c>
      <c r="M716" s="18">
        <f t="shared" si="67"/>
        <v>0</v>
      </c>
      <c r="N716" s="1" t="str">
        <f t="shared" si="70"/>
        <v/>
      </c>
      <c r="T716" s="18">
        <f t="shared" si="68"/>
        <v>0</v>
      </c>
      <c r="U716" s="1" t="str">
        <f t="shared" si="71"/>
        <v/>
      </c>
      <c r="W716" s="21" t="str">
        <f>IF(C716&gt;0,CONCATENATE("0x",(DEC2HEX(IF(B716&lt;&gt;"",VLOOKUP(B716,Notes!$A$2:$B$37,2,FALSE)*1024,0) + C716*16 + IF(D716="",7,D716)*2 + IF(E716&gt;0, 1, 0))),","),"")</f>
        <v/>
      </c>
      <c r="X716" s="21" t="str">
        <f>IF(J716&gt;0,CONCATENATE("0x",(DEC2HEX(IF(I716&lt;&gt;"",VLOOKUP(I716,Notes!$A$2:$B$37,2,FALSE)*1024,0) + J716*16 + IF(K716="",7,K716)*2 + IF(L716&gt;0, 1, 0))),","),"")</f>
        <v/>
      </c>
      <c r="Y716" s="21" t="str">
        <f>IF(Q716&gt;0,CONCATENATE("0x",(DEC2HEX(IF(P716&lt;&gt;"",VLOOKUP(P716,Notes!$A$2:$B$37,2,FALSE)*1024,0) + Q716*16 + IF(R716="",7,R716)*2 + IF(S716&gt;0, 1, 0))),","),"")</f>
        <v/>
      </c>
    </row>
    <row r="717" spans="1:25" x14ac:dyDescent="0.25">
      <c r="F717" s="18">
        <f t="shared" si="66"/>
        <v>0</v>
      </c>
      <c r="G717" s="1" t="str">
        <f t="shared" si="69"/>
        <v/>
      </c>
      <c r="M717" s="18">
        <f t="shared" si="67"/>
        <v>0</v>
      </c>
      <c r="N717" s="1" t="str">
        <f t="shared" si="70"/>
        <v/>
      </c>
      <c r="T717" s="18">
        <f t="shared" si="68"/>
        <v>0</v>
      </c>
      <c r="U717" s="1" t="str">
        <f t="shared" si="71"/>
        <v/>
      </c>
      <c r="W717" s="21" t="str">
        <f>IF(C717&gt;0,CONCATENATE("0x",(DEC2HEX(IF(B717&lt;&gt;"",VLOOKUP(B717,Notes!$A$2:$B$37,2,FALSE)*1024,0) + C717*16 + IF(D717="",7,D717)*2 + IF(E717&gt;0, 1, 0))),","),"")</f>
        <v/>
      </c>
      <c r="X717" s="21" t="str">
        <f>IF(J717&gt;0,CONCATENATE("0x",(DEC2HEX(IF(I717&lt;&gt;"",VLOOKUP(I717,Notes!$A$2:$B$37,2,FALSE)*1024,0) + J717*16 + IF(K717="",7,K717)*2 + IF(L717&gt;0, 1, 0))),","),"")</f>
        <v/>
      </c>
      <c r="Y717" s="21" t="str">
        <f>IF(Q717&gt;0,CONCATENATE("0x",(DEC2HEX(IF(P717&lt;&gt;"",VLOOKUP(P717,Notes!$A$2:$B$37,2,FALSE)*1024,0) + Q717*16 + IF(R717="",7,R717)*2 + IF(S717&gt;0, 1, 0))),","),"")</f>
        <v/>
      </c>
    </row>
    <row r="718" spans="1:25" x14ac:dyDescent="0.25">
      <c r="F718" s="18">
        <f t="shared" si="66"/>
        <v>0</v>
      </c>
      <c r="G718" s="1" t="str">
        <f t="shared" si="69"/>
        <v/>
      </c>
      <c r="M718" s="18">
        <f t="shared" si="67"/>
        <v>0</v>
      </c>
      <c r="N718" s="1" t="str">
        <f t="shared" si="70"/>
        <v/>
      </c>
      <c r="T718" s="18">
        <f t="shared" si="68"/>
        <v>0</v>
      </c>
      <c r="U718" s="1" t="str">
        <f t="shared" si="71"/>
        <v/>
      </c>
      <c r="W718" s="21" t="str">
        <f>IF(C718&gt;0,CONCATENATE("0x",(DEC2HEX(IF(B718&lt;&gt;"",VLOOKUP(B718,Notes!$A$2:$B$37,2,FALSE)*1024,0) + C718*16 + IF(D718="",7,D718)*2 + IF(E718&gt;0, 1, 0))),","),"")</f>
        <v/>
      </c>
      <c r="X718" s="21" t="str">
        <f>IF(J718&gt;0,CONCATENATE("0x",(DEC2HEX(IF(I718&lt;&gt;"",VLOOKUP(I718,Notes!$A$2:$B$37,2,FALSE)*1024,0) + J718*16 + IF(K718="",7,K718)*2 + IF(L718&gt;0, 1, 0))),","),"")</f>
        <v/>
      </c>
      <c r="Y718" s="21" t="str">
        <f>IF(Q718&gt;0,CONCATENATE("0x",(DEC2HEX(IF(P718&lt;&gt;"",VLOOKUP(P718,Notes!$A$2:$B$37,2,FALSE)*1024,0) + Q718*16 + IF(R718="",7,R718)*2 + IF(S718&gt;0, 1, 0))),","),"")</f>
        <v/>
      </c>
    </row>
    <row r="719" spans="1:25" x14ac:dyDescent="0.25">
      <c r="F719" s="18">
        <f t="shared" si="66"/>
        <v>0</v>
      </c>
      <c r="G719" s="1" t="str">
        <f t="shared" si="69"/>
        <v/>
      </c>
      <c r="M719" s="18">
        <f t="shared" si="67"/>
        <v>0</v>
      </c>
      <c r="N719" s="1" t="str">
        <f t="shared" si="70"/>
        <v/>
      </c>
      <c r="T719" s="18">
        <f t="shared" si="68"/>
        <v>0</v>
      </c>
      <c r="U719" s="1" t="str">
        <f t="shared" si="71"/>
        <v/>
      </c>
      <c r="W719" s="21" t="str">
        <f>IF(C719&gt;0,CONCATENATE("0x",(DEC2HEX(IF(B719&lt;&gt;"",VLOOKUP(B719,Notes!$A$2:$B$37,2,FALSE)*1024,0) + C719*16 + IF(D719="",7,D719)*2 + IF(E719&gt;0, 1, 0))),","),"")</f>
        <v/>
      </c>
      <c r="X719" s="21" t="str">
        <f>IF(J719&gt;0,CONCATENATE("0x",(DEC2HEX(IF(I719&lt;&gt;"",VLOOKUP(I719,Notes!$A$2:$B$37,2,FALSE)*1024,0) + J719*16 + IF(K719="",7,K719)*2 + IF(L719&gt;0, 1, 0))),","),"")</f>
        <v/>
      </c>
      <c r="Y719" s="21" t="str">
        <f>IF(Q719&gt;0,CONCATENATE("0x",(DEC2HEX(IF(P719&lt;&gt;"",VLOOKUP(P719,Notes!$A$2:$B$37,2,FALSE)*1024,0) + Q719*16 + IF(R719="",7,R719)*2 + IF(S719&gt;0, 1, 0))),","),"")</f>
        <v/>
      </c>
    </row>
    <row r="720" spans="1:25" x14ac:dyDescent="0.25">
      <c r="F720" s="18">
        <f t="shared" si="66"/>
        <v>0</v>
      </c>
      <c r="G720" s="1" t="str">
        <f t="shared" si="69"/>
        <v/>
      </c>
      <c r="M720" s="18">
        <f t="shared" si="67"/>
        <v>0</v>
      </c>
      <c r="N720" s="1" t="str">
        <f t="shared" si="70"/>
        <v/>
      </c>
      <c r="T720" s="18">
        <f t="shared" si="68"/>
        <v>0</v>
      </c>
      <c r="U720" s="1" t="str">
        <f t="shared" si="71"/>
        <v/>
      </c>
      <c r="W720" s="21" t="str">
        <f>IF(C720&gt;0,CONCATENATE("0x",(DEC2HEX(IF(B720&lt;&gt;"",VLOOKUP(B720,Notes!$A$2:$B$37,2,FALSE)*1024,0) + C720*16 + IF(D720="",7,D720)*2 + IF(E720&gt;0, 1, 0))),","),"")</f>
        <v/>
      </c>
      <c r="X720" s="21" t="str">
        <f>IF(J720&gt;0,CONCATENATE("0x",(DEC2HEX(IF(I720&lt;&gt;"",VLOOKUP(I720,Notes!$A$2:$B$37,2,FALSE)*1024,0) + J720*16 + IF(K720="",7,K720)*2 + IF(L720&gt;0, 1, 0))),","),"")</f>
        <v/>
      </c>
      <c r="Y720" s="21" t="str">
        <f>IF(Q720&gt;0,CONCATENATE("0x",(DEC2HEX(IF(P720&lt;&gt;"",VLOOKUP(P720,Notes!$A$2:$B$37,2,FALSE)*1024,0) + Q720*16 + IF(R720="",7,R720)*2 + IF(S720&gt;0, 1, 0))),","),"")</f>
        <v/>
      </c>
    </row>
    <row r="721" spans="2:25" x14ac:dyDescent="0.25">
      <c r="B721" s="12"/>
      <c r="C721" s="13"/>
      <c r="D721" s="13"/>
      <c r="E721" s="14"/>
      <c r="F721" s="18">
        <f t="shared" si="66"/>
        <v>0</v>
      </c>
      <c r="G721" s="1" t="str">
        <f t="shared" si="69"/>
        <v/>
      </c>
      <c r="I721" s="12"/>
      <c r="J721" s="13"/>
      <c r="K721" s="13"/>
      <c r="L721" s="14"/>
      <c r="M721" s="18">
        <f t="shared" si="67"/>
        <v>0</v>
      </c>
      <c r="N721" s="1" t="str">
        <f t="shared" si="70"/>
        <v/>
      </c>
      <c r="P721" s="12"/>
      <c r="Q721" s="13"/>
      <c r="R721" s="13"/>
      <c r="S721" s="14"/>
      <c r="T721" s="18">
        <f t="shared" si="68"/>
        <v>0</v>
      </c>
      <c r="U721" s="1" t="str">
        <f t="shared" si="71"/>
        <v/>
      </c>
      <c r="W721" s="21" t="str">
        <f>IF(C721&gt;0,CONCATENATE("0x",(DEC2HEX(IF(B721&lt;&gt;"",VLOOKUP(B721,Notes!$A$2:$B$37,2,FALSE)*1024,0) + C721*16 + IF(D721="",7,D721)*2 + IF(E721&gt;0, 1, 0))),","),"")</f>
        <v/>
      </c>
      <c r="X721" s="21" t="str">
        <f>IF(J721&gt;0,CONCATENATE("0x",(DEC2HEX(IF(I721&lt;&gt;"",VLOOKUP(I721,Notes!$A$2:$B$37,2,FALSE)*1024,0) + J721*16 + IF(K721="",7,K721)*2 + IF(L721&gt;0, 1, 0))),","),"")</f>
        <v/>
      </c>
      <c r="Y721" s="21" t="str">
        <f>IF(Q721&gt;0,CONCATENATE("0x",(DEC2HEX(IF(P721&lt;&gt;"",VLOOKUP(P721,Notes!$A$2:$B$37,2,FALSE)*1024,0) + Q721*16 + IF(R721="",7,R721)*2 + IF(S721&gt;0, 1, 0))),","),"")</f>
        <v/>
      </c>
    </row>
    <row r="722" spans="2:25" x14ac:dyDescent="0.25">
      <c r="F722" s="18">
        <f t="shared" si="66"/>
        <v>0</v>
      </c>
      <c r="G722" s="1" t="str">
        <f t="shared" si="69"/>
        <v/>
      </c>
      <c r="M722" s="18">
        <f t="shared" si="67"/>
        <v>0</v>
      </c>
      <c r="N722" s="1" t="str">
        <f t="shared" si="70"/>
        <v/>
      </c>
      <c r="T722" s="18">
        <f t="shared" si="68"/>
        <v>0</v>
      </c>
      <c r="U722" s="1" t="str">
        <f t="shared" si="71"/>
        <v/>
      </c>
      <c r="W722" s="21" t="str">
        <f>IF(C722&gt;0,CONCATENATE("0x",(DEC2HEX(IF(B722&lt;&gt;"",VLOOKUP(B722,Notes!$A$2:$B$37,2,FALSE)*1024,0) + C722*16 + IF(D722="",7,D722)*2 + IF(E722&gt;0, 1, 0))),","),"")</f>
        <v/>
      </c>
      <c r="X722" s="21" t="str">
        <f>IF(J722&gt;0,CONCATENATE("0x",(DEC2HEX(IF(I722&lt;&gt;"",VLOOKUP(I722,Notes!$A$2:$B$37,2,FALSE)*1024,0) + J722*16 + IF(K722="",7,K722)*2 + IF(L722&gt;0, 1, 0))),","),"")</f>
        <v/>
      </c>
      <c r="Y722" s="21" t="str">
        <f>IF(Q722&gt;0,CONCATENATE("0x",(DEC2HEX(IF(P722&lt;&gt;"",VLOOKUP(P722,Notes!$A$2:$B$37,2,FALSE)*1024,0) + Q722*16 + IF(R722="",7,R722)*2 + IF(S722&gt;0, 1, 0))),","),"")</f>
        <v/>
      </c>
    </row>
    <row r="723" spans="2:25" x14ac:dyDescent="0.25">
      <c r="F723" s="18">
        <f t="shared" si="66"/>
        <v>0</v>
      </c>
      <c r="G723" s="1" t="str">
        <f t="shared" si="69"/>
        <v/>
      </c>
      <c r="M723" s="18">
        <f t="shared" si="67"/>
        <v>0</v>
      </c>
      <c r="N723" s="1" t="str">
        <f t="shared" si="70"/>
        <v/>
      </c>
      <c r="T723" s="18">
        <f t="shared" si="68"/>
        <v>0</v>
      </c>
      <c r="U723" s="1" t="str">
        <f t="shared" si="71"/>
        <v/>
      </c>
      <c r="W723" s="21" t="str">
        <f>IF(C723&gt;0,CONCATENATE("0x",(DEC2HEX(IF(B723&lt;&gt;"",VLOOKUP(B723,Notes!$A$2:$B$37,2,FALSE)*1024,0) + C723*16 + IF(D723="",7,D723)*2 + IF(E723&gt;0, 1, 0))),","),"")</f>
        <v/>
      </c>
      <c r="X723" s="21" t="str">
        <f>IF(J723&gt;0,CONCATENATE("0x",(DEC2HEX(IF(I723&lt;&gt;"",VLOOKUP(I723,Notes!$A$2:$B$37,2,FALSE)*1024,0) + J723*16 + IF(K723="",7,K723)*2 + IF(L723&gt;0, 1, 0))),","),"")</f>
        <v/>
      </c>
      <c r="Y723" s="21" t="str">
        <f>IF(Q723&gt;0,CONCATENATE("0x",(DEC2HEX(IF(P723&lt;&gt;"",VLOOKUP(P723,Notes!$A$2:$B$37,2,FALSE)*1024,0) + Q723*16 + IF(R723="",7,R723)*2 + IF(S723&gt;0, 1, 0))),","),"")</f>
        <v/>
      </c>
    </row>
    <row r="724" spans="2:25" x14ac:dyDescent="0.25">
      <c r="F724" s="18">
        <f t="shared" si="66"/>
        <v>0</v>
      </c>
      <c r="G724" s="1" t="str">
        <f t="shared" si="69"/>
        <v/>
      </c>
      <c r="M724" s="18">
        <f t="shared" si="67"/>
        <v>0</v>
      </c>
      <c r="N724" s="1" t="str">
        <f t="shared" si="70"/>
        <v/>
      </c>
      <c r="T724" s="18">
        <f t="shared" si="68"/>
        <v>0</v>
      </c>
      <c r="U724" s="1" t="str">
        <f t="shared" si="71"/>
        <v/>
      </c>
      <c r="W724" s="21" t="str">
        <f>IF(C724&gt;0,CONCATENATE("0x",(DEC2HEX(IF(B724&lt;&gt;"",VLOOKUP(B724,Notes!$A$2:$B$37,2,FALSE)*1024,0) + C724*16 + IF(D724="",7,D724)*2 + IF(E724&gt;0, 1, 0))),","),"")</f>
        <v/>
      </c>
      <c r="X724" s="21" t="str">
        <f>IF(J724&gt;0,CONCATENATE("0x",(DEC2HEX(IF(I724&lt;&gt;"",VLOOKUP(I724,Notes!$A$2:$B$37,2,FALSE)*1024,0) + J724*16 + IF(K724="",7,K724)*2 + IF(L724&gt;0, 1, 0))),","),"")</f>
        <v/>
      </c>
      <c r="Y724" s="21" t="str">
        <f>IF(Q724&gt;0,CONCATENATE("0x",(DEC2HEX(IF(P724&lt;&gt;"",VLOOKUP(P724,Notes!$A$2:$B$37,2,FALSE)*1024,0) + Q724*16 + IF(R724="",7,R724)*2 + IF(S724&gt;0, 1, 0))),","),"")</f>
        <v/>
      </c>
    </row>
    <row r="725" spans="2:25" x14ac:dyDescent="0.25">
      <c r="F725" s="18">
        <f t="shared" si="66"/>
        <v>0</v>
      </c>
      <c r="G725" s="1" t="str">
        <f t="shared" si="69"/>
        <v/>
      </c>
      <c r="M725" s="18">
        <f t="shared" si="67"/>
        <v>0</v>
      </c>
      <c r="N725" s="1" t="str">
        <f t="shared" si="70"/>
        <v/>
      </c>
      <c r="T725" s="18">
        <f t="shared" si="68"/>
        <v>0</v>
      </c>
      <c r="U725" s="1" t="str">
        <f t="shared" si="71"/>
        <v/>
      </c>
      <c r="W725" s="21" t="str">
        <f>IF(C725&gt;0,CONCATENATE("0x",(DEC2HEX(IF(B725&lt;&gt;"",VLOOKUP(B725,Notes!$A$2:$B$37,2,FALSE)*1024,0) + C725*16 + IF(D725="",7,D725)*2 + IF(E725&gt;0, 1, 0))),","),"")</f>
        <v/>
      </c>
      <c r="X725" s="21" t="str">
        <f>IF(J725&gt;0,CONCATENATE("0x",(DEC2HEX(IF(I725&lt;&gt;"",VLOOKUP(I725,Notes!$A$2:$B$37,2,FALSE)*1024,0) + J725*16 + IF(K725="",7,K725)*2 + IF(L725&gt;0, 1, 0))),","),"")</f>
        <v/>
      </c>
      <c r="Y725" s="21" t="str">
        <f>IF(Q725&gt;0,CONCATENATE("0x",(DEC2HEX(IF(P725&lt;&gt;"",VLOOKUP(P725,Notes!$A$2:$B$37,2,FALSE)*1024,0) + Q725*16 + IF(R725="",7,R725)*2 + IF(S725&gt;0, 1, 0))),","),"")</f>
        <v/>
      </c>
    </row>
    <row r="726" spans="2:25" x14ac:dyDescent="0.25">
      <c r="F726" s="18">
        <f t="shared" si="66"/>
        <v>0</v>
      </c>
      <c r="G726" s="1" t="str">
        <f t="shared" si="69"/>
        <v/>
      </c>
      <c r="M726" s="18">
        <f t="shared" si="67"/>
        <v>0</v>
      </c>
      <c r="N726" s="1" t="str">
        <f t="shared" si="70"/>
        <v/>
      </c>
      <c r="T726" s="18">
        <f t="shared" si="68"/>
        <v>0</v>
      </c>
      <c r="U726" s="1" t="str">
        <f t="shared" si="71"/>
        <v/>
      </c>
      <c r="W726" s="21" t="str">
        <f>IF(C726&gt;0,CONCATENATE("0x",(DEC2HEX(IF(B726&lt;&gt;"",VLOOKUP(B726,Notes!$A$2:$B$37,2,FALSE)*1024,0) + C726*16 + IF(D726="",7,D726)*2 + IF(E726&gt;0, 1, 0))),","),"")</f>
        <v/>
      </c>
      <c r="X726" s="21" t="str">
        <f>IF(J726&gt;0,CONCATENATE("0x",(DEC2HEX(IF(I726&lt;&gt;"",VLOOKUP(I726,Notes!$A$2:$B$37,2,FALSE)*1024,0) + J726*16 + IF(K726="",7,K726)*2 + IF(L726&gt;0, 1, 0))),","),"")</f>
        <v/>
      </c>
      <c r="Y726" s="21" t="str">
        <f>IF(Q726&gt;0,CONCATENATE("0x",(DEC2HEX(IF(P726&lt;&gt;"",VLOOKUP(P726,Notes!$A$2:$B$37,2,FALSE)*1024,0) + Q726*16 + IF(R726="",7,R726)*2 + IF(S726&gt;0, 1, 0))),","),"")</f>
        <v/>
      </c>
    </row>
    <row r="727" spans="2:25" x14ac:dyDescent="0.25">
      <c r="F727" s="18">
        <f t="shared" si="66"/>
        <v>0</v>
      </c>
      <c r="G727" s="1" t="str">
        <f t="shared" si="69"/>
        <v/>
      </c>
      <c r="M727" s="18">
        <f t="shared" si="67"/>
        <v>0</v>
      </c>
      <c r="N727" s="1" t="str">
        <f t="shared" si="70"/>
        <v/>
      </c>
      <c r="T727" s="18">
        <f t="shared" si="68"/>
        <v>0</v>
      </c>
      <c r="U727" s="1" t="str">
        <f t="shared" si="71"/>
        <v/>
      </c>
      <c r="W727" s="21" t="str">
        <f>IF(C727&gt;0,CONCATENATE("0x",(DEC2HEX(IF(B727&lt;&gt;"",VLOOKUP(B727,Notes!$A$2:$B$37,2,FALSE)*1024,0) + C727*16 + IF(D727="",7,D727)*2 + IF(E727&gt;0, 1, 0))),","),"")</f>
        <v/>
      </c>
      <c r="X727" s="21" t="str">
        <f>IF(J727&gt;0,CONCATENATE("0x",(DEC2HEX(IF(I727&lt;&gt;"",VLOOKUP(I727,Notes!$A$2:$B$37,2,FALSE)*1024,0) + J727*16 + IF(K727="",7,K727)*2 + IF(L727&gt;0, 1, 0))),","),"")</f>
        <v/>
      </c>
      <c r="Y727" s="21" t="str">
        <f>IF(Q727&gt;0,CONCATENATE("0x",(DEC2HEX(IF(P727&lt;&gt;"",VLOOKUP(P727,Notes!$A$2:$B$37,2,FALSE)*1024,0) + Q727*16 + IF(R727="",7,R727)*2 + IF(S727&gt;0, 1, 0))),","),"")</f>
        <v/>
      </c>
    </row>
    <row r="728" spans="2:25" x14ac:dyDescent="0.25">
      <c r="F728" s="18">
        <f t="shared" si="66"/>
        <v>0</v>
      </c>
      <c r="G728" s="1" t="str">
        <f t="shared" si="69"/>
        <v/>
      </c>
      <c r="M728" s="18">
        <f t="shared" si="67"/>
        <v>0</v>
      </c>
      <c r="N728" s="1" t="str">
        <f t="shared" si="70"/>
        <v/>
      </c>
      <c r="T728" s="18">
        <f t="shared" si="68"/>
        <v>0</v>
      </c>
      <c r="U728" s="1" t="str">
        <f t="shared" si="71"/>
        <v/>
      </c>
      <c r="W728" s="21" t="str">
        <f>IF(C728&gt;0,CONCATENATE("0x",(DEC2HEX(IF(B728&lt;&gt;"",VLOOKUP(B728,Notes!$A$2:$B$37,2,FALSE)*1024,0) + C728*16 + IF(D728="",7,D728)*2 + IF(E728&gt;0, 1, 0))),","),"")</f>
        <v/>
      </c>
      <c r="X728" s="21" t="str">
        <f>IF(J728&gt;0,CONCATENATE("0x",(DEC2HEX(IF(I728&lt;&gt;"",VLOOKUP(I728,Notes!$A$2:$B$37,2,FALSE)*1024,0) + J728*16 + IF(K728="",7,K728)*2 + IF(L728&gt;0, 1, 0))),","),"")</f>
        <v/>
      </c>
      <c r="Y728" s="21" t="str">
        <f>IF(Q728&gt;0,CONCATENATE("0x",(DEC2HEX(IF(P728&lt;&gt;"",VLOOKUP(P728,Notes!$A$2:$B$37,2,FALSE)*1024,0) + Q728*16 + IF(R728="",7,R728)*2 + IF(S728&gt;0, 1, 0))),","),"")</f>
        <v/>
      </c>
    </row>
    <row r="729" spans="2:25" x14ac:dyDescent="0.25">
      <c r="B729" s="12"/>
      <c r="C729" s="13"/>
      <c r="D729" s="13"/>
      <c r="E729" s="14"/>
      <c r="F729" s="18">
        <f t="shared" si="66"/>
        <v>0</v>
      </c>
      <c r="G729" s="1" t="str">
        <f t="shared" si="69"/>
        <v/>
      </c>
      <c r="I729" s="12"/>
      <c r="J729" s="13"/>
      <c r="K729" s="13"/>
      <c r="L729" s="14"/>
      <c r="M729" s="18">
        <f t="shared" si="67"/>
        <v>0</v>
      </c>
      <c r="N729" s="1" t="str">
        <f t="shared" si="70"/>
        <v/>
      </c>
      <c r="P729" s="12"/>
      <c r="Q729" s="13"/>
      <c r="R729" s="13"/>
      <c r="S729" s="14"/>
      <c r="T729" s="18">
        <f t="shared" si="68"/>
        <v>0</v>
      </c>
      <c r="U729" s="1" t="str">
        <f t="shared" si="71"/>
        <v/>
      </c>
      <c r="W729" s="21" t="str">
        <f>IF(C729&gt;0,CONCATENATE("0x",(DEC2HEX(IF(B729&lt;&gt;"",VLOOKUP(B729,Notes!$A$2:$B$37,2,FALSE)*1024,0) + C729*16 + IF(D729="",7,D729)*2 + IF(E729&gt;0, 1, 0))),","),"")</f>
        <v/>
      </c>
      <c r="X729" s="21" t="str">
        <f>IF(J729&gt;0,CONCATENATE("0x",(DEC2HEX(IF(I729&lt;&gt;"",VLOOKUP(I729,Notes!$A$2:$B$37,2,FALSE)*1024,0) + J729*16 + IF(K729="",7,K729)*2 + IF(L729&gt;0, 1, 0))),","),"")</f>
        <v/>
      </c>
      <c r="Y729" s="21" t="str">
        <f>IF(Q729&gt;0,CONCATENATE("0x",(DEC2HEX(IF(P729&lt;&gt;"",VLOOKUP(P729,Notes!$A$2:$B$37,2,FALSE)*1024,0) + Q729*16 + IF(R729="",7,R729)*2 + IF(S729&gt;0, 1, 0))),","),"")</f>
        <v/>
      </c>
    </row>
    <row r="730" spans="2:25" x14ac:dyDescent="0.25">
      <c r="F730" s="18">
        <f t="shared" si="66"/>
        <v>0</v>
      </c>
      <c r="G730" s="1" t="str">
        <f t="shared" si="69"/>
        <v/>
      </c>
      <c r="M730" s="18">
        <f t="shared" si="67"/>
        <v>0</v>
      </c>
      <c r="N730" s="1" t="str">
        <f t="shared" si="70"/>
        <v/>
      </c>
      <c r="T730" s="18">
        <f t="shared" si="68"/>
        <v>0</v>
      </c>
      <c r="U730" s="1" t="str">
        <f t="shared" si="71"/>
        <v/>
      </c>
      <c r="W730" s="21" t="str">
        <f>IF(C730&gt;0,CONCATENATE("0x",(DEC2HEX(IF(B730&lt;&gt;"",VLOOKUP(B730,Notes!$A$2:$B$37,2,FALSE)*1024,0) + C730*16 + IF(D730="",7,D730)*2 + IF(E730&gt;0, 1, 0))),","),"")</f>
        <v/>
      </c>
      <c r="X730" s="21" t="str">
        <f>IF(J730&gt;0,CONCATENATE("0x",(DEC2HEX(IF(I730&lt;&gt;"",VLOOKUP(I730,Notes!$A$2:$B$37,2,FALSE)*1024,0) + J730*16 + IF(K730="",7,K730)*2 + IF(L730&gt;0, 1, 0))),","),"")</f>
        <v/>
      </c>
      <c r="Y730" s="21" t="str">
        <f>IF(Q730&gt;0,CONCATENATE("0x",(DEC2HEX(IF(P730&lt;&gt;"",VLOOKUP(P730,Notes!$A$2:$B$37,2,FALSE)*1024,0) + Q730*16 + IF(R730="",7,R730)*2 + IF(S730&gt;0, 1, 0))),","),"")</f>
        <v/>
      </c>
    </row>
    <row r="731" spans="2:25" x14ac:dyDescent="0.25">
      <c r="F731" s="18">
        <f t="shared" si="66"/>
        <v>0</v>
      </c>
      <c r="G731" s="1" t="str">
        <f t="shared" si="69"/>
        <v/>
      </c>
      <c r="M731" s="18">
        <f t="shared" si="67"/>
        <v>0</v>
      </c>
      <c r="N731" s="1" t="str">
        <f t="shared" si="70"/>
        <v/>
      </c>
      <c r="T731" s="18">
        <f t="shared" si="68"/>
        <v>0</v>
      </c>
      <c r="U731" s="1" t="str">
        <f t="shared" si="71"/>
        <v/>
      </c>
      <c r="W731" s="21" t="str">
        <f>IF(C731&gt;0,CONCATENATE("0x",(DEC2HEX(IF(B731&lt;&gt;"",VLOOKUP(B731,Notes!$A$2:$B$37,2,FALSE)*1024,0) + C731*16 + IF(D731="",7,D731)*2 + IF(E731&gt;0, 1, 0))),","),"")</f>
        <v/>
      </c>
      <c r="X731" s="21" t="str">
        <f>IF(J731&gt;0,CONCATENATE("0x",(DEC2HEX(IF(I731&lt;&gt;"",VLOOKUP(I731,Notes!$A$2:$B$37,2,FALSE)*1024,0) + J731*16 + IF(K731="",7,K731)*2 + IF(L731&gt;0, 1, 0))),","),"")</f>
        <v/>
      </c>
      <c r="Y731" s="21" t="str">
        <f>IF(Q731&gt;0,CONCATENATE("0x",(DEC2HEX(IF(P731&lt;&gt;"",VLOOKUP(P731,Notes!$A$2:$B$37,2,FALSE)*1024,0) + Q731*16 + IF(R731="",7,R731)*2 + IF(S731&gt;0, 1, 0))),","),"")</f>
        <v/>
      </c>
    </row>
    <row r="732" spans="2:25" x14ac:dyDescent="0.25">
      <c r="F732" s="18">
        <f t="shared" si="66"/>
        <v>0</v>
      </c>
      <c r="G732" s="1" t="str">
        <f t="shared" si="69"/>
        <v/>
      </c>
      <c r="M732" s="18">
        <f t="shared" si="67"/>
        <v>0</v>
      </c>
      <c r="N732" s="1" t="str">
        <f t="shared" si="70"/>
        <v/>
      </c>
      <c r="T732" s="18">
        <f t="shared" si="68"/>
        <v>0</v>
      </c>
      <c r="U732" s="1" t="str">
        <f t="shared" si="71"/>
        <v/>
      </c>
      <c r="W732" s="21" t="str">
        <f>IF(C732&gt;0,CONCATENATE("0x",(DEC2HEX(IF(B732&lt;&gt;"",VLOOKUP(B732,Notes!$A$2:$B$37,2,FALSE)*1024,0) + C732*16 + IF(D732="",7,D732)*2 + IF(E732&gt;0, 1, 0))),","),"")</f>
        <v/>
      </c>
      <c r="X732" s="21" t="str">
        <f>IF(J732&gt;0,CONCATENATE("0x",(DEC2HEX(IF(I732&lt;&gt;"",VLOOKUP(I732,Notes!$A$2:$B$37,2,FALSE)*1024,0) + J732*16 + IF(K732="",7,K732)*2 + IF(L732&gt;0, 1, 0))),","),"")</f>
        <v/>
      </c>
      <c r="Y732" s="21" t="str">
        <f>IF(Q732&gt;0,CONCATENATE("0x",(DEC2HEX(IF(P732&lt;&gt;"",VLOOKUP(P732,Notes!$A$2:$B$37,2,FALSE)*1024,0) + Q732*16 + IF(R732="",7,R732)*2 + IF(S732&gt;0, 1, 0))),","),"")</f>
        <v/>
      </c>
    </row>
    <row r="733" spans="2:25" x14ac:dyDescent="0.25">
      <c r="F733" s="18">
        <f t="shared" si="66"/>
        <v>0</v>
      </c>
      <c r="G733" s="1" t="str">
        <f t="shared" si="69"/>
        <v/>
      </c>
      <c r="M733" s="18">
        <f t="shared" si="67"/>
        <v>0</v>
      </c>
      <c r="N733" s="1" t="str">
        <f t="shared" si="70"/>
        <v/>
      </c>
      <c r="T733" s="18">
        <f t="shared" si="68"/>
        <v>0</v>
      </c>
      <c r="U733" s="1" t="str">
        <f t="shared" si="71"/>
        <v/>
      </c>
      <c r="W733" s="21" t="str">
        <f>IF(C733&gt;0,CONCATENATE("0x",(DEC2HEX(IF(B733&lt;&gt;"",VLOOKUP(B733,Notes!$A$2:$B$37,2,FALSE)*1024,0) + C733*16 + IF(D733="",7,D733)*2 + IF(E733&gt;0, 1, 0))),","),"")</f>
        <v/>
      </c>
      <c r="X733" s="21" t="str">
        <f>IF(J733&gt;0,CONCATENATE("0x",(DEC2HEX(IF(I733&lt;&gt;"",VLOOKUP(I733,Notes!$A$2:$B$37,2,FALSE)*1024,0) + J733*16 + IF(K733="",7,K733)*2 + IF(L733&gt;0, 1, 0))),","),"")</f>
        <v/>
      </c>
      <c r="Y733" s="21" t="str">
        <f>IF(Q733&gt;0,CONCATENATE("0x",(DEC2HEX(IF(P733&lt;&gt;"",VLOOKUP(P733,Notes!$A$2:$B$37,2,FALSE)*1024,0) + Q733*16 + IF(R733="",7,R733)*2 + IF(S733&gt;0, 1, 0))),","),"")</f>
        <v/>
      </c>
    </row>
    <row r="734" spans="2:25" x14ac:dyDescent="0.25">
      <c r="F734" s="18">
        <f t="shared" si="66"/>
        <v>0</v>
      </c>
      <c r="G734" s="1" t="str">
        <f t="shared" si="69"/>
        <v/>
      </c>
      <c r="M734" s="18">
        <f t="shared" si="67"/>
        <v>0</v>
      </c>
      <c r="N734" s="1" t="str">
        <f t="shared" si="70"/>
        <v/>
      </c>
      <c r="T734" s="18">
        <f t="shared" si="68"/>
        <v>0</v>
      </c>
      <c r="U734" s="1" t="str">
        <f t="shared" si="71"/>
        <v/>
      </c>
      <c r="W734" s="21" t="str">
        <f>IF(C734&gt;0,CONCATENATE("0x",(DEC2HEX(IF(B734&lt;&gt;"",VLOOKUP(B734,Notes!$A$2:$B$37,2,FALSE)*1024,0) + C734*16 + IF(D734="",7,D734)*2 + IF(E734&gt;0, 1, 0))),","),"")</f>
        <v/>
      </c>
      <c r="X734" s="21" t="str">
        <f>IF(J734&gt;0,CONCATENATE("0x",(DEC2HEX(IF(I734&lt;&gt;"",VLOOKUP(I734,Notes!$A$2:$B$37,2,FALSE)*1024,0) + J734*16 + IF(K734="",7,K734)*2 + IF(L734&gt;0, 1, 0))),","),"")</f>
        <v/>
      </c>
      <c r="Y734" s="21" t="str">
        <f>IF(Q734&gt;0,CONCATENATE("0x",(DEC2HEX(IF(P734&lt;&gt;"",VLOOKUP(P734,Notes!$A$2:$B$37,2,FALSE)*1024,0) + Q734*16 + IF(R734="",7,R734)*2 + IF(S734&gt;0, 1, 0))),","),"")</f>
        <v/>
      </c>
    </row>
    <row r="735" spans="2:25" x14ac:dyDescent="0.25">
      <c r="F735" s="18">
        <f t="shared" si="66"/>
        <v>0</v>
      </c>
      <c r="G735" s="1" t="str">
        <f t="shared" si="69"/>
        <v/>
      </c>
      <c r="M735" s="18">
        <f t="shared" si="67"/>
        <v>0</v>
      </c>
      <c r="N735" s="1" t="str">
        <f t="shared" si="70"/>
        <v/>
      </c>
      <c r="T735" s="18">
        <f t="shared" si="68"/>
        <v>0</v>
      </c>
      <c r="U735" s="1" t="str">
        <f t="shared" si="71"/>
        <v/>
      </c>
      <c r="W735" s="21" t="str">
        <f>IF(C735&gt;0,CONCATENATE("0x",(DEC2HEX(IF(B735&lt;&gt;"",VLOOKUP(B735,Notes!$A$2:$B$37,2,FALSE)*1024,0) + C735*16 + IF(D735="",7,D735)*2 + IF(E735&gt;0, 1, 0))),","),"")</f>
        <v/>
      </c>
      <c r="X735" s="21" t="str">
        <f>IF(J735&gt;0,CONCATENATE("0x",(DEC2HEX(IF(I735&lt;&gt;"",VLOOKUP(I735,Notes!$A$2:$B$37,2,FALSE)*1024,0) + J735*16 + IF(K735="",7,K735)*2 + IF(L735&gt;0, 1, 0))),","),"")</f>
        <v/>
      </c>
      <c r="Y735" s="21" t="str">
        <f>IF(Q735&gt;0,CONCATENATE("0x",(DEC2HEX(IF(P735&lt;&gt;"",VLOOKUP(P735,Notes!$A$2:$B$37,2,FALSE)*1024,0) + Q735*16 + IF(R735="",7,R735)*2 + IF(S735&gt;0, 1, 0))),","),"")</f>
        <v/>
      </c>
    </row>
    <row r="736" spans="2:25" x14ac:dyDescent="0.25">
      <c r="F736" s="18">
        <f t="shared" si="66"/>
        <v>0</v>
      </c>
      <c r="G736" s="1" t="str">
        <f t="shared" si="69"/>
        <v/>
      </c>
      <c r="M736" s="18">
        <f t="shared" si="67"/>
        <v>0</v>
      </c>
      <c r="N736" s="1" t="str">
        <f t="shared" si="70"/>
        <v/>
      </c>
      <c r="T736" s="18">
        <f t="shared" si="68"/>
        <v>0</v>
      </c>
      <c r="U736" s="1" t="str">
        <f t="shared" si="71"/>
        <v/>
      </c>
      <c r="W736" s="21" t="str">
        <f>IF(C736&gt;0,CONCATENATE("0x",(DEC2HEX(IF(B736&lt;&gt;"",VLOOKUP(B736,Notes!$A$2:$B$37,2,FALSE)*1024,0) + C736*16 + IF(D736="",7,D736)*2 + IF(E736&gt;0, 1, 0))),","),"")</f>
        <v/>
      </c>
      <c r="X736" s="21" t="str">
        <f>IF(J736&gt;0,CONCATENATE("0x",(DEC2HEX(IF(I736&lt;&gt;"",VLOOKUP(I736,Notes!$A$2:$B$37,2,FALSE)*1024,0) + J736*16 + IF(K736="",7,K736)*2 + IF(L736&gt;0, 1, 0))),","),"")</f>
        <v/>
      </c>
      <c r="Y736" s="21" t="str">
        <f>IF(Q736&gt;0,CONCATENATE("0x",(DEC2HEX(IF(P736&lt;&gt;"",VLOOKUP(P736,Notes!$A$2:$B$37,2,FALSE)*1024,0) + Q736*16 + IF(R736="",7,R736)*2 + IF(S736&gt;0, 1, 0))),","),"")</f>
        <v/>
      </c>
    </row>
    <row r="737" spans="1:25" ht="16.5" thickBot="1" x14ac:dyDescent="0.3">
      <c r="B737" s="15"/>
      <c r="C737" s="16"/>
      <c r="D737" s="16"/>
      <c r="E737" s="17"/>
      <c r="F737" s="18">
        <f t="shared" si="66"/>
        <v>0</v>
      </c>
      <c r="G737" s="1" t="str">
        <f t="shared" si="69"/>
        <v/>
      </c>
      <c r="I737" s="15"/>
      <c r="J737" s="16"/>
      <c r="K737" s="16"/>
      <c r="L737" s="17"/>
      <c r="M737" s="18">
        <f t="shared" si="67"/>
        <v>0</v>
      </c>
      <c r="N737" s="1" t="str">
        <f t="shared" si="70"/>
        <v/>
      </c>
      <c r="P737" s="15"/>
      <c r="Q737" s="16"/>
      <c r="R737" s="16"/>
      <c r="S737" s="17"/>
      <c r="T737" s="18">
        <f t="shared" si="68"/>
        <v>0</v>
      </c>
      <c r="U737" s="1" t="str">
        <f t="shared" si="71"/>
        <v/>
      </c>
      <c r="W737" s="21" t="str">
        <f>IF(C737&gt;0,CONCATENATE("0x",(DEC2HEX(IF(B737&lt;&gt;"",VLOOKUP(B737,Notes!$A$2:$B$37,2,FALSE)*1024,0) + C737*16 + IF(D737="",7,D737)*2 + IF(E737&gt;0, 1, 0))),","),"")</f>
        <v/>
      </c>
      <c r="X737" s="21" t="str">
        <f>IF(J737&gt;0,CONCATENATE("0x",(DEC2HEX(IF(I737&lt;&gt;"",VLOOKUP(I737,Notes!$A$2:$B$37,2,FALSE)*1024,0) + J737*16 + IF(K737="",7,K737)*2 + IF(L737&gt;0, 1, 0))),","),"")</f>
        <v/>
      </c>
      <c r="Y737" s="21" t="str">
        <f>IF(Q737&gt;0,CONCATENATE("0x",(DEC2HEX(IF(P737&lt;&gt;"",VLOOKUP(P737,Notes!$A$2:$B$37,2,FALSE)*1024,0) + Q737*16 + IF(R737="",7,R737)*2 + IF(S737&gt;0, 1, 0))),","),"")</f>
        <v/>
      </c>
    </row>
    <row r="738" spans="1:25" ht="16.5" thickTop="1" x14ac:dyDescent="0.25">
      <c r="A738" s="1">
        <v>24</v>
      </c>
      <c r="F738" s="18">
        <f t="shared" si="66"/>
        <v>0</v>
      </c>
      <c r="G738" s="1" t="str">
        <f t="shared" si="69"/>
        <v/>
      </c>
      <c r="M738" s="18">
        <f t="shared" si="67"/>
        <v>0</v>
      </c>
      <c r="N738" s="1" t="str">
        <f t="shared" si="70"/>
        <v/>
      </c>
      <c r="T738" s="18">
        <f t="shared" si="68"/>
        <v>0</v>
      </c>
      <c r="U738" s="1" t="str">
        <f t="shared" si="71"/>
        <v/>
      </c>
      <c r="W738" s="21" t="str">
        <f>IF(C738&gt;0,CONCATENATE("0x",(DEC2HEX(IF(B738&lt;&gt;"",VLOOKUP(B738,Notes!$A$2:$B$37,2,FALSE)*1024,0) + C738*16 + IF(D738="",7,D738)*2 + IF(E738&gt;0, 1, 0))),","),"")</f>
        <v/>
      </c>
      <c r="X738" s="21" t="str">
        <f>IF(J738&gt;0,CONCATENATE("0x",(DEC2HEX(IF(I738&lt;&gt;"",VLOOKUP(I738,Notes!$A$2:$B$37,2,FALSE)*1024,0) + J738*16 + IF(K738="",7,K738)*2 + IF(L738&gt;0, 1, 0))),","),"")</f>
        <v/>
      </c>
      <c r="Y738" s="21" t="str">
        <f>IF(Q738&gt;0,CONCATENATE("0x",(DEC2HEX(IF(P738&lt;&gt;"",VLOOKUP(P738,Notes!$A$2:$B$37,2,FALSE)*1024,0) + Q738*16 + IF(R738="",7,R738)*2 + IF(S738&gt;0, 1, 0))),","),"")</f>
        <v/>
      </c>
    </row>
    <row r="739" spans="1:25" x14ac:dyDescent="0.25">
      <c r="F739" s="18">
        <f t="shared" si="66"/>
        <v>0</v>
      </c>
      <c r="G739" s="1" t="str">
        <f t="shared" si="69"/>
        <v/>
      </c>
      <c r="M739" s="18">
        <f t="shared" si="67"/>
        <v>0</v>
      </c>
      <c r="N739" s="1" t="str">
        <f t="shared" si="70"/>
        <v/>
      </c>
      <c r="T739" s="18">
        <f t="shared" si="68"/>
        <v>0</v>
      </c>
      <c r="U739" s="1" t="str">
        <f t="shared" si="71"/>
        <v/>
      </c>
      <c r="W739" s="21" t="str">
        <f>IF(C739&gt;0,CONCATENATE("0x",(DEC2HEX(IF(B739&lt;&gt;"",VLOOKUP(B739,Notes!$A$2:$B$37,2,FALSE)*1024,0) + C739*16 + IF(D739="",7,D739)*2 + IF(E739&gt;0, 1, 0))),","),"")</f>
        <v/>
      </c>
      <c r="X739" s="21" t="str">
        <f>IF(J739&gt;0,CONCATENATE("0x",(DEC2HEX(IF(I739&lt;&gt;"",VLOOKUP(I739,Notes!$A$2:$B$37,2,FALSE)*1024,0) + J739*16 + IF(K739="",7,K739)*2 + IF(L739&gt;0, 1, 0))),","),"")</f>
        <v/>
      </c>
      <c r="Y739" s="21" t="str">
        <f>IF(Q739&gt;0,CONCATENATE("0x",(DEC2HEX(IF(P739&lt;&gt;"",VLOOKUP(P739,Notes!$A$2:$B$37,2,FALSE)*1024,0) + Q739*16 + IF(R739="",7,R739)*2 + IF(S739&gt;0, 1, 0))),","),"")</f>
        <v/>
      </c>
    </row>
    <row r="740" spans="1:25" x14ac:dyDescent="0.25">
      <c r="F740" s="18">
        <f t="shared" si="66"/>
        <v>0</v>
      </c>
      <c r="G740" s="1" t="str">
        <f t="shared" si="69"/>
        <v/>
      </c>
      <c r="M740" s="18">
        <f t="shared" si="67"/>
        <v>0</v>
      </c>
      <c r="N740" s="1" t="str">
        <f t="shared" si="70"/>
        <v/>
      </c>
      <c r="T740" s="18">
        <f t="shared" si="68"/>
        <v>0</v>
      </c>
      <c r="U740" s="1" t="str">
        <f t="shared" si="71"/>
        <v/>
      </c>
      <c r="W740" s="21" t="str">
        <f>IF(C740&gt;0,CONCATENATE("0x",(DEC2HEX(IF(B740&lt;&gt;"",VLOOKUP(B740,Notes!$A$2:$B$37,2,FALSE)*1024,0) + C740*16 + IF(D740="",7,D740)*2 + IF(E740&gt;0, 1, 0))),","),"")</f>
        <v/>
      </c>
      <c r="X740" s="21" t="str">
        <f>IF(J740&gt;0,CONCATENATE("0x",(DEC2HEX(IF(I740&lt;&gt;"",VLOOKUP(I740,Notes!$A$2:$B$37,2,FALSE)*1024,0) + J740*16 + IF(K740="",7,K740)*2 + IF(L740&gt;0, 1, 0))),","),"")</f>
        <v/>
      </c>
      <c r="Y740" s="21" t="str">
        <f>IF(Q740&gt;0,CONCATENATE("0x",(DEC2HEX(IF(P740&lt;&gt;"",VLOOKUP(P740,Notes!$A$2:$B$37,2,FALSE)*1024,0) + Q740*16 + IF(R740="",7,R740)*2 + IF(S740&gt;0, 1, 0))),","),"")</f>
        <v/>
      </c>
    </row>
    <row r="741" spans="1:25" x14ac:dyDescent="0.25">
      <c r="F741" s="18">
        <f t="shared" si="66"/>
        <v>0</v>
      </c>
      <c r="G741" s="1" t="str">
        <f t="shared" si="69"/>
        <v/>
      </c>
      <c r="M741" s="18">
        <f t="shared" si="67"/>
        <v>0</v>
      </c>
      <c r="N741" s="1" t="str">
        <f t="shared" si="70"/>
        <v/>
      </c>
      <c r="T741" s="18">
        <f t="shared" si="68"/>
        <v>0</v>
      </c>
      <c r="U741" s="1" t="str">
        <f t="shared" si="71"/>
        <v/>
      </c>
      <c r="W741" s="21" t="str">
        <f>IF(C741&gt;0,CONCATENATE("0x",(DEC2HEX(IF(B741&lt;&gt;"",VLOOKUP(B741,Notes!$A$2:$B$37,2,FALSE)*1024,0) + C741*16 + IF(D741="",7,D741)*2 + IF(E741&gt;0, 1, 0))),","),"")</f>
        <v/>
      </c>
      <c r="X741" s="21" t="str">
        <f>IF(J741&gt;0,CONCATENATE("0x",(DEC2HEX(IF(I741&lt;&gt;"",VLOOKUP(I741,Notes!$A$2:$B$37,2,FALSE)*1024,0) + J741*16 + IF(K741="",7,K741)*2 + IF(L741&gt;0, 1, 0))),","),"")</f>
        <v/>
      </c>
      <c r="Y741" s="21" t="str">
        <f>IF(Q741&gt;0,CONCATENATE("0x",(DEC2HEX(IF(P741&lt;&gt;"",VLOOKUP(P741,Notes!$A$2:$B$37,2,FALSE)*1024,0) + Q741*16 + IF(R741="",7,R741)*2 + IF(S741&gt;0, 1, 0))),","),"")</f>
        <v/>
      </c>
    </row>
    <row r="742" spans="1:25" x14ac:dyDescent="0.25">
      <c r="F742" s="18">
        <f t="shared" si="66"/>
        <v>0</v>
      </c>
      <c r="G742" s="1" t="str">
        <f t="shared" si="69"/>
        <v/>
      </c>
      <c r="M742" s="18">
        <f t="shared" si="67"/>
        <v>0</v>
      </c>
      <c r="N742" s="1" t="str">
        <f t="shared" si="70"/>
        <v/>
      </c>
      <c r="T742" s="18">
        <f t="shared" si="68"/>
        <v>0</v>
      </c>
      <c r="U742" s="1" t="str">
        <f t="shared" si="71"/>
        <v/>
      </c>
      <c r="W742" s="21" t="str">
        <f>IF(C742&gt;0,CONCATENATE("0x",(DEC2HEX(IF(B742&lt;&gt;"",VLOOKUP(B742,Notes!$A$2:$B$37,2,FALSE)*1024,0) + C742*16 + IF(D742="",7,D742)*2 + IF(E742&gt;0, 1, 0))),","),"")</f>
        <v/>
      </c>
      <c r="X742" s="21" t="str">
        <f>IF(J742&gt;0,CONCATENATE("0x",(DEC2HEX(IF(I742&lt;&gt;"",VLOOKUP(I742,Notes!$A$2:$B$37,2,FALSE)*1024,0) + J742*16 + IF(K742="",7,K742)*2 + IF(L742&gt;0, 1, 0))),","),"")</f>
        <v/>
      </c>
      <c r="Y742" s="21" t="str">
        <f>IF(Q742&gt;0,CONCATENATE("0x",(DEC2HEX(IF(P742&lt;&gt;"",VLOOKUP(P742,Notes!$A$2:$B$37,2,FALSE)*1024,0) + Q742*16 + IF(R742="",7,R742)*2 + IF(S742&gt;0, 1, 0))),","),"")</f>
        <v/>
      </c>
    </row>
    <row r="743" spans="1:25" x14ac:dyDescent="0.25">
      <c r="F743" s="18">
        <f t="shared" si="66"/>
        <v>0</v>
      </c>
      <c r="G743" s="1" t="str">
        <f t="shared" si="69"/>
        <v/>
      </c>
      <c r="M743" s="18">
        <f t="shared" si="67"/>
        <v>0</v>
      </c>
      <c r="N743" s="1" t="str">
        <f t="shared" si="70"/>
        <v/>
      </c>
      <c r="T743" s="18">
        <f t="shared" si="68"/>
        <v>0</v>
      </c>
      <c r="U743" s="1" t="str">
        <f t="shared" si="71"/>
        <v/>
      </c>
      <c r="W743" s="21" t="str">
        <f>IF(C743&gt;0,CONCATENATE("0x",(DEC2HEX(IF(B743&lt;&gt;"",VLOOKUP(B743,Notes!$A$2:$B$37,2,FALSE)*1024,0) + C743*16 + IF(D743="",7,D743)*2 + IF(E743&gt;0, 1, 0))),","),"")</f>
        <v/>
      </c>
      <c r="X743" s="21" t="str">
        <f>IF(J743&gt;0,CONCATENATE("0x",(DEC2HEX(IF(I743&lt;&gt;"",VLOOKUP(I743,Notes!$A$2:$B$37,2,FALSE)*1024,0) + J743*16 + IF(K743="",7,K743)*2 + IF(L743&gt;0, 1, 0))),","),"")</f>
        <v/>
      </c>
      <c r="Y743" s="21" t="str">
        <f>IF(Q743&gt;0,CONCATENATE("0x",(DEC2HEX(IF(P743&lt;&gt;"",VLOOKUP(P743,Notes!$A$2:$B$37,2,FALSE)*1024,0) + Q743*16 + IF(R743="",7,R743)*2 + IF(S743&gt;0, 1, 0))),","),"")</f>
        <v/>
      </c>
    </row>
    <row r="744" spans="1:25" x14ac:dyDescent="0.25">
      <c r="F744" s="18">
        <f t="shared" si="66"/>
        <v>0</v>
      </c>
      <c r="G744" s="1" t="str">
        <f t="shared" si="69"/>
        <v/>
      </c>
      <c r="M744" s="18">
        <f t="shared" si="67"/>
        <v>0</v>
      </c>
      <c r="N744" s="1" t="str">
        <f t="shared" si="70"/>
        <v/>
      </c>
      <c r="T744" s="18">
        <f t="shared" si="68"/>
        <v>0</v>
      </c>
      <c r="U744" s="1" t="str">
        <f t="shared" si="71"/>
        <v/>
      </c>
      <c r="W744" s="21" t="str">
        <f>IF(C744&gt;0,CONCATENATE("0x",(DEC2HEX(IF(B744&lt;&gt;"",VLOOKUP(B744,Notes!$A$2:$B$37,2,FALSE)*1024,0) + C744*16 + IF(D744="",7,D744)*2 + IF(E744&gt;0, 1, 0))),","),"")</f>
        <v/>
      </c>
      <c r="X744" s="21" t="str">
        <f>IF(J744&gt;0,CONCATENATE("0x",(DEC2HEX(IF(I744&lt;&gt;"",VLOOKUP(I744,Notes!$A$2:$B$37,2,FALSE)*1024,0) + J744*16 + IF(K744="",7,K744)*2 + IF(L744&gt;0, 1, 0))),","),"")</f>
        <v/>
      </c>
      <c r="Y744" s="21" t="str">
        <f>IF(Q744&gt;0,CONCATENATE("0x",(DEC2HEX(IF(P744&lt;&gt;"",VLOOKUP(P744,Notes!$A$2:$B$37,2,FALSE)*1024,0) + Q744*16 + IF(R744="",7,R744)*2 + IF(S744&gt;0, 1, 0))),","),"")</f>
        <v/>
      </c>
    </row>
    <row r="745" spans="1:25" x14ac:dyDescent="0.25">
      <c r="B745" s="12"/>
      <c r="C745" s="13"/>
      <c r="D745" s="13"/>
      <c r="E745" s="14"/>
      <c r="F745" s="18">
        <f t="shared" si="66"/>
        <v>0</v>
      </c>
      <c r="G745" s="1" t="str">
        <f t="shared" si="69"/>
        <v/>
      </c>
      <c r="I745" s="12"/>
      <c r="J745" s="13"/>
      <c r="K745" s="13"/>
      <c r="L745" s="14"/>
      <c r="M745" s="18">
        <f t="shared" si="67"/>
        <v>0</v>
      </c>
      <c r="N745" s="1" t="str">
        <f t="shared" si="70"/>
        <v/>
      </c>
      <c r="P745" s="12"/>
      <c r="Q745" s="13"/>
      <c r="R745" s="13"/>
      <c r="S745" s="14"/>
      <c r="T745" s="18">
        <f t="shared" si="68"/>
        <v>0</v>
      </c>
      <c r="U745" s="1" t="str">
        <f t="shared" si="71"/>
        <v/>
      </c>
      <c r="W745" s="21" t="str">
        <f>IF(C745&gt;0,CONCATENATE("0x",(DEC2HEX(IF(B745&lt;&gt;"",VLOOKUP(B745,Notes!$A$2:$B$37,2,FALSE)*1024,0) + C745*16 + IF(D745="",7,D745)*2 + IF(E745&gt;0, 1, 0))),","),"")</f>
        <v/>
      </c>
      <c r="X745" s="21" t="str">
        <f>IF(J745&gt;0,CONCATENATE("0x",(DEC2HEX(IF(I745&lt;&gt;"",VLOOKUP(I745,Notes!$A$2:$B$37,2,FALSE)*1024,0) + J745*16 + IF(K745="",7,K745)*2 + IF(L745&gt;0, 1, 0))),","),"")</f>
        <v/>
      </c>
      <c r="Y745" s="21" t="str">
        <f>IF(Q745&gt;0,CONCATENATE("0x",(DEC2HEX(IF(P745&lt;&gt;"",VLOOKUP(P745,Notes!$A$2:$B$37,2,FALSE)*1024,0) + Q745*16 + IF(R745="",7,R745)*2 + IF(S745&gt;0, 1, 0))),","),"")</f>
        <v/>
      </c>
    </row>
    <row r="746" spans="1:25" x14ac:dyDescent="0.25">
      <c r="F746" s="18">
        <f t="shared" si="66"/>
        <v>0</v>
      </c>
      <c r="G746" s="1" t="str">
        <f t="shared" si="69"/>
        <v/>
      </c>
      <c r="M746" s="18">
        <f t="shared" si="67"/>
        <v>0</v>
      </c>
      <c r="N746" s="1" t="str">
        <f t="shared" si="70"/>
        <v/>
      </c>
      <c r="T746" s="18">
        <f t="shared" si="68"/>
        <v>0</v>
      </c>
      <c r="U746" s="1" t="str">
        <f t="shared" si="71"/>
        <v/>
      </c>
      <c r="W746" s="21" t="str">
        <f>IF(C746&gt;0,CONCATENATE("0x",(DEC2HEX(IF(B746&lt;&gt;"",VLOOKUP(B746,Notes!$A$2:$B$37,2,FALSE)*1024,0) + C746*16 + IF(D746="",7,D746)*2 + IF(E746&gt;0, 1, 0))),","),"")</f>
        <v/>
      </c>
      <c r="X746" s="21" t="str">
        <f>IF(J746&gt;0,CONCATENATE("0x",(DEC2HEX(IF(I746&lt;&gt;"",VLOOKUP(I746,Notes!$A$2:$B$37,2,FALSE)*1024,0) + J746*16 + IF(K746="",7,K746)*2 + IF(L746&gt;0, 1, 0))),","),"")</f>
        <v/>
      </c>
      <c r="Y746" s="21" t="str">
        <f>IF(Q746&gt;0,CONCATENATE("0x",(DEC2HEX(IF(P746&lt;&gt;"",VLOOKUP(P746,Notes!$A$2:$B$37,2,FALSE)*1024,0) + Q746*16 + IF(R746="",7,R746)*2 + IF(S746&gt;0, 1, 0))),","),"")</f>
        <v/>
      </c>
    </row>
    <row r="747" spans="1:25" x14ac:dyDescent="0.25">
      <c r="F747" s="18">
        <f t="shared" si="66"/>
        <v>0</v>
      </c>
      <c r="G747" s="1" t="str">
        <f t="shared" si="69"/>
        <v/>
      </c>
      <c r="M747" s="18">
        <f t="shared" si="67"/>
        <v>0</v>
      </c>
      <c r="N747" s="1" t="str">
        <f t="shared" si="70"/>
        <v/>
      </c>
      <c r="T747" s="18">
        <f t="shared" si="68"/>
        <v>0</v>
      </c>
      <c r="U747" s="1" t="str">
        <f t="shared" si="71"/>
        <v/>
      </c>
      <c r="W747" s="21" t="str">
        <f>IF(C747&gt;0,CONCATENATE("0x",(DEC2HEX(IF(B747&lt;&gt;"",VLOOKUP(B747,Notes!$A$2:$B$37,2,FALSE)*1024,0) + C747*16 + IF(D747="",7,D747)*2 + IF(E747&gt;0, 1, 0))),","),"")</f>
        <v/>
      </c>
      <c r="X747" s="21" t="str">
        <f>IF(J747&gt;0,CONCATENATE("0x",(DEC2HEX(IF(I747&lt;&gt;"",VLOOKUP(I747,Notes!$A$2:$B$37,2,FALSE)*1024,0) + J747*16 + IF(K747="",7,K747)*2 + IF(L747&gt;0, 1, 0))),","),"")</f>
        <v/>
      </c>
      <c r="Y747" s="21" t="str">
        <f>IF(Q747&gt;0,CONCATENATE("0x",(DEC2HEX(IF(P747&lt;&gt;"",VLOOKUP(P747,Notes!$A$2:$B$37,2,FALSE)*1024,0) + Q747*16 + IF(R747="",7,R747)*2 + IF(S747&gt;0, 1, 0))),","),"")</f>
        <v/>
      </c>
    </row>
    <row r="748" spans="1:25" x14ac:dyDescent="0.25">
      <c r="F748" s="18">
        <f t="shared" si="66"/>
        <v>0</v>
      </c>
      <c r="G748" s="1" t="str">
        <f t="shared" si="69"/>
        <v/>
      </c>
      <c r="M748" s="18">
        <f t="shared" si="67"/>
        <v>0</v>
      </c>
      <c r="N748" s="1" t="str">
        <f t="shared" si="70"/>
        <v/>
      </c>
      <c r="T748" s="18">
        <f t="shared" si="68"/>
        <v>0</v>
      </c>
      <c r="U748" s="1" t="str">
        <f t="shared" si="71"/>
        <v/>
      </c>
      <c r="W748" s="21" t="str">
        <f>IF(C748&gt;0,CONCATENATE("0x",(DEC2HEX(IF(B748&lt;&gt;"",VLOOKUP(B748,Notes!$A$2:$B$37,2,FALSE)*1024,0) + C748*16 + IF(D748="",7,D748)*2 + IF(E748&gt;0, 1, 0))),","),"")</f>
        <v/>
      </c>
      <c r="X748" s="21" t="str">
        <f>IF(J748&gt;0,CONCATENATE("0x",(DEC2HEX(IF(I748&lt;&gt;"",VLOOKUP(I748,Notes!$A$2:$B$37,2,FALSE)*1024,0) + J748*16 + IF(K748="",7,K748)*2 + IF(L748&gt;0, 1, 0))),","),"")</f>
        <v/>
      </c>
      <c r="Y748" s="21" t="str">
        <f>IF(Q748&gt;0,CONCATENATE("0x",(DEC2HEX(IF(P748&lt;&gt;"",VLOOKUP(P748,Notes!$A$2:$B$37,2,FALSE)*1024,0) + Q748*16 + IF(R748="",7,R748)*2 + IF(S748&gt;0, 1, 0))),","),"")</f>
        <v/>
      </c>
    </row>
    <row r="749" spans="1:25" x14ac:dyDescent="0.25">
      <c r="F749" s="18">
        <f t="shared" si="66"/>
        <v>0</v>
      </c>
      <c r="G749" s="1" t="str">
        <f t="shared" si="69"/>
        <v/>
      </c>
      <c r="M749" s="18">
        <f t="shared" si="67"/>
        <v>0</v>
      </c>
      <c r="N749" s="1" t="str">
        <f t="shared" si="70"/>
        <v/>
      </c>
      <c r="T749" s="18">
        <f t="shared" si="68"/>
        <v>0</v>
      </c>
      <c r="U749" s="1" t="str">
        <f t="shared" si="71"/>
        <v/>
      </c>
      <c r="W749" s="21" t="str">
        <f>IF(C749&gt;0,CONCATENATE("0x",(DEC2HEX(IF(B749&lt;&gt;"",VLOOKUP(B749,Notes!$A$2:$B$37,2,FALSE)*1024,0) + C749*16 + IF(D749="",7,D749)*2 + IF(E749&gt;0, 1, 0))),","),"")</f>
        <v/>
      </c>
      <c r="X749" s="21" t="str">
        <f>IF(J749&gt;0,CONCATENATE("0x",(DEC2HEX(IF(I749&lt;&gt;"",VLOOKUP(I749,Notes!$A$2:$B$37,2,FALSE)*1024,0) + J749*16 + IF(K749="",7,K749)*2 + IF(L749&gt;0, 1, 0))),","),"")</f>
        <v/>
      </c>
      <c r="Y749" s="21" t="str">
        <f>IF(Q749&gt;0,CONCATENATE("0x",(DEC2HEX(IF(P749&lt;&gt;"",VLOOKUP(P749,Notes!$A$2:$B$37,2,FALSE)*1024,0) + Q749*16 + IF(R749="",7,R749)*2 + IF(S749&gt;0, 1, 0))),","),"")</f>
        <v/>
      </c>
    </row>
    <row r="750" spans="1:25" x14ac:dyDescent="0.25">
      <c r="F750" s="18">
        <f t="shared" si="66"/>
        <v>0</v>
      </c>
      <c r="G750" s="1" t="str">
        <f t="shared" si="69"/>
        <v/>
      </c>
      <c r="M750" s="18">
        <f t="shared" si="67"/>
        <v>0</v>
      </c>
      <c r="N750" s="1" t="str">
        <f t="shared" si="70"/>
        <v/>
      </c>
      <c r="T750" s="18">
        <f t="shared" si="68"/>
        <v>0</v>
      </c>
      <c r="U750" s="1" t="str">
        <f t="shared" si="71"/>
        <v/>
      </c>
      <c r="W750" s="21" t="str">
        <f>IF(C750&gt;0,CONCATENATE("0x",(DEC2HEX(IF(B750&lt;&gt;"",VLOOKUP(B750,Notes!$A$2:$B$37,2,FALSE)*1024,0) + C750*16 + IF(D750="",7,D750)*2 + IF(E750&gt;0, 1, 0))),","),"")</f>
        <v/>
      </c>
      <c r="X750" s="21" t="str">
        <f>IF(J750&gt;0,CONCATENATE("0x",(DEC2HEX(IF(I750&lt;&gt;"",VLOOKUP(I750,Notes!$A$2:$B$37,2,FALSE)*1024,0) + J750*16 + IF(K750="",7,K750)*2 + IF(L750&gt;0, 1, 0))),","),"")</f>
        <v/>
      </c>
      <c r="Y750" s="21" t="str">
        <f>IF(Q750&gt;0,CONCATENATE("0x",(DEC2HEX(IF(P750&lt;&gt;"",VLOOKUP(P750,Notes!$A$2:$B$37,2,FALSE)*1024,0) + Q750*16 + IF(R750="",7,R750)*2 + IF(S750&gt;0, 1, 0))),","),"")</f>
        <v/>
      </c>
    </row>
    <row r="751" spans="1:25" x14ac:dyDescent="0.25">
      <c r="F751" s="18">
        <f t="shared" si="66"/>
        <v>0</v>
      </c>
      <c r="G751" s="1" t="str">
        <f t="shared" si="69"/>
        <v/>
      </c>
      <c r="M751" s="18">
        <f t="shared" si="67"/>
        <v>0</v>
      </c>
      <c r="N751" s="1" t="str">
        <f t="shared" si="70"/>
        <v/>
      </c>
      <c r="T751" s="18">
        <f t="shared" si="68"/>
        <v>0</v>
      </c>
      <c r="U751" s="1" t="str">
        <f t="shared" si="71"/>
        <v/>
      </c>
      <c r="W751" s="21" t="str">
        <f>IF(C751&gt;0,CONCATENATE("0x",(DEC2HEX(IF(B751&lt;&gt;"",VLOOKUP(B751,Notes!$A$2:$B$37,2,FALSE)*1024,0) + C751*16 + IF(D751="",7,D751)*2 + IF(E751&gt;0, 1, 0))),","),"")</f>
        <v/>
      </c>
      <c r="X751" s="21" t="str">
        <f>IF(J751&gt;0,CONCATENATE("0x",(DEC2HEX(IF(I751&lt;&gt;"",VLOOKUP(I751,Notes!$A$2:$B$37,2,FALSE)*1024,0) + J751*16 + IF(K751="",7,K751)*2 + IF(L751&gt;0, 1, 0))),","),"")</f>
        <v/>
      </c>
      <c r="Y751" s="21" t="str">
        <f>IF(Q751&gt;0,CONCATENATE("0x",(DEC2HEX(IF(P751&lt;&gt;"",VLOOKUP(P751,Notes!$A$2:$B$37,2,FALSE)*1024,0) + Q751*16 + IF(R751="",7,R751)*2 + IF(S751&gt;0, 1, 0))),","),"")</f>
        <v/>
      </c>
    </row>
    <row r="752" spans="1:25" x14ac:dyDescent="0.25">
      <c r="F752" s="18">
        <f t="shared" si="66"/>
        <v>0</v>
      </c>
      <c r="G752" s="1" t="str">
        <f t="shared" si="69"/>
        <v/>
      </c>
      <c r="M752" s="18">
        <f t="shared" si="67"/>
        <v>0</v>
      </c>
      <c r="N752" s="1" t="str">
        <f t="shared" si="70"/>
        <v/>
      </c>
      <c r="T752" s="18">
        <f t="shared" si="68"/>
        <v>0</v>
      </c>
      <c r="U752" s="1" t="str">
        <f t="shared" si="71"/>
        <v/>
      </c>
      <c r="W752" s="21" t="str">
        <f>IF(C752&gt;0,CONCATENATE("0x",(DEC2HEX(IF(B752&lt;&gt;"",VLOOKUP(B752,Notes!$A$2:$B$37,2,FALSE)*1024,0) + C752*16 + IF(D752="",7,D752)*2 + IF(E752&gt;0, 1, 0))),","),"")</f>
        <v/>
      </c>
      <c r="X752" s="21" t="str">
        <f>IF(J752&gt;0,CONCATENATE("0x",(DEC2HEX(IF(I752&lt;&gt;"",VLOOKUP(I752,Notes!$A$2:$B$37,2,FALSE)*1024,0) + J752*16 + IF(K752="",7,K752)*2 + IF(L752&gt;0, 1, 0))),","),"")</f>
        <v/>
      </c>
      <c r="Y752" s="21" t="str">
        <f>IF(Q752&gt;0,CONCATENATE("0x",(DEC2HEX(IF(P752&lt;&gt;"",VLOOKUP(P752,Notes!$A$2:$B$37,2,FALSE)*1024,0) + Q752*16 + IF(R752="",7,R752)*2 + IF(S752&gt;0, 1, 0))),","),"")</f>
        <v/>
      </c>
    </row>
    <row r="753" spans="2:25" x14ac:dyDescent="0.25">
      <c r="B753" s="12"/>
      <c r="C753" s="13"/>
      <c r="D753" s="13"/>
      <c r="E753" s="14"/>
      <c r="F753" s="18">
        <f t="shared" si="66"/>
        <v>0</v>
      </c>
      <c r="G753" s="1" t="str">
        <f t="shared" si="69"/>
        <v/>
      </c>
      <c r="I753" s="12"/>
      <c r="J753" s="13"/>
      <c r="K753" s="13"/>
      <c r="L753" s="14"/>
      <c r="M753" s="18">
        <f t="shared" si="67"/>
        <v>0</v>
      </c>
      <c r="N753" s="1" t="str">
        <f t="shared" si="70"/>
        <v/>
      </c>
      <c r="P753" s="12"/>
      <c r="Q753" s="13"/>
      <c r="R753" s="13"/>
      <c r="S753" s="14"/>
      <c r="T753" s="18">
        <f t="shared" si="68"/>
        <v>0</v>
      </c>
      <c r="U753" s="1" t="str">
        <f t="shared" si="71"/>
        <v/>
      </c>
      <c r="W753" s="21" t="str">
        <f>IF(C753&gt;0,CONCATENATE("0x",(DEC2HEX(IF(B753&lt;&gt;"",VLOOKUP(B753,Notes!$A$2:$B$37,2,FALSE)*1024,0) + C753*16 + IF(D753="",7,D753)*2 + IF(E753&gt;0, 1, 0))),","),"")</f>
        <v/>
      </c>
      <c r="X753" s="21" t="str">
        <f>IF(J753&gt;0,CONCATENATE("0x",(DEC2HEX(IF(I753&lt;&gt;"",VLOOKUP(I753,Notes!$A$2:$B$37,2,FALSE)*1024,0) + J753*16 + IF(K753="",7,K753)*2 + IF(L753&gt;0, 1, 0))),","),"")</f>
        <v/>
      </c>
      <c r="Y753" s="21" t="str">
        <f>IF(Q753&gt;0,CONCATENATE("0x",(DEC2HEX(IF(P753&lt;&gt;"",VLOOKUP(P753,Notes!$A$2:$B$37,2,FALSE)*1024,0) + Q753*16 + IF(R753="",7,R753)*2 + IF(S753&gt;0, 1, 0))),","),"")</f>
        <v/>
      </c>
    </row>
    <row r="754" spans="2:25" x14ac:dyDescent="0.25">
      <c r="F754" s="18">
        <f t="shared" si="66"/>
        <v>0</v>
      </c>
      <c r="G754" s="1" t="str">
        <f t="shared" si="69"/>
        <v/>
      </c>
      <c r="M754" s="18">
        <f t="shared" si="67"/>
        <v>0</v>
      </c>
      <c r="N754" s="1" t="str">
        <f t="shared" si="70"/>
        <v/>
      </c>
      <c r="T754" s="18">
        <f t="shared" si="68"/>
        <v>0</v>
      </c>
      <c r="U754" s="1" t="str">
        <f t="shared" si="71"/>
        <v/>
      </c>
      <c r="W754" s="21" t="str">
        <f>IF(C754&gt;0,CONCATENATE("0x",(DEC2HEX(IF(B754&lt;&gt;"",VLOOKUP(B754,Notes!$A$2:$B$37,2,FALSE)*1024,0) + C754*16 + IF(D754="",7,D754)*2 + IF(E754&gt;0, 1, 0))),","),"")</f>
        <v/>
      </c>
      <c r="X754" s="21" t="str">
        <f>IF(J754&gt;0,CONCATENATE("0x",(DEC2HEX(IF(I754&lt;&gt;"",VLOOKUP(I754,Notes!$A$2:$B$37,2,FALSE)*1024,0) + J754*16 + IF(K754="",7,K754)*2 + IF(L754&gt;0, 1, 0))),","),"")</f>
        <v/>
      </c>
      <c r="Y754" s="21" t="str">
        <f>IF(Q754&gt;0,CONCATENATE("0x",(DEC2HEX(IF(P754&lt;&gt;"",VLOOKUP(P754,Notes!$A$2:$B$37,2,FALSE)*1024,0) + Q754*16 + IF(R754="",7,R754)*2 + IF(S754&gt;0, 1, 0))),","),"")</f>
        <v/>
      </c>
    </row>
    <row r="755" spans="2:25" x14ac:dyDescent="0.25">
      <c r="F755" s="18">
        <f t="shared" si="66"/>
        <v>0</v>
      </c>
      <c r="G755" s="1" t="str">
        <f t="shared" si="69"/>
        <v/>
      </c>
      <c r="M755" s="18">
        <f t="shared" si="67"/>
        <v>0</v>
      </c>
      <c r="N755" s="1" t="str">
        <f t="shared" si="70"/>
        <v/>
      </c>
      <c r="T755" s="18">
        <f t="shared" si="68"/>
        <v>0</v>
      </c>
      <c r="U755" s="1" t="str">
        <f t="shared" si="71"/>
        <v/>
      </c>
      <c r="W755" s="21" t="str">
        <f>IF(C755&gt;0,CONCATENATE("0x",(DEC2HEX(IF(B755&lt;&gt;"",VLOOKUP(B755,Notes!$A$2:$B$37,2,FALSE)*1024,0) + C755*16 + IF(D755="",7,D755)*2 + IF(E755&gt;0, 1, 0))),","),"")</f>
        <v/>
      </c>
      <c r="X755" s="21" t="str">
        <f>IF(J755&gt;0,CONCATENATE("0x",(DEC2HEX(IF(I755&lt;&gt;"",VLOOKUP(I755,Notes!$A$2:$B$37,2,FALSE)*1024,0) + J755*16 + IF(K755="",7,K755)*2 + IF(L755&gt;0, 1, 0))),","),"")</f>
        <v/>
      </c>
      <c r="Y755" s="21" t="str">
        <f>IF(Q755&gt;0,CONCATENATE("0x",(DEC2HEX(IF(P755&lt;&gt;"",VLOOKUP(P755,Notes!$A$2:$B$37,2,FALSE)*1024,0) + Q755*16 + IF(R755="",7,R755)*2 + IF(S755&gt;0, 1, 0))),","),"")</f>
        <v/>
      </c>
    </row>
    <row r="756" spans="2:25" x14ac:dyDescent="0.25">
      <c r="F756" s="18">
        <f t="shared" si="66"/>
        <v>0</v>
      </c>
      <c r="G756" s="1" t="str">
        <f t="shared" si="69"/>
        <v/>
      </c>
      <c r="M756" s="18">
        <f t="shared" si="67"/>
        <v>0</v>
      </c>
      <c r="N756" s="1" t="str">
        <f t="shared" si="70"/>
        <v/>
      </c>
      <c r="T756" s="18">
        <f t="shared" si="68"/>
        <v>0</v>
      </c>
      <c r="U756" s="1" t="str">
        <f t="shared" si="71"/>
        <v/>
      </c>
      <c r="W756" s="21" t="str">
        <f>IF(C756&gt;0,CONCATENATE("0x",(DEC2HEX(IF(B756&lt;&gt;"",VLOOKUP(B756,Notes!$A$2:$B$37,2,FALSE)*1024,0) + C756*16 + IF(D756="",7,D756)*2 + IF(E756&gt;0, 1, 0))),","),"")</f>
        <v/>
      </c>
      <c r="X756" s="21" t="str">
        <f>IF(J756&gt;0,CONCATENATE("0x",(DEC2HEX(IF(I756&lt;&gt;"",VLOOKUP(I756,Notes!$A$2:$B$37,2,FALSE)*1024,0) + J756*16 + IF(K756="",7,K756)*2 + IF(L756&gt;0, 1, 0))),","),"")</f>
        <v/>
      </c>
      <c r="Y756" s="21" t="str">
        <f>IF(Q756&gt;0,CONCATENATE("0x",(DEC2HEX(IF(P756&lt;&gt;"",VLOOKUP(P756,Notes!$A$2:$B$37,2,FALSE)*1024,0) + Q756*16 + IF(R756="",7,R756)*2 + IF(S756&gt;0, 1, 0))),","),"")</f>
        <v/>
      </c>
    </row>
    <row r="757" spans="2:25" x14ac:dyDescent="0.25">
      <c r="F757" s="18">
        <f t="shared" si="66"/>
        <v>0</v>
      </c>
      <c r="G757" s="1" t="str">
        <f t="shared" si="69"/>
        <v/>
      </c>
      <c r="M757" s="18">
        <f t="shared" si="67"/>
        <v>0</v>
      </c>
      <c r="N757" s="1" t="str">
        <f t="shared" si="70"/>
        <v/>
      </c>
      <c r="T757" s="18">
        <f t="shared" si="68"/>
        <v>0</v>
      </c>
      <c r="U757" s="1" t="str">
        <f t="shared" si="71"/>
        <v/>
      </c>
      <c r="W757" s="21" t="str">
        <f>IF(C757&gt;0,CONCATENATE("0x",(DEC2HEX(IF(B757&lt;&gt;"",VLOOKUP(B757,Notes!$A$2:$B$37,2,FALSE)*1024,0) + C757*16 + IF(D757="",7,D757)*2 + IF(E757&gt;0, 1, 0))),","),"")</f>
        <v/>
      </c>
      <c r="X757" s="21" t="str">
        <f>IF(J757&gt;0,CONCATENATE("0x",(DEC2HEX(IF(I757&lt;&gt;"",VLOOKUP(I757,Notes!$A$2:$B$37,2,FALSE)*1024,0) + J757*16 + IF(K757="",7,K757)*2 + IF(L757&gt;0, 1, 0))),","),"")</f>
        <v/>
      </c>
      <c r="Y757" s="21" t="str">
        <f>IF(Q757&gt;0,CONCATENATE("0x",(DEC2HEX(IF(P757&lt;&gt;"",VLOOKUP(P757,Notes!$A$2:$B$37,2,FALSE)*1024,0) + Q757*16 + IF(R757="",7,R757)*2 + IF(S757&gt;0, 1, 0))),","),"")</f>
        <v/>
      </c>
    </row>
    <row r="758" spans="2:25" x14ac:dyDescent="0.25">
      <c r="F758" s="18">
        <f t="shared" si="66"/>
        <v>0</v>
      </c>
      <c r="G758" s="1" t="str">
        <f t="shared" si="69"/>
        <v/>
      </c>
      <c r="M758" s="18">
        <f t="shared" si="67"/>
        <v>0</v>
      </c>
      <c r="N758" s="1" t="str">
        <f t="shared" si="70"/>
        <v/>
      </c>
      <c r="T758" s="18">
        <f t="shared" si="68"/>
        <v>0</v>
      </c>
      <c r="U758" s="1" t="str">
        <f t="shared" si="71"/>
        <v/>
      </c>
      <c r="W758" s="21" t="str">
        <f>IF(C758&gt;0,CONCATENATE("0x",(DEC2HEX(IF(B758&lt;&gt;"",VLOOKUP(B758,Notes!$A$2:$B$37,2,FALSE)*1024,0) + C758*16 + IF(D758="",7,D758)*2 + IF(E758&gt;0, 1, 0))),","),"")</f>
        <v/>
      </c>
      <c r="X758" s="21" t="str">
        <f>IF(J758&gt;0,CONCATENATE("0x",(DEC2HEX(IF(I758&lt;&gt;"",VLOOKUP(I758,Notes!$A$2:$B$37,2,FALSE)*1024,0) + J758*16 + IF(K758="",7,K758)*2 + IF(L758&gt;0, 1, 0))),","),"")</f>
        <v/>
      </c>
      <c r="Y758" s="21" t="str">
        <f>IF(Q758&gt;0,CONCATENATE("0x",(DEC2HEX(IF(P758&lt;&gt;"",VLOOKUP(P758,Notes!$A$2:$B$37,2,FALSE)*1024,0) + Q758*16 + IF(R758="",7,R758)*2 + IF(S758&gt;0, 1, 0))),","),"")</f>
        <v/>
      </c>
    </row>
    <row r="759" spans="2:25" x14ac:dyDescent="0.25">
      <c r="F759" s="18">
        <f t="shared" si="66"/>
        <v>0</v>
      </c>
      <c r="G759" s="1" t="str">
        <f t="shared" si="69"/>
        <v/>
      </c>
      <c r="M759" s="18">
        <f t="shared" si="67"/>
        <v>0</v>
      </c>
      <c r="N759" s="1" t="str">
        <f t="shared" si="70"/>
        <v/>
      </c>
      <c r="T759" s="18">
        <f t="shared" si="68"/>
        <v>0</v>
      </c>
      <c r="U759" s="1" t="str">
        <f t="shared" si="71"/>
        <v/>
      </c>
      <c r="W759" s="21" t="str">
        <f>IF(C759&gt;0,CONCATENATE("0x",(DEC2HEX(IF(B759&lt;&gt;"",VLOOKUP(B759,Notes!$A$2:$B$37,2,FALSE)*1024,0) + C759*16 + IF(D759="",7,D759)*2 + IF(E759&gt;0, 1, 0))),","),"")</f>
        <v/>
      </c>
      <c r="X759" s="21" t="str">
        <f>IF(J759&gt;0,CONCATENATE("0x",(DEC2HEX(IF(I759&lt;&gt;"",VLOOKUP(I759,Notes!$A$2:$B$37,2,FALSE)*1024,0) + J759*16 + IF(K759="",7,K759)*2 + IF(L759&gt;0, 1, 0))),","),"")</f>
        <v/>
      </c>
      <c r="Y759" s="21" t="str">
        <f>IF(Q759&gt;0,CONCATENATE("0x",(DEC2HEX(IF(P759&lt;&gt;"",VLOOKUP(P759,Notes!$A$2:$B$37,2,FALSE)*1024,0) + Q759*16 + IF(R759="",7,R759)*2 + IF(S759&gt;0, 1, 0))),","),"")</f>
        <v/>
      </c>
    </row>
    <row r="760" spans="2:25" x14ac:dyDescent="0.25">
      <c r="F760" s="18">
        <f t="shared" si="66"/>
        <v>0</v>
      </c>
      <c r="G760" s="1" t="str">
        <f t="shared" si="69"/>
        <v/>
      </c>
      <c r="M760" s="18">
        <f t="shared" si="67"/>
        <v>0</v>
      </c>
      <c r="N760" s="1" t="str">
        <f t="shared" si="70"/>
        <v/>
      </c>
      <c r="T760" s="18">
        <f t="shared" si="68"/>
        <v>0</v>
      </c>
      <c r="U760" s="1" t="str">
        <f t="shared" si="71"/>
        <v/>
      </c>
      <c r="W760" s="21" t="str">
        <f>IF(C760&gt;0,CONCATENATE("0x",(DEC2HEX(IF(B760&lt;&gt;"",VLOOKUP(B760,Notes!$A$2:$B$37,2,FALSE)*1024,0) + C760*16 + IF(D760="",7,D760)*2 + IF(E760&gt;0, 1, 0))),","),"")</f>
        <v/>
      </c>
      <c r="X760" s="21" t="str">
        <f>IF(J760&gt;0,CONCATENATE("0x",(DEC2HEX(IF(I760&lt;&gt;"",VLOOKUP(I760,Notes!$A$2:$B$37,2,FALSE)*1024,0) + J760*16 + IF(K760="",7,K760)*2 + IF(L760&gt;0, 1, 0))),","),"")</f>
        <v/>
      </c>
      <c r="Y760" s="21" t="str">
        <f>IF(Q760&gt;0,CONCATENATE("0x",(DEC2HEX(IF(P760&lt;&gt;"",VLOOKUP(P760,Notes!$A$2:$B$37,2,FALSE)*1024,0) + Q760*16 + IF(R760="",7,R760)*2 + IF(S760&gt;0, 1, 0))),","),"")</f>
        <v/>
      </c>
    </row>
    <row r="761" spans="2:25" x14ac:dyDescent="0.25">
      <c r="B761" s="12"/>
      <c r="C761" s="13"/>
      <c r="D761" s="13"/>
      <c r="E761" s="14"/>
      <c r="F761" s="18">
        <f t="shared" si="66"/>
        <v>0</v>
      </c>
      <c r="G761" s="1" t="str">
        <f t="shared" si="69"/>
        <v/>
      </c>
      <c r="I761" s="12"/>
      <c r="J761" s="13"/>
      <c r="K761" s="13"/>
      <c r="L761" s="14"/>
      <c r="M761" s="18">
        <f t="shared" si="67"/>
        <v>0</v>
      </c>
      <c r="N761" s="1" t="str">
        <f t="shared" si="70"/>
        <v/>
      </c>
      <c r="P761" s="12"/>
      <c r="Q761" s="13"/>
      <c r="R761" s="13"/>
      <c r="S761" s="14"/>
      <c r="T761" s="18">
        <f t="shared" si="68"/>
        <v>0</v>
      </c>
      <c r="U761" s="1" t="str">
        <f t="shared" si="71"/>
        <v/>
      </c>
      <c r="W761" s="21" t="str">
        <f>IF(C761&gt;0,CONCATENATE("0x",(DEC2HEX(IF(B761&lt;&gt;"",VLOOKUP(B761,Notes!$A$2:$B$37,2,FALSE)*1024,0) + C761*16 + IF(D761="",7,D761)*2 + IF(E761&gt;0, 1, 0))),","),"")</f>
        <v/>
      </c>
      <c r="X761" s="21" t="str">
        <f>IF(J761&gt;0,CONCATENATE("0x",(DEC2HEX(IF(I761&lt;&gt;"",VLOOKUP(I761,Notes!$A$2:$B$37,2,FALSE)*1024,0) + J761*16 + IF(K761="",7,K761)*2 + IF(L761&gt;0, 1, 0))),","),"")</f>
        <v/>
      </c>
      <c r="Y761" s="21" t="str">
        <f>IF(Q761&gt;0,CONCATENATE("0x",(DEC2HEX(IF(P761&lt;&gt;"",VLOOKUP(P761,Notes!$A$2:$B$37,2,FALSE)*1024,0) + Q761*16 + IF(R761="",7,R761)*2 + IF(S761&gt;0, 1, 0))),","),"")</f>
        <v/>
      </c>
    </row>
    <row r="762" spans="2:25" x14ac:dyDescent="0.25">
      <c r="F762" s="18">
        <f t="shared" si="66"/>
        <v>0</v>
      </c>
      <c r="G762" s="1" t="str">
        <f t="shared" si="69"/>
        <v/>
      </c>
      <c r="M762" s="18">
        <f t="shared" si="67"/>
        <v>0</v>
      </c>
      <c r="N762" s="1" t="str">
        <f t="shared" si="70"/>
        <v/>
      </c>
      <c r="T762" s="18">
        <f t="shared" si="68"/>
        <v>0</v>
      </c>
      <c r="U762" s="1" t="str">
        <f t="shared" si="71"/>
        <v/>
      </c>
      <c r="W762" s="21" t="str">
        <f>IF(C762&gt;0,CONCATENATE("0x",(DEC2HEX(IF(B762&lt;&gt;"",VLOOKUP(B762,Notes!$A$2:$B$37,2,FALSE)*1024,0) + C762*16 + IF(D762="",7,D762)*2 + IF(E762&gt;0, 1, 0))),","),"")</f>
        <v/>
      </c>
      <c r="X762" s="21" t="str">
        <f>IF(J762&gt;0,CONCATENATE("0x",(DEC2HEX(IF(I762&lt;&gt;"",VLOOKUP(I762,Notes!$A$2:$B$37,2,FALSE)*1024,0) + J762*16 + IF(K762="",7,K762)*2 + IF(L762&gt;0, 1, 0))),","),"")</f>
        <v/>
      </c>
      <c r="Y762" s="21" t="str">
        <f>IF(Q762&gt;0,CONCATENATE("0x",(DEC2HEX(IF(P762&lt;&gt;"",VLOOKUP(P762,Notes!$A$2:$B$37,2,FALSE)*1024,0) + Q762*16 + IF(R762="",7,R762)*2 + IF(S762&gt;0, 1, 0))),","),"")</f>
        <v/>
      </c>
    </row>
    <row r="763" spans="2:25" x14ac:dyDescent="0.25">
      <c r="F763" s="18">
        <f t="shared" si="66"/>
        <v>0</v>
      </c>
      <c r="G763" s="1" t="str">
        <f t="shared" si="69"/>
        <v/>
      </c>
      <c r="M763" s="18">
        <f t="shared" si="67"/>
        <v>0</v>
      </c>
      <c r="N763" s="1" t="str">
        <f t="shared" si="70"/>
        <v/>
      </c>
      <c r="T763" s="18">
        <f t="shared" si="68"/>
        <v>0</v>
      </c>
      <c r="U763" s="1" t="str">
        <f t="shared" si="71"/>
        <v/>
      </c>
      <c r="W763" s="21" t="str">
        <f>IF(C763&gt;0,CONCATENATE("0x",(DEC2HEX(IF(B763&lt;&gt;"",VLOOKUP(B763,Notes!$A$2:$B$37,2,FALSE)*1024,0) + C763*16 + IF(D763="",7,D763)*2 + IF(E763&gt;0, 1, 0))),","),"")</f>
        <v/>
      </c>
      <c r="X763" s="21" t="str">
        <f>IF(J763&gt;0,CONCATENATE("0x",(DEC2HEX(IF(I763&lt;&gt;"",VLOOKUP(I763,Notes!$A$2:$B$37,2,FALSE)*1024,0) + J763*16 + IF(K763="",7,K763)*2 + IF(L763&gt;0, 1, 0))),","),"")</f>
        <v/>
      </c>
      <c r="Y763" s="21" t="str">
        <f>IF(Q763&gt;0,CONCATENATE("0x",(DEC2HEX(IF(P763&lt;&gt;"",VLOOKUP(P763,Notes!$A$2:$B$37,2,FALSE)*1024,0) + Q763*16 + IF(R763="",7,R763)*2 + IF(S763&gt;0, 1, 0))),","),"")</f>
        <v/>
      </c>
    </row>
    <row r="764" spans="2:25" x14ac:dyDescent="0.25">
      <c r="F764" s="18">
        <f t="shared" si="66"/>
        <v>0</v>
      </c>
      <c r="G764" s="1" t="str">
        <f t="shared" si="69"/>
        <v/>
      </c>
      <c r="M764" s="18">
        <f t="shared" si="67"/>
        <v>0</v>
      </c>
      <c r="N764" s="1" t="str">
        <f t="shared" si="70"/>
        <v/>
      </c>
      <c r="T764" s="18">
        <f t="shared" si="68"/>
        <v>0</v>
      </c>
      <c r="U764" s="1" t="str">
        <f t="shared" si="71"/>
        <v/>
      </c>
      <c r="W764" s="21" t="str">
        <f>IF(C764&gt;0,CONCATENATE("0x",(DEC2HEX(IF(B764&lt;&gt;"",VLOOKUP(B764,Notes!$A$2:$B$37,2,FALSE)*1024,0) + C764*16 + IF(D764="",7,D764)*2 + IF(E764&gt;0, 1, 0))),","),"")</f>
        <v/>
      </c>
      <c r="X764" s="21" t="str">
        <f>IF(J764&gt;0,CONCATENATE("0x",(DEC2HEX(IF(I764&lt;&gt;"",VLOOKUP(I764,Notes!$A$2:$B$37,2,FALSE)*1024,0) + J764*16 + IF(K764="",7,K764)*2 + IF(L764&gt;0, 1, 0))),","),"")</f>
        <v/>
      </c>
      <c r="Y764" s="21" t="str">
        <f>IF(Q764&gt;0,CONCATENATE("0x",(DEC2HEX(IF(P764&lt;&gt;"",VLOOKUP(P764,Notes!$A$2:$B$37,2,FALSE)*1024,0) + Q764*16 + IF(R764="",7,R764)*2 + IF(S764&gt;0, 1, 0))),","),"")</f>
        <v/>
      </c>
    </row>
    <row r="765" spans="2:25" x14ac:dyDescent="0.25">
      <c r="F765" s="18">
        <f t="shared" si="66"/>
        <v>0</v>
      </c>
      <c r="G765" s="1" t="str">
        <f t="shared" si="69"/>
        <v/>
      </c>
      <c r="M765" s="18">
        <f t="shared" si="67"/>
        <v>0</v>
      </c>
      <c r="N765" s="1" t="str">
        <f t="shared" si="70"/>
        <v/>
      </c>
      <c r="T765" s="18">
        <f t="shared" si="68"/>
        <v>0</v>
      </c>
      <c r="U765" s="1" t="str">
        <f t="shared" si="71"/>
        <v/>
      </c>
      <c r="W765" s="21" t="str">
        <f>IF(C765&gt;0,CONCATENATE("0x",(DEC2HEX(IF(B765&lt;&gt;"",VLOOKUP(B765,Notes!$A$2:$B$37,2,FALSE)*1024,0) + C765*16 + IF(D765="",7,D765)*2 + IF(E765&gt;0, 1, 0))),","),"")</f>
        <v/>
      </c>
      <c r="X765" s="21" t="str">
        <f>IF(J765&gt;0,CONCATENATE("0x",(DEC2HEX(IF(I765&lt;&gt;"",VLOOKUP(I765,Notes!$A$2:$B$37,2,FALSE)*1024,0) + J765*16 + IF(K765="",7,K765)*2 + IF(L765&gt;0, 1, 0))),","),"")</f>
        <v/>
      </c>
      <c r="Y765" s="21" t="str">
        <f>IF(Q765&gt;0,CONCATENATE("0x",(DEC2HEX(IF(P765&lt;&gt;"",VLOOKUP(P765,Notes!$A$2:$B$37,2,FALSE)*1024,0) + Q765*16 + IF(R765="",7,R765)*2 + IF(S765&gt;0, 1, 0))),","),"")</f>
        <v/>
      </c>
    </row>
    <row r="766" spans="2:25" x14ac:dyDescent="0.25">
      <c r="F766" s="18">
        <f t="shared" si="66"/>
        <v>0</v>
      </c>
      <c r="G766" s="1" t="str">
        <f t="shared" si="69"/>
        <v/>
      </c>
      <c r="M766" s="18">
        <f t="shared" si="67"/>
        <v>0</v>
      </c>
      <c r="N766" s="1" t="str">
        <f t="shared" si="70"/>
        <v/>
      </c>
      <c r="T766" s="18">
        <f t="shared" si="68"/>
        <v>0</v>
      </c>
      <c r="U766" s="1" t="str">
        <f t="shared" si="71"/>
        <v/>
      </c>
      <c r="W766" s="21" t="str">
        <f>IF(C766&gt;0,CONCATENATE("0x",(DEC2HEX(IF(B766&lt;&gt;"",VLOOKUP(B766,Notes!$A$2:$B$37,2,FALSE)*1024,0) + C766*16 + IF(D766="",7,D766)*2 + IF(E766&gt;0, 1, 0))),","),"")</f>
        <v/>
      </c>
      <c r="X766" s="21" t="str">
        <f>IF(J766&gt;0,CONCATENATE("0x",(DEC2HEX(IF(I766&lt;&gt;"",VLOOKUP(I766,Notes!$A$2:$B$37,2,FALSE)*1024,0) + J766*16 + IF(K766="",7,K766)*2 + IF(L766&gt;0, 1, 0))),","),"")</f>
        <v/>
      </c>
      <c r="Y766" s="21" t="str">
        <f>IF(Q766&gt;0,CONCATENATE("0x",(DEC2HEX(IF(P766&lt;&gt;"",VLOOKUP(P766,Notes!$A$2:$B$37,2,FALSE)*1024,0) + Q766*16 + IF(R766="",7,R766)*2 + IF(S766&gt;0, 1, 0))),","),"")</f>
        <v/>
      </c>
    </row>
    <row r="767" spans="2:25" x14ac:dyDescent="0.25">
      <c r="F767" s="18">
        <f t="shared" si="66"/>
        <v>0</v>
      </c>
      <c r="G767" s="1" t="str">
        <f t="shared" si="69"/>
        <v/>
      </c>
      <c r="M767" s="18">
        <f t="shared" si="67"/>
        <v>0</v>
      </c>
      <c r="N767" s="1" t="str">
        <f t="shared" si="70"/>
        <v/>
      </c>
      <c r="T767" s="18">
        <f t="shared" si="68"/>
        <v>0</v>
      </c>
      <c r="U767" s="1" t="str">
        <f t="shared" si="71"/>
        <v/>
      </c>
      <c r="W767" s="21" t="str">
        <f>IF(C767&gt;0,CONCATENATE("0x",(DEC2HEX(IF(B767&lt;&gt;"",VLOOKUP(B767,Notes!$A$2:$B$37,2,FALSE)*1024,0) + C767*16 + IF(D767="",7,D767)*2 + IF(E767&gt;0, 1, 0))),","),"")</f>
        <v/>
      </c>
      <c r="X767" s="21" t="str">
        <f>IF(J767&gt;0,CONCATENATE("0x",(DEC2HEX(IF(I767&lt;&gt;"",VLOOKUP(I767,Notes!$A$2:$B$37,2,FALSE)*1024,0) + J767*16 + IF(K767="",7,K767)*2 + IF(L767&gt;0, 1, 0))),","),"")</f>
        <v/>
      </c>
      <c r="Y767" s="21" t="str">
        <f>IF(Q767&gt;0,CONCATENATE("0x",(DEC2HEX(IF(P767&lt;&gt;"",VLOOKUP(P767,Notes!$A$2:$B$37,2,FALSE)*1024,0) + Q767*16 + IF(R767="",7,R767)*2 + IF(S767&gt;0, 1, 0))),","),"")</f>
        <v/>
      </c>
    </row>
    <row r="768" spans="2:25" x14ac:dyDescent="0.25">
      <c r="F768" s="18">
        <f t="shared" si="66"/>
        <v>0</v>
      </c>
      <c r="G768" s="1" t="str">
        <f t="shared" si="69"/>
        <v/>
      </c>
      <c r="M768" s="18">
        <f t="shared" si="67"/>
        <v>0</v>
      </c>
      <c r="N768" s="1" t="str">
        <f t="shared" si="70"/>
        <v/>
      </c>
      <c r="T768" s="18">
        <f t="shared" si="68"/>
        <v>0</v>
      </c>
      <c r="U768" s="1" t="str">
        <f t="shared" si="71"/>
        <v/>
      </c>
      <c r="W768" s="21" t="str">
        <f>IF(C768&gt;0,CONCATENATE("0x",(DEC2HEX(IF(B768&lt;&gt;"",VLOOKUP(B768,Notes!$A$2:$B$37,2,FALSE)*1024,0) + C768*16 + IF(D768="",7,D768)*2 + IF(E768&gt;0, 1, 0))),","),"")</f>
        <v/>
      </c>
      <c r="X768" s="21" t="str">
        <f>IF(J768&gt;0,CONCATENATE("0x",(DEC2HEX(IF(I768&lt;&gt;"",VLOOKUP(I768,Notes!$A$2:$B$37,2,FALSE)*1024,0) + J768*16 + IF(K768="",7,K768)*2 + IF(L768&gt;0, 1, 0))),","),"")</f>
        <v/>
      </c>
      <c r="Y768" s="21" t="str">
        <f>IF(Q768&gt;0,CONCATENATE("0x",(DEC2HEX(IF(P768&lt;&gt;"",VLOOKUP(P768,Notes!$A$2:$B$37,2,FALSE)*1024,0) + Q768*16 + IF(R768="",7,R768)*2 + IF(S768&gt;0, 1, 0))),","),"")</f>
        <v/>
      </c>
    </row>
    <row r="769" spans="1:25" ht="16.5" thickBot="1" x14ac:dyDescent="0.3">
      <c r="B769" s="15"/>
      <c r="C769" s="16"/>
      <c r="D769" s="16"/>
      <c r="E769" s="17"/>
      <c r="F769" s="18">
        <f t="shared" si="66"/>
        <v>0</v>
      </c>
      <c r="G769" s="1" t="str">
        <f t="shared" si="69"/>
        <v/>
      </c>
      <c r="I769" s="15"/>
      <c r="J769" s="16"/>
      <c r="K769" s="16"/>
      <c r="L769" s="17"/>
      <c r="M769" s="18">
        <f t="shared" si="67"/>
        <v>0</v>
      </c>
      <c r="N769" s="1" t="str">
        <f t="shared" si="70"/>
        <v/>
      </c>
      <c r="P769" s="15"/>
      <c r="Q769" s="16"/>
      <c r="R769" s="16"/>
      <c r="S769" s="17"/>
      <c r="T769" s="18">
        <f t="shared" si="68"/>
        <v>0</v>
      </c>
      <c r="U769" s="1" t="str">
        <f t="shared" si="71"/>
        <v/>
      </c>
      <c r="W769" s="21" t="str">
        <f>IF(C769&gt;0,CONCATENATE("0x",(DEC2HEX(IF(B769&lt;&gt;"",VLOOKUP(B769,Notes!$A$2:$B$37,2,FALSE)*1024,0) + C769*16 + IF(D769="",7,D769)*2 + IF(E769&gt;0, 1, 0))),","),"")</f>
        <v/>
      </c>
      <c r="X769" s="21" t="str">
        <f>IF(J769&gt;0,CONCATENATE("0x",(DEC2HEX(IF(I769&lt;&gt;"",VLOOKUP(I769,Notes!$A$2:$B$37,2,FALSE)*1024,0) + J769*16 + IF(K769="",7,K769)*2 + IF(L769&gt;0, 1, 0))),","),"")</f>
        <v/>
      </c>
      <c r="Y769" s="21" t="str">
        <f>IF(Q769&gt;0,CONCATENATE("0x",(DEC2HEX(IF(P769&lt;&gt;"",VLOOKUP(P769,Notes!$A$2:$B$37,2,FALSE)*1024,0) + Q769*16 + IF(R769="",7,R769)*2 + IF(S769&gt;0, 1, 0))),","),"")</f>
        <v/>
      </c>
    </row>
    <row r="770" spans="1:25" ht="16.5" thickTop="1" x14ac:dyDescent="0.25">
      <c r="A770" s="1">
        <v>25</v>
      </c>
      <c r="F770" s="18">
        <f t="shared" si="66"/>
        <v>0</v>
      </c>
      <c r="G770" s="1" t="str">
        <f t="shared" si="69"/>
        <v/>
      </c>
      <c r="M770" s="18">
        <f t="shared" si="67"/>
        <v>0</v>
      </c>
      <c r="N770" s="1" t="str">
        <f t="shared" si="70"/>
        <v/>
      </c>
      <c r="T770" s="18">
        <f t="shared" si="68"/>
        <v>0</v>
      </c>
      <c r="U770" s="1" t="str">
        <f t="shared" si="71"/>
        <v/>
      </c>
      <c r="W770" s="21" t="str">
        <f>IF(C770&gt;0,CONCATENATE("0x",(DEC2HEX(IF(B770&lt;&gt;"",VLOOKUP(B770,Notes!$A$2:$B$37,2,FALSE)*1024,0) + C770*16 + IF(D770="",7,D770)*2 + IF(E770&gt;0, 1, 0))),","),"")</f>
        <v/>
      </c>
      <c r="X770" s="21" t="str">
        <f>IF(J770&gt;0,CONCATENATE("0x",(DEC2HEX(IF(I770&lt;&gt;"",VLOOKUP(I770,Notes!$A$2:$B$37,2,FALSE)*1024,0) + J770*16 + IF(K770="",7,K770)*2 + IF(L770&gt;0, 1, 0))),","),"")</f>
        <v/>
      </c>
      <c r="Y770" s="21" t="str">
        <f>IF(Q770&gt;0,CONCATENATE("0x",(DEC2HEX(IF(P770&lt;&gt;"",VLOOKUP(P770,Notes!$A$2:$B$37,2,FALSE)*1024,0) + Q770*16 + IF(R770="",7,R770)*2 + IF(S770&gt;0, 1, 0))),","),"")</f>
        <v/>
      </c>
    </row>
    <row r="771" spans="1:25" x14ac:dyDescent="0.25">
      <c r="F771" s="18">
        <f t="shared" ref="F771:F834" si="72">IF(C771&gt;0, C771, MAX(F770-1,0))</f>
        <v>0</v>
      </c>
      <c r="G771" s="1" t="str">
        <f t="shared" si="69"/>
        <v/>
      </c>
      <c r="M771" s="18">
        <f t="shared" ref="M771:M834" si="73">IF(J771&gt;0, J771, MAX(M770-1,0))</f>
        <v>0</v>
      </c>
      <c r="N771" s="1" t="str">
        <f t="shared" si="70"/>
        <v/>
      </c>
      <c r="T771" s="18">
        <f t="shared" ref="T771:T834" si="74">IF(Q771&gt;0, Q771, MAX(T770-1,0))</f>
        <v>0</v>
      </c>
      <c r="U771" s="1" t="str">
        <f t="shared" si="71"/>
        <v/>
      </c>
      <c r="W771" s="21" t="str">
        <f>IF(C771&gt;0,CONCATENATE("0x",(DEC2HEX(IF(B771&lt;&gt;"",VLOOKUP(B771,Notes!$A$2:$B$37,2,FALSE)*1024,0) + C771*16 + IF(D771="",7,D771)*2 + IF(E771&gt;0, 1, 0))),","),"")</f>
        <v/>
      </c>
      <c r="X771" s="21" t="str">
        <f>IF(J771&gt;0,CONCATENATE("0x",(DEC2HEX(IF(I771&lt;&gt;"",VLOOKUP(I771,Notes!$A$2:$B$37,2,FALSE)*1024,0) + J771*16 + IF(K771="",7,K771)*2 + IF(L771&gt;0, 1, 0))),","),"")</f>
        <v/>
      </c>
      <c r="Y771" s="21" t="str">
        <f>IF(Q771&gt;0,CONCATENATE("0x",(DEC2HEX(IF(P771&lt;&gt;"",VLOOKUP(P771,Notes!$A$2:$B$37,2,FALSE)*1024,0) + Q771*16 + IF(R771="",7,R771)*2 + IF(S771&gt;0, 1, 0))),","),"")</f>
        <v/>
      </c>
    </row>
    <row r="772" spans="1:25" x14ac:dyDescent="0.25">
      <c r="F772" s="18">
        <f t="shared" si="72"/>
        <v>0</v>
      </c>
      <c r="G772" s="1" t="str">
        <f t="shared" ref="G772:G835" si="75">IF(AND(F771&gt;1,C772&gt;0), "OVERLAPPING","")</f>
        <v/>
      </c>
      <c r="M772" s="18">
        <f t="shared" si="73"/>
        <v>0</v>
      </c>
      <c r="N772" s="1" t="str">
        <f t="shared" ref="N772:N835" si="76">IF(AND(M771&gt;1,J772&gt;0), "OVERLAPPING","")</f>
        <v/>
      </c>
      <c r="T772" s="18">
        <f t="shared" si="74"/>
        <v>0</v>
      </c>
      <c r="U772" s="1" t="str">
        <f t="shared" ref="U772:U835" si="77">IF(AND(T771&gt;1,Q772&gt;0), "OVERLAPPING","")</f>
        <v/>
      </c>
      <c r="W772" s="21" t="str">
        <f>IF(C772&gt;0,CONCATENATE("0x",(DEC2HEX(IF(B772&lt;&gt;"",VLOOKUP(B772,Notes!$A$2:$B$37,2,FALSE)*1024,0) + C772*16 + IF(D772="",7,D772)*2 + IF(E772&gt;0, 1, 0))),","),"")</f>
        <v/>
      </c>
      <c r="X772" s="21" t="str">
        <f>IF(J772&gt;0,CONCATENATE("0x",(DEC2HEX(IF(I772&lt;&gt;"",VLOOKUP(I772,Notes!$A$2:$B$37,2,FALSE)*1024,0) + J772*16 + IF(K772="",7,K772)*2 + IF(L772&gt;0, 1, 0))),","),"")</f>
        <v/>
      </c>
      <c r="Y772" s="21" t="str">
        <f>IF(Q772&gt;0,CONCATENATE("0x",(DEC2HEX(IF(P772&lt;&gt;"",VLOOKUP(P772,Notes!$A$2:$B$37,2,FALSE)*1024,0) + Q772*16 + IF(R772="",7,R772)*2 + IF(S772&gt;0, 1, 0))),","),"")</f>
        <v/>
      </c>
    </row>
    <row r="773" spans="1:25" x14ac:dyDescent="0.25">
      <c r="F773" s="18">
        <f t="shared" si="72"/>
        <v>0</v>
      </c>
      <c r="G773" s="1" t="str">
        <f t="shared" si="75"/>
        <v/>
      </c>
      <c r="M773" s="18">
        <f t="shared" si="73"/>
        <v>0</v>
      </c>
      <c r="N773" s="1" t="str">
        <f t="shared" si="76"/>
        <v/>
      </c>
      <c r="T773" s="18">
        <f t="shared" si="74"/>
        <v>0</v>
      </c>
      <c r="U773" s="1" t="str">
        <f t="shared" si="77"/>
        <v/>
      </c>
      <c r="W773" s="21" t="str">
        <f>IF(C773&gt;0,CONCATENATE("0x",(DEC2HEX(IF(B773&lt;&gt;"",VLOOKUP(B773,Notes!$A$2:$B$37,2,FALSE)*1024,0) + C773*16 + IF(D773="",7,D773)*2 + IF(E773&gt;0, 1, 0))),","),"")</f>
        <v/>
      </c>
      <c r="X773" s="21" t="str">
        <f>IF(J773&gt;0,CONCATENATE("0x",(DEC2HEX(IF(I773&lt;&gt;"",VLOOKUP(I773,Notes!$A$2:$B$37,2,FALSE)*1024,0) + J773*16 + IF(K773="",7,K773)*2 + IF(L773&gt;0, 1, 0))),","),"")</f>
        <v/>
      </c>
      <c r="Y773" s="21" t="str">
        <f>IF(Q773&gt;0,CONCATENATE("0x",(DEC2HEX(IF(P773&lt;&gt;"",VLOOKUP(P773,Notes!$A$2:$B$37,2,FALSE)*1024,0) + Q773*16 + IF(R773="",7,R773)*2 + IF(S773&gt;0, 1, 0))),","),"")</f>
        <v/>
      </c>
    </row>
    <row r="774" spans="1:25" x14ac:dyDescent="0.25">
      <c r="F774" s="18">
        <f t="shared" si="72"/>
        <v>0</v>
      </c>
      <c r="G774" s="1" t="str">
        <f t="shared" si="75"/>
        <v/>
      </c>
      <c r="M774" s="18">
        <f t="shared" si="73"/>
        <v>0</v>
      </c>
      <c r="N774" s="1" t="str">
        <f t="shared" si="76"/>
        <v/>
      </c>
      <c r="T774" s="18">
        <f t="shared" si="74"/>
        <v>0</v>
      </c>
      <c r="U774" s="1" t="str">
        <f t="shared" si="77"/>
        <v/>
      </c>
      <c r="W774" s="21" t="str">
        <f>IF(C774&gt;0,CONCATENATE("0x",(DEC2HEX(IF(B774&lt;&gt;"",VLOOKUP(B774,Notes!$A$2:$B$37,2,FALSE)*1024,0) + C774*16 + IF(D774="",7,D774)*2 + IF(E774&gt;0, 1, 0))),","),"")</f>
        <v/>
      </c>
      <c r="X774" s="21" t="str">
        <f>IF(J774&gt;0,CONCATENATE("0x",(DEC2HEX(IF(I774&lt;&gt;"",VLOOKUP(I774,Notes!$A$2:$B$37,2,FALSE)*1024,0) + J774*16 + IF(K774="",7,K774)*2 + IF(L774&gt;0, 1, 0))),","),"")</f>
        <v/>
      </c>
      <c r="Y774" s="21" t="str">
        <f>IF(Q774&gt;0,CONCATENATE("0x",(DEC2HEX(IF(P774&lt;&gt;"",VLOOKUP(P774,Notes!$A$2:$B$37,2,FALSE)*1024,0) + Q774*16 + IF(R774="",7,R774)*2 + IF(S774&gt;0, 1, 0))),","),"")</f>
        <v/>
      </c>
    </row>
    <row r="775" spans="1:25" x14ac:dyDescent="0.25">
      <c r="F775" s="18">
        <f t="shared" si="72"/>
        <v>0</v>
      </c>
      <c r="G775" s="1" t="str">
        <f t="shared" si="75"/>
        <v/>
      </c>
      <c r="M775" s="18">
        <f t="shared" si="73"/>
        <v>0</v>
      </c>
      <c r="N775" s="1" t="str">
        <f t="shared" si="76"/>
        <v/>
      </c>
      <c r="T775" s="18">
        <f t="shared" si="74"/>
        <v>0</v>
      </c>
      <c r="U775" s="1" t="str">
        <f t="shared" si="77"/>
        <v/>
      </c>
      <c r="W775" s="21" t="str">
        <f>IF(C775&gt;0,CONCATENATE("0x",(DEC2HEX(IF(B775&lt;&gt;"",VLOOKUP(B775,Notes!$A$2:$B$37,2,FALSE)*1024,0) + C775*16 + IF(D775="",7,D775)*2 + IF(E775&gt;0, 1, 0))),","),"")</f>
        <v/>
      </c>
      <c r="X775" s="21" t="str">
        <f>IF(J775&gt;0,CONCATENATE("0x",(DEC2HEX(IF(I775&lt;&gt;"",VLOOKUP(I775,Notes!$A$2:$B$37,2,FALSE)*1024,0) + J775*16 + IF(K775="",7,K775)*2 + IF(L775&gt;0, 1, 0))),","),"")</f>
        <v/>
      </c>
      <c r="Y775" s="21" t="str">
        <f>IF(Q775&gt;0,CONCATENATE("0x",(DEC2HEX(IF(P775&lt;&gt;"",VLOOKUP(P775,Notes!$A$2:$B$37,2,FALSE)*1024,0) + Q775*16 + IF(R775="",7,R775)*2 + IF(S775&gt;0, 1, 0))),","),"")</f>
        <v/>
      </c>
    </row>
    <row r="776" spans="1:25" x14ac:dyDescent="0.25">
      <c r="F776" s="18">
        <f t="shared" si="72"/>
        <v>0</v>
      </c>
      <c r="G776" s="1" t="str">
        <f t="shared" si="75"/>
        <v/>
      </c>
      <c r="M776" s="18">
        <f t="shared" si="73"/>
        <v>0</v>
      </c>
      <c r="N776" s="1" t="str">
        <f t="shared" si="76"/>
        <v/>
      </c>
      <c r="T776" s="18">
        <f t="shared" si="74"/>
        <v>0</v>
      </c>
      <c r="U776" s="1" t="str">
        <f t="shared" si="77"/>
        <v/>
      </c>
      <c r="W776" s="21" t="str">
        <f>IF(C776&gt;0,CONCATENATE("0x",(DEC2HEX(IF(B776&lt;&gt;"",VLOOKUP(B776,Notes!$A$2:$B$37,2,FALSE)*1024,0) + C776*16 + IF(D776="",7,D776)*2 + IF(E776&gt;0, 1, 0))),","),"")</f>
        <v/>
      </c>
      <c r="X776" s="21" t="str">
        <f>IF(J776&gt;0,CONCATENATE("0x",(DEC2HEX(IF(I776&lt;&gt;"",VLOOKUP(I776,Notes!$A$2:$B$37,2,FALSE)*1024,0) + J776*16 + IF(K776="",7,K776)*2 + IF(L776&gt;0, 1, 0))),","),"")</f>
        <v/>
      </c>
      <c r="Y776" s="21" t="str">
        <f>IF(Q776&gt;0,CONCATENATE("0x",(DEC2HEX(IF(P776&lt;&gt;"",VLOOKUP(P776,Notes!$A$2:$B$37,2,FALSE)*1024,0) + Q776*16 + IF(R776="",7,R776)*2 + IF(S776&gt;0, 1, 0))),","),"")</f>
        <v/>
      </c>
    </row>
    <row r="777" spans="1:25" x14ac:dyDescent="0.25">
      <c r="B777" s="12"/>
      <c r="C777" s="13"/>
      <c r="D777" s="13"/>
      <c r="E777" s="14"/>
      <c r="F777" s="18">
        <f t="shared" si="72"/>
        <v>0</v>
      </c>
      <c r="G777" s="1" t="str">
        <f t="shared" si="75"/>
        <v/>
      </c>
      <c r="I777" s="12"/>
      <c r="J777" s="13"/>
      <c r="K777" s="13"/>
      <c r="L777" s="14"/>
      <c r="M777" s="18">
        <f t="shared" si="73"/>
        <v>0</v>
      </c>
      <c r="N777" s="1" t="str">
        <f t="shared" si="76"/>
        <v/>
      </c>
      <c r="P777" s="12"/>
      <c r="Q777" s="13"/>
      <c r="R777" s="13"/>
      <c r="S777" s="14"/>
      <c r="T777" s="18">
        <f t="shared" si="74"/>
        <v>0</v>
      </c>
      <c r="U777" s="1" t="str">
        <f t="shared" si="77"/>
        <v/>
      </c>
      <c r="W777" s="21" t="str">
        <f>IF(C777&gt;0,CONCATENATE("0x",(DEC2HEX(IF(B777&lt;&gt;"",VLOOKUP(B777,Notes!$A$2:$B$37,2,FALSE)*1024,0) + C777*16 + IF(D777="",7,D777)*2 + IF(E777&gt;0, 1, 0))),","),"")</f>
        <v/>
      </c>
      <c r="X777" s="21" t="str">
        <f>IF(J777&gt;0,CONCATENATE("0x",(DEC2HEX(IF(I777&lt;&gt;"",VLOOKUP(I777,Notes!$A$2:$B$37,2,FALSE)*1024,0) + J777*16 + IF(K777="",7,K777)*2 + IF(L777&gt;0, 1, 0))),","),"")</f>
        <v/>
      </c>
      <c r="Y777" s="21" t="str">
        <f>IF(Q777&gt;0,CONCATENATE("0x",(DEC2HEX(IF(P777&lt;&gt;"",VLOOKUP(P777,Notes!$A$2:$B$37,2,FALSE)*1024,0) + Q777*16 + IF(R777="",7,R777)*2 + IF(S777&gt;0, 1, 0))),","),"")</f>
        <v/>
      </c>
    </row>
    <row r="778" spans="1:25" x14ac:dyDescent="0.25">
      <c r="F778" s="18">
        <f t="shared" si="72"/>
        <v>0</v>
      </c>
      <c r="G778" s="1" t="str">
        <f t="shared" si="75"/>
        <v/>
      </c>
      <c r="M778" s="18">
        <f t="shared" si="73"/>
        <v>0</v>
      </c>
      <c r="N778" s="1" t="str">
        <f t="shared" si="76"/>
        <v/>
      </c>
      <c r="T778" s="18">
        <f t="shared" si="74"/>
        <v>0</v>
      </c>
      <c r="U778" s="1" t="str">
        <f t="shared" si="77"/>
        <v/>
      </c>
      <c r="W778" s="21" t="str">
        <f>IF(C778&gt;0,CONCATENATE("0x",(DEC2HEX(IF(B778&lt;&gt;"",VLOOKUP(B778,Notes!$A$2:$B$37,2,FALSE)*1024,0) + C778*16 + IF(D778="",7,D778)*2 + IF(E778&gt;0, 1, 0))),","),"")</f>
        <v/>
      </c>
      <c r="X778" s="21" t="str">
        <f>IF(J778&gt;0,CONCATENATE("0x",(DEC2HEX(IF(I778&lt;&gt;"",VLOOKUP(I778,Notes!$A$2:$B$37,2,FALSE)*1024,0) + J778*16 + IF(K778="",7,K778)*2 + IF(L778&gt;0, 1, 0))),","),"")</f>
        <v/>
      </c>
      <c r="Y778" s="21" t="str">
        <f>IF(Q778&gt;0,CONCATENATE("0x",(DEC2HEX(IF(P778&lt;&gt;"",VLOOKUP(P778,Notes!$A$2:$B$37,2,FALSE)*1024,0) + Q778*16 + IF(R778="",7,R778)*2 + IF(S778&gt;0, 1, 0))),","),"")</f>
        <v/>
      </c>
    </row>
    <row r="779" spans="1:25" x14ac:dyDescent="0.25">
      <c r="F779" s="18">
        <f t="shared" si="72"/>
        <v>0</v>
      </c>
      <c r="G779" s="1" t="str">
        <f t="shared" si="75"/>
        <v/>
      </c>
      <c r="M779" s="18">
        <f t="shared" si="73"/>
        <v>0</v>
      </c>
      <c r="N779" s="1" t="str">
        <f t="shared" si="76"/>
        <v/>
      </c>
      <c r="T779" s="18">
        <f t="shared" si="74"/>
        <v>0</v>
      </c>
      <c r="U779" s="1" t="str">
        <f t="shared" si="77"/>
        <v/>
      </c>
      <c r="W779" s="21" t="str">
        <f>IF(C779&gt;0,CONCATENATE("0x",(DEC2HEX(IF(B779&lt;&gt;"",VLOOKUP(B779,Notes!$A$2:$B$37,2,FALSE)*1024,0) + C779*16 + IF(D779="",7,D779)*2 + IF(E779&gt;0, 1, 0))),","),"")</f>
        <v/>
      </c>
      <c r="X779" s="21" t="str">
        <f>IF(J779&gt;0,CONCATENATE("0x",(DEC2HEX(IF(I779&lt;&gt;"",VLOOKUP(I779,Notes!$A$2:$B$37,2,FALSE)*1024,0) + J779*16 + IF(K779="",7,K779)*2 + IF(L779&gt;0, 1, 0))),","),"")</f>
        <v/>
      </c>
      <c r="Y779" s="21" t="str">
        <f>IF(Q779&gt;0,CONCATENATE("0x",(DEC2HEX(IF(P779&lt;&gt;"",VLOOKUP(P779,Notes!$A$2:$B$37,2,FALSE)*1024,0) + Q779*16 + IF(R779="",7,R779)*2 + IF(S779&gt;0, 1, 0))),","),"")</f>
        <v/>
      </c>
    </row>
    <row r="780" spans="1:25" x14ac:dyDescent="0.25">
      <c r="F780" s="18">
        <f t="shared" si="72"/>
        <v>0</v>
      </c>
      <c r="G780" s="1" t="str">
        <f t="shared" si="75"/>
        <v/>
      </c>
      <c r="M780" s="18">
        <f t="shared" si="73"/>
        <v>0</v>
      </c>
      <c r="N780" s="1" t="str">
        <f t="shared" si="76"/>
        <v/>
      </c>
      <c r="T780" s="18">
        <f t="shared" si="74"/>
        <v>0</v>
      </c>
      <c r="U780" s="1" t="str">
        <f t="shared" si="77"/>
        <v/>
      </c>
      <c r="W780" s="21" t="str">
        <f>IF(C780&gt;0,CONCATENATE("0x",(DEC2HEX(IF(B780&lt;&gt;"",VLOOKUP(B780,Notes!$A$2:$B$37,2,FALSE)*1024,0) + C780*16 + IF(D780="",7,D780)*2 + IF(E780&gt;0, 1, 0))),","),"")</f>
        <v/>
      </c>
      <c r="X780" s="21" t="str">
        <f>IF(J780&gt;0,CONCATENATE("0x",(DEC2HEX(IF(I780&lt;&gt;"",VLOOKUP(I780,Notes!$A$2:$B$37,2,FALSE)*1024,0) + J780*16 + IF(K780="",7,K780)*2 + IF(L780&gt;0, 1, 0))),","),"")</f>
        <v/>
      </c>
      <c r="Y780" s="21" t="str">
        <f>IF(Q780&gt;0,CONCATENATE("0x",(DEC2HEX(IF(P780&lt;&gt;"",VLOOKUP(P780,Notes!$A$2:$B$37,2,FALSE)*1024,0) + Q780*16 + IF(R780="",7,R780)*2 + IF(S780&gt;0, 1, 0))),","),"")</f>
        <v/>
      </c>
    </row>
    <row r="781" spans="1:25" x14ac:dyDescent="0.25">
      <c r="F781" s="18">
        <f t="shared" si="72"/>
        <v>0</v>
      </c>
      <c r="G781" s="1" t="str">
        <f t="shared" si="75"/>
        <v/>
      </c>
      <c r="M781" s="18">
        <f t="shared" si="73"/>
        <v>0</v>
      </c>
      <c r="N781" s="1" t="str">
        <f t="shared" si="76"/>
        <v/>
      </c>
      <c r="T781" s="18">
        <f t="shared" si="74"/>
        <v>0</v>
      </c>
      <c r="U781" s="1" t="str">
        <f t="shared" si="77"/>
        <v/>
      </c>
      <c r="W781" s="21" t="str">
        <f>IF(C781&gt;0,CONCATENATE("0x",(DEC2HEX(IF(B781&lt;&gt;"",VLOOKUP(B781,Notes!$A$2:$B$37,2,FALSE)*1024,0) + C781*16 + IF(D781="",7,D781)*2 + IF(E781&gt;0, 1, 0))),","),"")</f>
        <v/>
      </c>
      <c r="X781" s="21" t="str">
        <f>IF(J781&gt;0,CONCATENATE("0x",(DEC2HEX(IF(I781&lt;&gt;"",VLOOKUP(I781,Notes!$A$2:$B$37,2,FALSE)*1024,0) + J781*16 + IF(K781="",7,K781)*2 + IF(L781&gt;0, 1, 0))),","),"")</f>
        <v/>
      </c>
      <c r="Y781" s="21" t="str">
        <f>IF(Q781&gt;0,CONCATENATE("0x",(DEC2HEX(IF(P781&lt;&gt;"",VLOOKUP(P781,Notes!$A$2:$B$37,2,FALSE)*1024,0) + Q781*16 + IF(R781="",7,R781)*2 + IF(S781&gt;0, 1, 0))),","),"")</f>
        <v/>
      </c>
    </row>
    <row r="782" spans="1:25" x14ac:dyDescent="0.25">
      <c r="F782" s="18">
        <f t="shared" si="72"/>
        <v>0</v>
      </c>
      <c r="G782" s="1" t="str">
        <f t="shared" si="75"/>
        <v/>
      </c>
      <c r="M782" s="18">
        <f t="shared" si="73"/>
        <v>0</v>
      </c>
      <c r="N782" s="1" t="str">
        <f t="shared" si="76"/>
        <v/>
      </c>
      <c r="T782" s="18">
        <f t="shared" si="74"/>
        <v>0</v>
      </c>
      <c r="U782" s="1" t="str">
        <f t="shared" si="77"/>
        <v/>
      </c>
      <c r="W782" s="21" t="str">
        <f>IF(C782&gt;0,CONCATENATE("0x",(DEC2HEX(IF(B782&lt;&gt;"",VLOOKUP(B782,Notes!$A$2:$B$37,2,FALSE)*1024,0) + C782*16 + IF(D782="",7,D782)*2 + IF(E782&gt;0, 1, 0))),","),"")</f>
        <v/>
      </c>
      <c r="X782" s="21" t="str">
        <f>IF(J782&gt;0,CONCATENATE("0x",(DEC2HEX(IF(I782&lt;&gt;"",VLOOKUP(I782,Notes!$A$2:$B$37,2,FALSE)*1024,0) + J782*16 + IF(K782="",7,K782)*2 + IF(L782&gt;0, 1, 0))),","),"")</f>
        <v/>
      </c>
      <c r="Y782" s="21" t="str">
        <f>IF(Q782&gt;0,CONCATENATE("0x",(DEC2HEX(IF(P782&lt;&gt;"",VLOOKUP(P782,Notes!$A$2:$B$37,2,FALSE)*1024,0) + Q782*16 + IF(R782="",7,R782)*2 + IF(S782&gt;0, 1, 0))),","),"")</f>
        <v/>
      </c>
    </row>
    <row r="783" spans="1:25" x14ac:dyDescent="0.25">
      <c r="F783" s="18">
        <f t="shared" si="72"/>
        <v>0</v>
      </c>
      <c r="G783" s="1" t="str">
        <f t="shared" si="75"/>
        <v/>
      </c>
      <c r="M783" s="18">
        <f t="shared" si="73"/>
        <v>0</v>
      </c>
      <c r="N783" s="1" t="str">
        <f t="shared" si="76"/>
        <v/>
      </c>
      <c r="T783" s="18">
        <f t="shared" si="74"/>
        <v>0</v>
      </c>
      <c r="U783" s="1" t="str">
        <f t="shared" si="77"/>
        <v/>
      </c>
      <c r="W783" s="21" t="str">
        <f>IF(C783&gt;0,CONCATENATE("0x",(DEC2HEX(IF(B783&lt;&gt;"",VLOOKUP(B783,Notes!$A$2:$B$37,2,FALSE)*1024,0) + C783*16 + IF(D783="",7,D783)*2 + IF(E783&gt;0, 1, 0))),","),"")</f>
        <v/>
      </c>
      <c r="X783" s="21" t="str">
        <f>IF(J783&gt;0,CONCATENATE("0x",(DEC2HEX(IF(I783&lt;&gt;"",VLOOKUP(I783,Notes!$A$2:$B$37,2,FALSE)*1024,0) + J783*16 + IF(K783="",7,K783)*2 + IF(L783&gt;0, 1, 0))),","),"")</f>
        <v/>
      </c>
      <c r="Y783" s="21" t="str">
        <f>IF(Q783&gt;0,CONCATENATE("0x",(DEC2HEX(IF(P783&lt;&gt;"",VLOOKUP(P783,Notes!$A$2:$B$37,2,FALSE)*1024,0) + Q783*16 + IF(R783="",7,R783)*2 + IF(S783&gt;0, 1, 0))),","),"")</f>
        <v/>
      </c>
    </row>
    <row r="784" spans="1:25" x14ac:dyDescent="0.25">
      <c r="F784" s="18">
        <f t="shared" si="72"/>
        <v>0</v>
      </c>
      <c r="G784" s="1" t="str">
        <f t="shared" si="75"/>
        <v/>
      </c>
      <c r="M784" s="18">
        <f t="shared" si="73"/>
        <v>0</v>
      </c>
      <c r="N784" s="1" t="str">
        <f t="shared" si="76"/>
        <v/>
      </c>
      <c r="T784" s="18">
        <f t="shared" si="74"/>
        <v>0</v>
      </c>
      <c r="U784" s="1" t="str">
        <f t="shared" si="77"/>
        <v/>
      </c>
      <c r="W784" s="21" t="str">
        <f>IF(C784&gt;0,CONCATENATE("0x",(DEC2HEX(IF(B784&lt;&gt;"",VLOOKUP(B784,Notes!$A$2:$B$37,2,FALSE)*1024,0) + C784*16 + IF(D784="",7,D784)*2 + IF(E784&gt;0, 1, 0))),","),"")</f>
        <v/>
      </c>
      <c r="X784" s="21" t="str">
        <f>IF(J784&gt;0,CONCATENATE("0x",(DEC2HEX(IF(I784&lt;&gt;"",VLOOKUP(I784,Notes!$A$2:$B$37,2,FALSE)*1024,0) + J784*16 + IF(K784="",7,K784)*2 + IF(L784&gt;0, 1, 0))),","),"")</f>
        <v/>
      </c>
      <c r="Y784" s="21" t="str">
        <f>IF(Q784&gt;0,CONCATENATE("0x",(DEC2HEX(IF(P784&lt;&gt;"",VLOOKUP(P784,Notes!$A$2:$B$37,2,FALSE)*1024,0) + Q784*16 + IF(R784="",7,R784)*2 + IF(S784&gt;0, 1, 0))),","),"")</f>
        <v/>
      </c>
    </row>
    <row r="785" spans="2:25" x14ac:dyDescent="0.25">
      <c r="B785" s="12"/>
      <c r="C785" s="13"/>
      <c r="D785" s="13"/>
      <c r="E785" s="14"/>
      <c r="F785" s="18">
        <f t="shared" si="72"/>
        <v>0</v>
      </c>
      <c r="G785" s="1" t="str">
        <f t="shared" si="75"/>
        <v/>
      </c>
      <c r="I785" s="12"/>
      <c r="J785" s="13"/>
      <c r="K785" s="13"/>
      <c r="L785" s="14"/>
      <c r="M785" s="18">
        <f t="shared" si="73"/>
        <v>0</v>
      </c>
      <c r="N785" s="1" t="str">
        <f t="shared" si="76"/>
        <v/>
      </c>
      <c r="P785" s="12"/>
      <c r="Q785" s="13"/>
      <c r="R785" s="13"/>
      <c r="S785" s="14"/>
      <c r="T785" s="18">
        <f t="shared" si="74"/>
        <v>0</v>
      </c>
      <c r="U785" s="1" t="str">
        <f t="shared" si="77"/>
        <v/>
      </c>
      <c r="W785" s="21" t="str">
        <f>IF(C785&gt;0,CONCATENATE("0x",(DEC2HEX(IF(B785&lt;&gt;"",VLOOKUP(B785,Notes!$A$2:$B$37,2,FALSE)*1024,0) + C785*16 + IF(D785="",7,D785)*2 + IF(E785&gt;0, 1, 0))),","),"")</f>
        <v/>
      </c>
      <c r="X785" s="21" t="str">
        <f>IF(J785&gt;0,CONCATENATE("0x",(DEC2HEX(IF(I785&lt;&gt;"",VLOOKUP(I785,Notes!$A$2:$B$37,2,FALSE)*1024,0) + J785*16 + IF(K785="",7,K785)*2 + IF(L785&gt;0, 1, 0))),","),"")</f>
        <v/>
      </c>
      <c r="Y785" s="21" t="str">
        <f>IF(Q785&gt;0,CONCATENATE("0x",(DEC2HEX(IF(P785&lt;&gt;"",VLOOKUP(P785,Notes!$A$2:$B$37,2,FALSE)*1024,0) + Q785*16 + IF(R785="",7,R785)*2 + IF(S785&gt;0, 1, 0))),","),"")</f>
        <v/>
      </c>
    </row>
    <row r="786" spans="2:25" x14ac:dyDescent="0.25">
      <c r="F786" s="18">
        <f t="shared" si="72"/>
        <v>0</v>
      </c>
      <c r="G786" s="1" t="str">
        <f t="shared" si="75"/>
        <v/>
      </c>
      <c r="M786" s="18">
        <f t="shared" si="73"/>
        <v>0</v>
      </c>
      <c r="N786" s="1" t="str">
        <f t="shared" si="76"/>
        <v/>
      </c>
      <c r="T786" s="18">
        <f t="shared" si="74"/>
        <v>0</v>
      </c>
      <c r="U786" s="1" t="str">
        <f t="shared" si="77"/>
        <v/>
      </c>
      <c r="W786" s="21" t="str">
        <f>IF(C786&gt;0,CONCATENATE("0x",(DEC2HEX(IF(B786&lt;&gt;"",VLOOKUP(B786,Notes!$A$2:$B$37,2,FALSE)*1024,0) + C786*16 + IF(D786="",7,D786)*2 + IF(E786&gt;0, 1, 0))),","),"")</f>
        <v/>
      </c>
      <c r="X786" s="21" t="str">
        <f>IF(J786&gt;0,CONCATENATE("0x",(DEC2HEX(IF(I786&lt;&gt;"",VLOOKUP(I786,Notes!$A$2:$B$37,2,FALSE)*1024,0) + J786*16 + IF(K786="",7,K786)*2 + IF(L786&gt;0, 1, 0))),","),"")</f>
        <v/>
      </c>
      <c r="Y786" s="21" t="str">
        <f>IF(Q786&gt;0,CONCATENATE("0x",(DEC2HEX(IF(P786&lt;&gt;"",VLOOKUP(P786,Notes!$A$2:$B$37,2,FALSE)*1024,0) + Q786*16 + IF(R786="",7,R786)*2 + IF(S786&gt;0, 1, 0))),","),"")</f>
        <v/>
      </c>
    </row>
    <row r="787" spans="2:25" x14ac:dyDescent="0.25">
      <c r="F787" s="18">
        <f t="shared" si="72"/>
        <v>0</v>
      </c>
      <c r="G787" s="1" t="str">
        <f t="shared" si="75"/>
        <v/>
      </c>
      <c r="M787" s="18">
        <f t="shared" si="73"/>
        <v>0</v>
      </c>
      <c r="N787" s="1" t="str">
        <f t="shared" si="76"/>
        <v/>
      </c>
      <c r="T787" s="18">
        <f t="shared" si="74"/>
        <v>0</v>
      </c>
      <c r="U787" s="1" t="str">
        <f t="shared" si="77"/>
        <v/>
      </c>
      <c r="W787" s="21" t="str">
        <f>IF(C787&gt;0,CONCATENATE("0x",(DEC2HEX(IF(B787&lt;&gt;"",VLOOKUP(B787,Notes!$A$2:$B$37,2,FALSE)*1024,0) + C787*16 + IF(D787="",7,D787)*2 + IF(E787&gt;0, 1, 0))),","),"")</f>
        <v/>
      </c>
      <c r="X787" s="21" t="str">
        <f>IF(J787&gt;0,CONCATENATE("0x",(DEC2HEX(IF(I787&lt;&gt;"",VLOOKUP(I787,Notes!$A$2:$B$37,2,FALSE)*1024,0) + J787*16 + IF(K787="",7,K787)*2 + IF(L787&gt;0, 1, 0))),","),"")</f>
        <v/>
      </c>
      <c r="Y787" s="21" t="str">
        <f>IF(Q787&gt;0,CONCATENATE("0x",(DEC2HEX(IF(P787&lt;&gt;"",VLOOKUP(P787,Notes!$A$2:$B$37,2,FALSE)*1024,0) + Q787*16 + IF(R787="",7,R787)*2 + IF(S787&gt;0, 1, 0))),","),"")</f>
        <v/>
      </c>
    </row>
    <row r="788" spans="2:25" x14ac:dyDescent="0.25">
      <c r="F788" s="18">
        <f t="shared" si="72"/>
        <v>0</v>
      </c>
      <c r="G788" s="1" t="str">
        <f t="shared" si="75"/>
        <v/>
      </c>
      <c r="M788" s="18">
        <f t="shared" si="73"/>
        <v>0</v>
      </c>
      <c r="N788" s="1" t="str">
        <f t="shared" si="76"/>
        <v/>
      </c>
      <c r="T788" s="18">
        <f t="shared" si="74"/>
        <v>0</v>
      </c>
      <c r="U788" s="1" t="str">
        <f t="shared" si="77"/>
        <v/>
      </c>
      <c r="W788" s="21" t="str">
        <f>IF(C788&gt;0,CONCATENATE("0x",(DEC2HEX(IF(B788&lt;&gt;"",VLOOKUP(B788,Notes!$A$2:$B$37,2,FALSE)*1024,0) + C788*16 + IF(D788="",7,D788)*2 + IF(E788&gt;0, 1, 0))),","),"")</f>
        <v/>
      </c>
      <c r="X788" s="21" t="str">
        <f>IF(J788&gt;0,CONCATENATE("0x",(DEC2HEX(IF(I788&lt;&gt;"",VLOOKUP(I788,Notes!$A$2:$B$37,2,FALSE)*1024,0) + J788*16 + IF(K788="",7,K788)*2 + IF(L788&gt;0, 1, 0))),","),"")</f>
        <v/>
      </c>
      <c r="Y788" s="21" t="str">
        <f>IF(Q788&gt;0,CONCATENATE("0x",(DEC2HEX(IF(P788&lt;&gt;"",VLOOKUP(P788,Notes!$A$2:$B$37,2,FALSE)*1024,0) + Q788*16 + IF(R788="",7,R788)*2 + IF(S788&gt;0, 1, 0))),","),"")</f>
        <v/>
      </c>
    </row>
    <row r="789" spans="2:25" x14ac:dyDescent="0.25">
      <c r="F789" s="18">
        <f t="shared" si="72"/>
        <v>0</v>
      </c>
      <c r="G789" s="1" t="str">
        <f t="shared" si="75"/>
        <v/>
      </c>
      <c r="M789" s="18">
        <f t="shared" si="73"/>
        <v>0</v>
      </c>
      <c r="N789" s="1" t="str">
        <f t="shared" si="76"/>
        <v/>
      </c>
      <c r="T789" s="18">
        <f t="shared" si="74"/>
        <v>0</v>
      </c>
      <c r="U789" s="1" t="str">
        <f t="shared" si="77"/>
        <v/>
      </c>
      <c r="W789" s="21" t="str">
        <f>IF(C789&gt;0,CONCATENATE("0x",(DEC2HEX(IF(B789&lt;&gt;"",VLOOKUP(B789,Notes!$A$2:$B$37,2,FALSE)*1024,0) + C789*16 + IF(D789="",7,D789)*2 + IF(E789&gt;0, 1, 0))),","),"")</f>
        <v/>
      </c>
      <c r="X789" s="21" t="str">
        <f>IF(J789&gt;0,CONCATENATE("0x",(DEC2HEX(IF(I789&lt;&gt;"",VLOOKUP(I789,Notes!$A$2:$B$37,2,FALSE)*1024,0) + J789*16 + IF(K789="",7,K789)*2 + IF(L789&gt;0, 1, 0))),","),"")</f>
        <v/>
      </c>
      <c r="Y789" s="21" t="str">
        <f>IF(Q789&gt;0,CONCATENATE("0x",(DEC2HEX(IF(P789&lt;&gt;"",VLOOKUP(P789,Notes!$A$2:$B$37,2,FALSE)*1024,0) + Q789*16 + IF(R789="",7,R789)*2 + IF(S789&gt;0, 1, 0))),","),"")</f>
        <v/>
      </c>
    </row>
    <row r="790" spans="2:25" x14ac:dyDescent="0.25">
      <c r="F790" s="18">
        <f t="shared" si="72"/>
        <v>0</v>
      </c>
      <c r="G790" s="1" t="str">
        <f t="shared" si="75"/>
        <v/>
      </c>
      <c r="M790" s="18">
        <f t="shared" si="73"/>
        <v>0</v>
      </c>
      <c r="N790" s="1" t="str">
        <f t="shared" si="76"/>
        <v/>
      </c>
      <c r="T790" s="18">
        <f t="shared" si="74"/>
        <v>0</v>
      </c>
      <c r="U790" s="1" t="str">
        <f t="shared" si="77"/>
        <v/>
      </c>
      <c r="W790" s="21" t="str">
        <f>IF(C790&gt;0,CONCATENATE("0x",(DEC2HEX(IF(B790&lt;&gt;"",VLOOKUP(B790,Notes!$A$2:$B$37,2,FALSE)*1024,0) + C790*16 + IF(D790="",7,D790)*2 + IF(E790&gt;0, 1, 0))),","),"")</f>
        <v/>
      </c>
      <c r="X790" s="21" t="str">
        <f>IF(J790&gt;0,CONCATENATE("0x",(DEC2HEX(IF(I790&lt;&gt;"",VLOOKUP(I790,Notes!$A$2:$B$37,2,FALSE)*1024,0) + J790*16 + IF(K790="",7,K790)*2 + IF(L790&gt;0, 1, 0))),","),"")</f>
        <v/>
      </c>
      <c r="Y790" s="21" t="str">
        <f>IF(Q790&gt;0,CONCATENATE("0x",(DEC2HEX(IF(P790&lt;&gt;"",VLOOKUP(P790,Notes!$A$2:$B$37,2,FALSE)*1024,0) + Q790*16 + IF(R790="",7,R790)*2 + IF(S790&gt;0, 1, 0))),","),"")</f>
        <v/>
      </c>
    </row>
    <row r="791" spans="2:25" x14ac:dyDescent="0.25">
      <c r="F791" s="18">
        <f t="shared" si="72"/>
        <v>0</v>
      </c>
      <c r="G791" s="1" t="str">
        <f t="shared" si="75"/>
        <v/>
      </c>
      <c r="M791" s="18">
        <f t="shared" si="73"/>
        <v>0</v>
      </c>
      <c r="N791" s="1" t="str">
        <f t="shared" si="76"/>
        <v/>
      </c>
      <c r="T791" s="18">
        <f t="shared" si="74"/>
        <v>0</v>
      </c>
      <c r="U791" s="1" t="str">
        <f t="shared" si="77"/>
        <v/>
      </c>
      <c r="W791" s="21" t="str">
        <f>IF(C791&gt;0,CONCATENATE("0x",(DEC2HEX(IF(B791&lt;&gt;"",VLOOKUP(B791,Notes!$A$2:$B$37,2,FALSE)*1024,0) + C791*16 + IF(D791="",7,D791)*2 + IF(E791&gt;0, 1, 0))),","),"")</f>
        <v/>
      </c>
      <c r="X791" s="21" t="str">
        <f>IF(J791&gt;0,CONCATENATE("0x",(DEC2HEX(IF(I791&lt;&gt;"",VLOOKUP(I791,Notes!$A$2:$B$37,2,FALSE)*1024,0) + J791*16 + IF(K791="",7,K791)*2 + IF(L791&gt;0, 1, 0))),","),"")</f>
        <v/>
      </c>
      <c r="Y791" s="21" t="str">
        <f>IF(Q791&gt;0,CONCATENATE("0x",(DEC2HEX(IF(P791&lt;&gt;"",VLOOKUP(P791,Notes!$A$2:$B$37,2,FALSE)*1024,0) + Q791*16 + IF(R791="",7,R791)*2 + IF(S791&gt;0, 1, 0))),","),"")</f>
        <v/>
      </c>
    </row>
    <row r="792" spans="2:25" x14ac:dyDescent="0.25">
      <c r="F792" s="18">
        <f t="shared" si="72"/>
        <v>0</v>
      </c>
      <c r="G792" s="1" t="str">
        <f t="shared" si="75"/>
        <v/>
      </c>
      <c r="M792" s="18">
        <f t="shared" si="73"/>
        <v>0</v>
      </c>
      <c r="N792" s="1" t="str">
        <f t="shared" si="76"/>
        <v/>
      </c>
      <c r="T792" s="18">
        <f t="shared" si="74"/>
        <v>0</v>
      </c>
      <c r="U792" s="1" t="str">
        <f t="shared" si="77"/>
        <v/>
      </c>
      <c r="W792" s="21" t="str">
        <f>IF(C792&gt;0,CONCATENATE("0x",(DEC2HEX(IF(B792&lt;&gt;"",VLOOKUP(B792,Notes!$A$2:$B$37,2,FALSE)*1024,0) + C792*16 + IF(D792="",7,D792)*2 + IF(E792&gt;0, 1, 0))),","),"")</f>
        <v/>
      </c>
      <c r="X792" s="21" t="str">
        <f>IF(J792&gt;0,CONCATENATE("0x",(DEC2HEX(IF(I792&lt;&gt;"",VLOOKUP(I792,Notes!$A$2:$B$37,2,FALSE)*1024,0) + J792*16 + IF(K792="",7,K792)*2 + IF(L792&gt;0, 1, 0))),","),"")</f>
        <v/>
      </c>
      <c r="Y792" s="21" t="str">
        <f>IF(Q792&gt;0,CONCATENATE("0x",(DEC2HEX(IF(P792&lt;&gt;"",VLOOKUP(P792,Notes!$A$2:$B$37,2,FALSE)*1024,0) + Q792*16 + IF(R792="",7,R792)*2 + IF(S792&gt;0, 1, 0))),","),"")</f>
        <v/>
      </c>
    </row>
    <row r="793" spans="2:25" x14ac:dyDescent="0.25">
      <c r="B793" s="12"/>
      <c r="C793" s="13"/>
      <c r="D793" s="13"/>
      <c r="E793" s="14"/>
      <c r="F793" s="18">
        <f t="shared" si="72"/>
        <v>0</v>
      </c>
      <c r="G793" s="1" t="str">
        <f t="shared" si="75"/>
        <v/>
      </c>
      <c r="I793" s="12"/>
      <c r="J793" s="13"/>
      <c r="K793" s="13"/>
      <c r="L793" s="14"/>
      <c r="M793" s="18">
        <f t="shared" si="73"/>
        <v>0</v>
      </c>
      <c r="N793" s="1" t="str">
        <f t="shared" si="76"/>
        <v/>
      </c>
      <c r="P793" s="12"/>
      <c r="Q793" s="13"/>
      <c r="R793" s="13"/>
      <c r="S793" s="14"/>
      <c r="T793" s="18">
        <f t="shared" si="74"/>
        <v>0</v>
      </c>
      <c r="U793" s="1" t="str">
        <f t="shared" si="77"/>
        <v/>
      </c>
      <c r="W793" s="21" t="str">
        <f>IF(C793&gt;0,CONCATENATE("0x",(DEC2HEX(IF(B793&lt;&gt;"",VLOOKUP(B793,Notes!$A$2:$B$37,2,FALSE)*1024,0) + C793*16 + IF(D793="",7,D793)*2 + IF(E793&gt;0, 1, 0))),","),"")</f>
        <v/>
      </c>
      <c r="X793" s="21" t="str">
        <f>IF(J793&gt;0,CONCATENATE("0x",(DEC2HEX(IF(I793&lt;&gt;"",VLOOKUP(I793,Notes!$A$2:$B$37,2,FALSE)*1024,0) + J793*16 + IF(K793="",7,K793)*2 + IF(L793&gt;0, 1, 0))),","),"")</f>
        <v/>
      </c>
      <c r="Y793" s="21" t="str">
        <f>IF(Q793&gt;0,CONCATENATE("0x",(DEC2HEX(IF(P793&lt;&gt;"",VLOOKUP(P793,Notes!$A$2:$B$37,2,FALSE)*1024,0) + Q793*16 + IF(R793="",7,R793)*2 + IF(S793&gt;0, 1, 0))),","),"")</f>
        <v/>
      </c>
    </row>
    <row r="794" spans="2:25" x14ac:dyDescent="0.25">
      <c r="F794" s="18">
        <f t="shared" si="72"/>
        <v>0</v>
      </c>
      <c r="G794" s="1" t="str">
        <f t="shared" si="75"/>
        <v/>
      </c>
      <c r="M794" s="18">
        <f t="shared" si="73"/>
        <v>0</v>
      </c>
      <c r="N794" s="1" t="str">
        <f t="shared" si="76"/>
        <v/>
      </c>
      <c r="T794" s="18">
        <f t="shared" si="74"/>
        <v>0</v>
      </c>
      <c r="U794" s="1" t="str">
        <f t="shared" si="77"/>
        <v/>
      </c>
      <c r="W794" s="21" t="str">
        <f>IF(C794&gt;0,CONCATENATE("0x",(DEC2HEX(IF(B794&lt;&gt;"",VLOOKUP(B794,Notes!$A$2:$B$37,2,FALSE)*1024,0) + C794*16 + IF(D794="",7,D794)*2 + IF(E794&gt;0, 1, 0))),","),"")</f>
        <v/>
      </c>
      <c r="X794" s="21" t="str">
        <f>IF(J794&gt;0,CONCATENATE("0x",(DEC2HEX(IF(I794&lt;&gt;"",VLOOKUP(I794,Notes!$A$2:$B$37,2,FALSE)*1024,0) + J794*16 + IF(K794="",7,K794)*2 + IF(L794&gt;0, 1, 0))),","),"")</f>
        <v/>
      </c>
      <c r="Y794" s="21" t="str">
        <f>IF(Q794&gt;0,CONCATENATE("0x",(DEC2HEX(IF(P794&lt;&gt;"",VLOOKUP(P794,Notes!$A$2:$B$37,2,FALSE)*1024,0) + Q794*16 + IF(R794="",7,R794)*2 + IF(S794&gt;0, 1, 0))),","),"")</f>
        <v/>
      </c>
    </row>
    <row r="795" spans="2:25" x14ac:dyDescent="0.25">
      <c r="F795" s="18">
        <f t="shared" si="72"/>
        <v>0</v>
      </c>
      <c r="G795" s="1" t="str">
        <f t="shared" si="75"/>
        <v/>
      </c>
      <c r="M795" s="18">
        <f t="shared" si="73"/>
        <v>0</v>
      </c>
      <c r="N795" s="1" t="str">
        <f t="shared" si="76"/>
        <v/>
      </c>
      <c r="T795" s="18">
        <f t="shared" si="74"/>
        <v>0</v>
      </c>
      <c r="U795" s="1" t="str">
        <f t="shared" si="77"/>
        <v/>
      </c>
      <c r="W795" s="21" t="str">
        <f>IF(C795&gt;0,CONCATENATE("0x",(DEC2HEX(IF(B795&lt;&gt;"",VLOOKUP(B795,Notes!$A$2:$B$37,2,FALSE)*1024,0) + C795*16 + IF(D795="",7,D795)*2 + IF(E795&gt;0, 1, 0))),","),"")</f>
        <v/>
      </c>
      <c r="X795" s="21" t="str">
        <f>IF(J795&gt;0,CONCATENATE("0x",(DEC2HEX(IF(I795&lt;&gt;"",VLOOKUP(I795,Notes!$A$2:$B$37,2,FALSE)*1024,0) + J795*16 + IF(K795="",7,K795)*2 + IF(L795&gt;0, 1, 0))),","),"")</f>
        <v/>
      </c>
      <c r="Y795" s="21" t="str">
        <f>IF(Q795&gt;0,CONCATENATE("0x",(DEC2HEX(IF(P795&lt;&gt;"",VLOOKUP(P795,Notes!$A$2:$B$37,2,FALSE)*1024,0) + Q795*16 + IF(R795="",7,R795)*2 + IF(S795&gt;0, 1, 0))),","),"")</f>
        <v/>
      </c>
    </row>
    <row r="796" spans="2:25" x14ac:dyDescent="0.25">
      <c r="F796" s="18">
        <f t="shared" si="72"/>
        <v>0</v>
      </c>
      <c r="G796" s="1" t="str">
        <f t="shared" si="75"/>
        <v/>
      </c>
      <c r="M796" s="18">
        <f t="shared" si="73"/>
        <v>0</v>
      </c>
      <c r="N796" s="1" t="str">
        <f t="shared" si="76"/>
        <v/>
      </c>
      <c r="T796" s="18">
        <f t="shared" si="74"/>
        <v>0</v>
      </c>
      <c r="U796" s="1" t="str">
        <f t="shared" si="77"/>
        <v/>
      </c>
      <c r="W796" s="21" t="str">
        <f>IF(C796&gt;0,CONCATENATE("0x",(DEC2HEX(IF(B796&lt;&gt;"",VLOOKUP(B796,Notes!$A$2:$B$37,2,FALSE)*1024,0) + C796*16 + IF(D796="",7,D796)*2 + IF(E796&gt;0, 1, 0))),","),"")</f>
        <v/>
      </c>
      <c r="X796" s="21" t="str">
        <f>IF(J796&gt;0,CONCATENATE("0x",(DEC2HEX(IF(I796&lt;&gt;"",VLOOKUP(I796,Notes!$A$2:$B$37,2,FALSE)*1024,0) + J796*16 + IF(K796="",7,K796)*2 + IF(L796&gt;0, 1, 0))),","),"")</f>
        <v/>
      </c>
      <c r="Y796" s="21" t="str">
        <f>IF(Q796&gt;0,CONCATENATE("0x",(DEC2HEX(IF(P796&lt;&gt;"",VLOOKUP(P796,Notes!$A$2:$B$37,2,FALSE)*1024,0) + Q796*16 + IF(R796="",7,R796)*2 + IF(S796&gt;0, 1, 0))),","),"")</f>
        <v/>
      </c>
    </row>
    <row r="797" spans="2:25" x14ac:dyDescent="0.25">
      <c r="F797" s="18">
        <f t="shared" si="72"/>
        <v>0</v>
      </c>
      <c r="G797" s="1" t="str">
        <f t="shared" si="75"/>
        <v/>
      </c>
      <c r="M797" s="18">
        <f t="shared" si="73"/>
        <v>0</v>
      </c>
      <c r="N797" s="1" t="str">
        <f t="shared" si="76"/>
        <v/>
      </c>
      <c r="T797" s="18">
        <f t="shared" si="74"/>
        <v>0</v>
      </c>
      <c r="U797" s="1" t="str">
        <f t="shared" si="77"/>
        <v/>
      </c>
      <c r="W797" s="21" t="str">
        <f>IF(C797&gt;0,CONCATENATE("0x",(DEC2HEX(IF(B797&lt;&gt;"",VLOOKUP(B797,Notes!$A$2:$B$37,2,FALSE)*1024,0) + C797*16 + IF(D797="",7,D797)*2 + IF(E797&gt;0, 1, 0))),","),"")</f>
        <v/>
      </c>
      <c r="X797" s="21" t="str">
        <f>IF(J797&gt;0,CONCATENATE("0x",(DEC2HEX(IF(I797&lt;&gt;"",VLOOKUP(I797,Notes!$A$2:$B$37,2,FALSE)*1024,0) + J797*16 + IF(K797="",7,K797)*2 + IF(L797&gt;0, 1, 0))),","),"")</f>
        <v/>
      </c>
      <c r="Y797" s="21" t="str">
        <f>IF(Q797&gt;0,CONCATENATE("0x",(DEC2HEX(IF(P797&lt;&gt;"",VLOOKUP(P797,Notes!$A$2:$B$37,2,FALSE)*1024,0) + Q797*16 + IF(R797="",7,R797)*2 + IF(S797&gt;0, 1, 0))),","),"")</f>
        <v/>
      </c>
    </row>
    <row r="798" spans="2:25" x14ac:dyDescent="0.25">
      <c r="F798" s="18">
        <f t="shared" si="72"/>
        <v>0</v>
      </c>
      <c r="G798" s="1" t="str">
        <f t="shared" si="75"/>
        <v/>
      </c>
      <c r="M798" s="18">
        <f t="shared" si="73"/>
        <v>0</v>
      </c>
      <c r="N798" s="1" t="str">
        <f t="shared" si="76"/>
        <v/>
      </c>
      <c r="T798" s="18">
        <f t="shared" si="74"/>
        <v>0</v>
      </c>
      <c r="U798" s="1" t="str">
        <f t="shared" si="77"/>
        <v/>
      </c>
      <c r="W798" s="21" t="str">
        <f>IF(C798&gt;0,CONCATENATE("0x",(DEC2HEX(IF(B798&lt;&gt;"",VLOOKUP(B798,Notes!$A$2:$B$37,2,FALSE)*1024,0) + C798*16 + IF(D798="",7,D798)*2 + IF(E798&gt;0, 1, 0))),","),"")</f>
        <v/>
      </c>
      <c r="X798" s="21" t="str">
        <f>IF(J798&gt;0,CONCATENATE("0x",(DEC2HEX(IF(I798&lt;&gt;"",VLOOKUP(I798,Notes!$A$2:$B$37,2,FALSE)*1024,0) + J798*16 + IF(K798="",7,K798)*2 + IF(L798&gt;0, 1, 0))),","),"")</f>
        <v/>
      </c>
      <c r="Y798" s="21" t="str">
        <f>IF(Q798&gt;0,CONCATENATE("0x",(DEC2HEX(IF(P798&lt;&gt;"",VLOOKUP(P798,Notes!$A$2:$B$37,2,FALSE)*1024,0) + Q798*16 + IF(R798="",7,R798)*2 + IF(S798&gt;0, 1, 0))),","),"")</f>
        <v/>
      </c>
    </row>
    <row r="799" spans="2:25" x14ac:dyDescent="0.25">
      <c r="F799" s="18">
        <f t="shared" si="72"/>
        <v>0</v>
      </c>
      <c r="G799" s="1" t="str">
        <f t="shared" si="75"/>
        <v/>
      </c>
      <c r="M799" s="18">
        <f t="shared" si="73"/>
        <v>0</v>
      </c>
      <c r="N799" s="1" t="str">
        <f t="shared" si="76"/>
        <v/>
      </c>
      <c r="T799" s="18">
        <f t="shared" si="74"/>
        <v>0</v>
      </c>
      <c r="U799" s="1" t="str">
        <f t="shared" si="77"/>
        <v/>
      </c>
      <c r="W799" s="21" t="str">
        <f>IF(C799&gt;0,CONCATENATE("0x",(DEC2HEX(IF(B799&lt;&gt;"",VLOOKUP(B799,Notes!$A$2:$B$37,2,FALSE)*1024,0) + C799*16 + IF(D799="",7,D799)*2 + IF(E799&gt;0, 1, 0))),","),"")</f>
        <v/>
      </c>
      <c r="X799" s="21" t="str">
        <f>IF(J799&gt;0,CONCATENATE("0x",(DEC2HEX(IF(I799&lt;&gt;"",VLOOKUP(I799,Notes!$A$2:$B$37,2,FALSE)*1024,0) + J799*16 + IF(K799="",7,K799)*2 + IF(L799&gt;0, 1, 0))),","),"")</f>
        <v/>
      </c>
      <c r="Y799" s="21" t="str">
        <f>IF(Q799&gt;0,CONCATENATE("0x",(DEC2HEX(IF(P799&lt;&gt;"",VLOOKUP(P799,Notes!$A$2:$B$37,2,FALSE)*1024,0) + Q799*16 + IF(R799="",7,R799)*2 + IF(S799&gt;0, 1, 0))),","),"")</f>
        <v/>
      </c>
    </row>
    <row r="800" spans="2:25" x14ac:dyDescent="0.25">
      <c r="F800" s="18">
        <f t="shared" si="72"/>
        <v>0</v>
      </c>
      <c r="G800" s="1" t="str">
        <f t="shared" si="75"/>
        <v/>
      </c>
      <c r="M800" s="18">
        <f t="shared" si="73"/>
        <v>0</v>
      </c>
      <c r="N800" s="1" t="str">
        <f t="shared" si="76"/>
        <v/>
      </c>
      <c r="T800" s="18">
        <f t="shared" si="74"/>
        <v>0</v>
      </c>
      <c r="U800" s="1" t="str">
        <f t="shared" si="77"/>
        <v/>
      </c>
      <c r="W800" s="21" t="str">
        <f>IF(C800&gt;0,CONCATENATE("0x",(DEC2HEX(IF(B800&lt;&gt;"",VLOOKUP(B800,Notes!$A$2:$B$37,2,FALSE)*1024,0) + C800*16 + IF(D800="",7,D800)*2 + IF(E800&gt;0, 1, 0))),","),"")</f>
        <v/>
      </c>
      <c r="X800" s="21" t="str">
        <f>IF(J800&gt;0,CONCATENATE("0x",(DEC2HEX(IF(I800&lt;&gt;"",VLOOKUP(I800,Notes!$A$2:$B$37,2,FALSE)*1024,0) + J800*16 + IF(K800="",7,K800)*2 + IF(L800&gt;0, 1, 0))),","),"")</f>
        <v/>
      </c>
      <c r="Y800" s="21" t="str">
        <f>IF(Q800&gt;0,CONCATENATE("0x",(DEC2HEX(IF(P800&lt;&gt;"",VLOOKUP(P800,Notes!$A$2:$B$37,2,FALSE)*1024,0) + Q800*16 + IF(R800="",7,R800)*2 + IF(S800&gt;0, 1, 0))),","),"")</f>
        <v/>
      </c>
    </row>
    <row r="801" spans="1:25" ht="16.5" thickBot="1" x14ac:dyDescent="0.3">
      <c r="B801" s="15"/>
      <c r="C801" s="16"/>
      <c r="D801" s="16"/>
      <c r="E801" s="17"/>
      <c r="F801" s="18">
        <f t="shared" si="72"/>
        <v>0</v>
      </c>
      <c r="G801" s="1" t="str">
        <f t="shared" si="75"/>
        <v/>
      </c>
      <c r="I801" s="15"/>
      <c r="J801" s="16"/>
      <c r="K801" s="16"/>
      <c r="L801" s="17"/>
      <c r="M801" s="18">
        <f t="shared" si="73"/>
        <v>0</v>
      </c>
      <c r="N801" s="1" t="str">
        <f t="shared" si="76"/>
        <v/>
      </c>
      <c r="P801" s="15"/>
      <c r="Q801" s="16"/>
      <c r="R801" s="16"/>
      <c r="S801" s="17"/>
      <c r="T801" s="18">
        <f t="shared" si="74"/>
        <v>0</v>
      </c>
      <c r="U801" s="1" t="str">
        <f t="shared" si="77"/>
        <v/>
      </c>
      <c r="W801" s="21" t="str">
        <f>IF(C801&gt;0,CONCATENATE("0x",(DEC2HEX(IF(B801&lt;&gt;"",VLOOKUP(B801,Notes!$A$2:$B$37,2,FALSE)*1024,0) + C801*16 + IF(D801="",7,D801)*2 + IF(E801&gt;0, 1, 0))),","),"")</f>
        <v/>
      </c>
      <c r="X801" s="21" t="str">
        <f>IF(J801&gt;0,CONCATENATE("0x",(DEC2HEX(IF(I801&lt;&gt;"",VLOOKUP(I801,Notes!$A$2:$B$37,2,FALSE)*1024,0) + J801*16 + IF(K801="",7,K801)*2 + IF(L801&gt;0, 1, 0))),","),"")</f>
        <v/>
      </c>
      <c r="Y801" s="21" t="str">
        <f>IF(Q801&gt;0,CONCATENATE("0x",(DEC2HEX(IF(P801&lt;&gt;"",VLOOKUP(P801,Notes!$A$2:$B$37,2,FALSE)*1024,0) + Q801*16 + IF(R801="",7,R801)*2 + IF(S801&gt;0, 1, 0))),","),"")</f>
        <v/>
      </c>
    </row>
    <row r="802" spans="1:25" ht="16.5" thickTop="1" x14ac:dyDescent="0.25">
      <c r="A802" s="1">
        <v>26</v>
      </c>
      <c r="F802" s="18">
        <f t="shared" si="72"/>
        <v>0</v>
      </c>
      <c r="G802" s="1" t="str">
        <f t="shared" si="75"/>
        <v/>
      </c>
      <c r="M802" s="18">
        <f t="shared" si="73"/>
        <v>0</v>
      </c>
      <c r="N802" s="1" t="str">
        <f t="shared" si="76"/>
        <v/>
      </c>
      <c r="T802" s="18">
        <f t="shared" si="74"/>
        <v>0</v>
      </c>
      <c r="U802" s="1" t="str">
        <f t="shared" si="77"/>
        <v/>
      </c>
      <c r="W802" s="21" t="str">
        <f>IF(C802&gt;0,CONCATENATE("0x",(DEC2HEX(IF(B802&lt;&gt;"",VLOOKUP(B802,Notes!$A$2:$B$37,2,FALSE)*1024,0) + C802*16 + IF(D802="",7,D802)*2 + IF(E802&gt;0, 1, 0))),","),"")</f>
        <v/>
      </c>
      <c r="X802" s="21" t="str">
        <f>IF(J802&gt;0,CONCATENATE("0x",(DEC2HEX(IF(I802&lt;&gt;"",VLOOKUP(I802,Notes!$A$2:$B$37,2,FALSE)*1024,0) + J802*16 + IF(K802="",7,K802)*2 + IF(L802&gt;0, 1, 0))),","),"")</f>
        <v/>
      </c>
      <c r="Y802" s="21" t="str">
        <f>IF(Q802&gt;0,CONCATENATE("0x",(DEC2HEX(IF(P802&lt;&gt;"",VLOOKUP(P802,Notes!$A$2:$B$37,2,FALSE)*1024,0) + Q802*16 + IF(R802="",7,R802)*2 + IF(S802&gt;0, 1, 0))),","),"")</f>
        <v/>
      </c>
    </row>
    <row r="803" spans="1:25" x14ac:dyDescent="0.25">
      <c r="F803" s="18">
        <f t="shared" si="72"/>
        <v>0</v>
      </c>
      <c r="G803" s="1" t="str">
        <f t="shared" si="75"/>
        <v/>
      </c>
      <c r="M803" s="18">
        <f t="shared" si="73"/>
        <v>0</v>
      </c>
      <c r="N803" s="1" t="str">
        <f t="shared" si="76"/>
        <v/>
      </c>
      <c r="T803" s="18">
        <f t="shared" si="74"/>
        <v>0</v>
      </c>
      <c r="U803" s="1" t="str">
        <f t="shared" si="77"/>
        <v/>
      </c>
      <c r="W803" s="21" t="str">
        <f>IF(C803&gt;0,CONCATENATE("0x",(DEC2HEX(IF(B803&lt;&gt;"",VLOOKUP(B803,Notes!$A$2:$B$37,2,FALSE)*1024,0) + C803*16 + IF(D803="",7,D803)*2 + IF(E803&gt;0, 1, 0))),","),"")</f>
        <v/>
      </c>
      <c r="X803" s="21" t="str">
        <f>IF(J803&gt;0,CONCATENATE("0x",(DEC2HEX(IF(I803&lt;&gt;"",VLOOKUP(I803,Notes!$A$2:$B$37,2,FALSE)*1024,0) + J803*16 + IF(K803="",7,K803)*2 + IF(L803&gt;0, 1, 0))),","),"")</f>
        <v/>
      </c>
      <c r="Y803" s="21" t="str">
        <f>IF(Q803&gt;0,CONCATENATE("0x",(DEC2HEX(IF(P803&lt;&gt;"",VLOOKUP(P803,Notes!$A$2:$B$37,2,FALSE)*1024,0) + Q803*16 + IF(R803="",7,R803)*2 + IF(S803&gt;0, 1, 0))),","),"")</f>
        <v/>
      </c>
    </row>
    <row r="804" spans="1:25" x14ac:dyDescent="0.25">
      <c r="F804" s="18">
        <f t="shared" si="72"/>
        <v>0</v>
      </c>
      <c r="G804" s="1" t="str">
        <f t="shared" si="75"/>
        <v/>
      </c>
      <c r="M804" s="18">
        <f t="shared" si="73"/>
        <v>0</v>
      </c>
      <c r="N804" s="1" t="str">
        <f t="shared" si="76"/>
        <v/>
      </c>
      <c r="T804" s="18">
        <f t="shared" si="74"/>
        <v>0</v>
      </c>
      <c r="U804" s="1" t="str">
        <f t="shared" si="77"/>
        <v/>
      </c>
      <c r="W804" s="21" t="str">
        <f>IF(C804&gt;0,CONCATENATE("0x",(DEC2HEX(IF(B804&lt;&gt;"",VLOOKUP(B804,Notes!$A$2:$B$37,2,FALSE)*1024,0) + C804*16 + IF(D804="",7,D804)*2 + IF(E804&gt;0, 1, 0))),","),"")</f>
        <v/>
      </c>
      <c r="X804" s="21" t="str">
        <f>IF(J804&gt;0,CONCATENATE("0x",(DEC2HEX(IF(I804&lt;&gt;"",VLOOKUP(I804,Notes!$A$2:$B$37,2,FALSE)*1024,0) + J804*16 + IF(K804="",7,K804)*2 + IF(L804&gt;0, 1, 0))),","),"")</f>
        <v/>
      </c>
      <c r="Y804" s="21" t="str">
        <f>IF(Q804&gt;0,CONCATENATE("0x",(DEC2HEX(IF(P804&lt;&gt;"",VLOOKUP(P804,Notes!$A$2:$B$37,2,FALSE)*1024,0) + Q804*16 + IF(R804="",7,R804)*2 + IF(S804&gt;0, 1, 0))),","),"")</f>
        <v/>
      </c>
    </row>
    <row r="805" spans="1:25" x14ac:dyDescent="0.25">
      <c r="F805" s="18">
        <f t="shared" si="72"/>
        <v>0</v>
      </c>
      <c r="G805" s="1" t="str">
        <f t="shared" si="75"/>
        <v/>
      </c>
      <c r="M805" s="18">
        <f t="shared" si="73"/>
        <v>0</v>
      </c>
      <c r="N805" s="1" t="str">
        <f t="shared" si="76"/>
        <v/>
      </c>
      <c r="T805" s="18">
        <f t="shared" si="74"/>
        <v>0</v>
      </c>
      <c r="U805" s="1" t="str">
        <f t="shared" si="77"/>
        <v/>
      </c>
      <c r="W805" s="21" t="str">
        <f>IF(C805&gt;0,CONCATENATE("0x",(DEC2HEX(IF(B805&lt;&gt;"",VLOOKUP(B805,Notes!$A$2:$B$37,2,FALSE)*1024,0) + C805*16 + IF(D805="",7,D805)*2 + IF(E805&gt;0, 1, 0))),","),"")</f>
        <v/>
      </c>
      <c r="X805" s="21" t="str">
        <f>IF(J805&gt;0,CONCATENATE("0x",(DEC2HEX(IF(I805&lt;&gt;"",VLOOKUP(I805,Notes!$A$2:$B$37,2,FALSE)*1024,0) + J805*16 + IF(K805="",7,K805)*2 + IF(L805&gt;0, 1, 0))),","),"")</f>
        <v/>
      </c>
      <c r="Y805" s="21" t="str">
        <f>IF(Q805&gt;0,CONCATENATE("0x",(DEC2HEX(IF(P805&lt;&gt;"",VLOOKUP(P805,Notes!$A$2:$B$37,2,FALSE)*1024,0) + Q805*16 + IF(R805="",7,R805)*2 + IF(S805&gt;0, 1, 0))),","),"")</f>
        <v/>
      </c>
    </row>
    <row r="806" spans="1:25" x14ac:dyDescent="0.25">
      <c r="F806" s="18">
        <f t="shared" si="72"/>
        <v>0</v>
      </c>
      <c r="G806" s="1" t="str">
        <f t="shared" si="75"/>
        <v/>
      </c>
      <c r="M806" s="18">
        <f t="shared" si="73"/>
        <v>0</v>
      </c>
      <c r="N806" s="1" t="str">
        <f t="shared" si="76"/>
        <v/>
      </c>
      <c r="T806" s="18">
        <f t="shared" si="74"/>
        <v>0</v>
      </c>
      <c r="U806" s="1" t="str">
        <f t="shared" si="77"/>
        <v/>
      </c>
      <c r="W806" s="21" t="str">
        <f>IF(C806&gt;0,CONCATENATE("0x",(DEC2HEX(IF(B806&lt;&gt;"",VLOOKUP(B806,Notes!$A$2:$B$37,2,FALSE)*1024,0) + C806*16 + IF(D806="",7,D806)*2 + IF(E806&gt;0, 1, 0))),","),"")</f>
        <v/>
      </c>
      <c r="X806" s="21" t="str">
        <f>IF(J806&gt;0,CONCATENATE("0x",(DEC2HEX(IF(I806&lt;&gt;"",VLOOKUP(I806,Notes!$A$2:$B$37,2,FALSE)*1024,0) + J806*16 + IF(K806="",7,K806)*2 + IF(L806&gt;0, 1, 0))),","),"")</f>
        <v/>
      </c>
      <c r="Y806" s="21" t="str">
        <f>IF(Q806&gt;0,CONCATENATE("0x",(DEC2HEX(IF(P806&lt;&gt;"",VLOOKUP(P806,Notes!$A$2:$B$37,2,FALSE)*1024,0) + Q806*16 + IF(R806="",7,R806)*2 + IF(S806&gt;0, 1, 0))),","),"")</f>
        <v/>
      </c>
    </row>
    <row r="807" spans="1:25" x14ac:dyDescent="0.25">
      <c r="F807" s="18">
        <f t="shared" si="72"/>
        <v>0</v>
      </c>
      <c r="G807" s="1" t="str">
        <f t="shared" si="75"/>
        <v/>
      </c>
      <c r="M807" s="18">
        <f t="shared" si="73"/>
        <v>0</v>
      </c>
      <c r="N807" s="1" t="str">
        <f t="shared" si="76"/>
        <v/>
      </c>
      <c r="T807" s="18">
        <f t="shared" si="74"/>
        <v>0</v>
      </c>
      <c r="U807" s="1" t="str">
        <f t="shared" si="77"/>
        <v/>
      </c>
      <c r="W807" s="21" t="str">
        <f>IF(C807&gt;0,CONCATENATE("0x",(DEC2HEX(IF(B807&lt;&gt;"",VLOOKUP(B807,Notes!$A$2:$B$37,2,FALSE)*1024,0) + C807*16 + IF(D807="",7,D807)*2 + IF(E807&gt;0, 1, 0))),","),"")</f>
        <v/>
      </c>
      <c r="X807" s="21" t="str">
        <f>IF(J807&gt;0,CONCATENATE("0x",(DEC2HEX(IF(I807&lt;&gt;"",VLOOKUP(I807,Notes!$A$2:$B$37,2,FALSE)*1024,0) + J807*16 + IF(K807="",7,K807)*2 + IF(L807&gt;0, 1, 0))),","),"")</f>
        <v/>
      </c>
      <c r="Y807" s="21" t="str">
        <f>IF(Q807&gt;0,CONCATENATE("0x",(DEC2HEX(IF(P807&lt;&gt;"",VLOOKUP(P807,Notes!$A$2:$B$37,2,FALSE)*1024,0) + Q807*16 + IF(R807="",7,R807)*2 + IF(S807&gt;0, 1, 0))),","),"")</f>
        <v/>
      </c>
    </row>
    <row r="808" spans="1:25" x14ac:dyDescent="0.25">
      <c r="F808" s="18">
        <f t="shared" si="72"/>
        <v>0</v>
      </c>
      <c r="G808" s="1" t="str">
        <f t="shared" si="75"/>
        <v/>
      </c>
      <c r="M808" s="18">
        <f t="shared" si="73"/>
        <v>0</v>
      </c>
      <c r="N808" s="1" t="str">
        <f t="shared" si="76"/>
        <v/>
      </c>
      <c r="T808" s="18">
        <f t="shared" si="74"/>
        <v>0</v>
      </c>
      <c r="U808" s="1" t="str">
        <f t="shared" si="77"/>
        <v/>
      </c>
      <c r="W808" s="21" t="str">
        <f>IF(C808&gt;0,CONCATENATE("0x",(DEC2HEX(IF(B808&lt;&gt;"",VLOOKUP(B808,Notes!$A$2:$B$37,2,FALSE)*1024,0) + C808*16 + IF(D808="",7,D808)*2 + IF(E808&gt;0, 1, 0))),","),"")</f>
        <v/>
      </c>
      <c r="X808" s="21" t="str">
        <f>IF(J808&gt;0,CONCATENATE("0x",(DEC2HEX(IF(I808&lt;&gt;"",VLOOKUP(I808,Notes!$A$2:$B$37,2,FALSE)*1024,0) + J808*16 + IF(K808="",7,K808)*2 + IF(L808&gt;0, 1, 0))),","),"")</f>
        <v/>
      </c>
      <c r="Y808" s="21" t="str">
        <f>IF(Q808&gt;0,CONCATENATE("0x",(DEC2HEX(IF(P808&lt;&gt;"",VLOOKUP(P808,Notes!$A$2:$B$37,2,FALSE)*1024,0) + Q808*16 + IF(R808="",7,R808)*2 + IF(S808&gt;0, 1, 0))),","),"")</f>
        <v/>
      </c>
    </row>
    <row r="809" spans="1:25" x14ac:dyDescent="0.25">
      <c r="B809" s="12"/>
      <c r="C809" s="13"/>
      <c r="D809" s="13"/>
      <c r="E809" s="14"/>
      <c r="F809" s="18">
        <f t="shared" si="72"/>
        <v>0</v>
      </c>
      <c r="G809" s="1" t="str">
        <f t="shared" si="75"/>
        <v/>
      </c>
      <c r="I809" s="12"/>
      <c r="J809" s="13"/>
      <c r="K809" s="13"/>
      <c r="L809" s="14"/>
      <c r="M809" s="18">
        <f t="shared" si="73"/>
        <v>0</v>
      </c>
      <c r="N809" s="1" t="str">
        <f t="shared" si="76"/>
        <v/>
      </c>
      <c r="P809" s="12"/>
      <c r="Q809" s="13"/>
      <c r="R809" s="13"/>
      <c r="S809" s="14"/>
      <c r="T809" s="18">
        <f t="shared" si="74"/>
        <v>0</v>
      </c>
      <c r="U809" s="1" t="str">
        <f t="shared" si="77"/>
        <v/>
      </c>
      <c r="W809" s="21" t="str">
        <f>IF(C809&gt;0,CONCATENATE("0x",(DEC2HEX(IF(B809&lt;&gt;"",VLOOKUP(B809,Notes!$A$2:$B$37,2,FALSE)*1024,0) + C809*16 + IF(D809="",7,D809)*2 + IF(E809&gt;0, 1, 0))),","),"")</f>
        <v/>
      </c>
      <c r="X809" s="21" t="str">
        <f>IF(J809&gt;0,CONCATENATE("0x",(DEC2HEX(IF(I809&lt;&gt;"",VLOOKUP(I809,Notes!$A$2:$B$37,2,FALSE)*1024,0) + J809*16 + IF(K809="",7,K809)*2 + IF(L809&gt;0, 1, 0))),","),"")</f>
        <v/>
      </c>
      <c r="Y809" s="21" t="str">
        <f>IF(Q809&gt;0,CONCATENATE("0x",(DEC2HEX(IF(P809&lt;&gt;"",VLOOKUP(P809,Notes!$A$2:$B$37,2,FALSE)*1024,0) + Q809*16 + IF(R809="",7,R809)*2 + IF(S809&gt;0, 1, 0))),","),"")</f>
        <v/>
      </c>
    </row>
    <row r="810" spans="1:25" x14ac:dyDescent="0.25">
      <c r="F810" s="18">
        <f t="shared" si="72"/>
        <v>0</v>
      </c>
      <c r="G810" s="1" t="str">
        <f t="shared" si="75"/>
        <v/>
      </c>
      <c r="M810" s="18">
        <f t="shared" si="73"/>
        <v>0</v>
      </c>
      <c r="N810" s="1" t="str">
        <f t="shared" si="76"/>
        <v/>
      </c>
      <c r="T810" s="18">
        <f t="shared" si="74"/>
        <v>0</v>
      </c>
      <c r="U810" s="1" t="str">
        <f t="shared" si="77"/>
        <v/>
      </c>
      <c r="W810" s="21" t="str">
        <f>IF(C810&gt;0,CONCATENATE("0x",(DEC2HEX(IF(B810&lt;&gt;"",VLOOKUP(B810,Notes!$A$2:$B$37,2,FALSE)*1024,0) + C810*16 + IF(D810="",7,D810)*2 + IF(E810&gt;0, 1, 0))),","),"")</f>
        <v/>
      </c>
      <c r="X810" s="21" t="str">
        <f>IF(J810&gt;0,CONCATENATE("0x",(DEC2HEX(IF(I810&lt;&gt;"",VLOOKUP(I810,Notes!$A$2:$B$37,2,FALSE)*1024,0) + J810*16 + IF(K810="",7,K810)*2 + IF(L810&gt;0, 1, 0))),","),"")</f>
        <v/>
      </c>
      <c r="Y810" s="21" t="str">
        <f>IF(Q810&gt;0,CONCATENATE("0x",(DEC2HEX(IF(P810&lt;&gt;"",VLOOKUP(P810,Notes!$A$2:$B$37,2,FALSE)*1024,0) + Q810*16 + IF(R810="",7,R810)*2 + IF(S810&gt;0, 1, 0))),","),"")</f>
        <v/>
      </c>
    </row>
    <row r="811" spans="1:25" x14ac:dyDescent="0.25">
      <c r="F811" s="18">
        <f t="shared" si="72"/>
        <v>0</v>
      </c>
      <c r="G811" s="1" t="str">
        <f t="shared" si="75"/>
        <v/>
      </c>
      <c r="M811" s="18">
        <f t="shared" si="73"/>
        <v>0</v>
      </c>
      <c r="N811" s="1" t="str">
        <f t="shared" si="76"/>
        <v/>
      </c>
      <c r="T811" s="18">
        <f t="shared" si="74"/>
        <v>0</v>
      </c>
      <c r="U811" s="1" t="str">
        <f t="shared" si="77"/>
        <v/>
      </c>
      <c r="W811" s="21" t="str">
        <f>IF(C811&gt;0,CONCATENATE("0x",(DEC2HEX(IF(B811&lt;&gt;"",VLOOKUP(B811,Notes!$A$2:$B$37,2,FALSE)*1024,0) + C811*16 + IF(D811="",7,D811)*2 + IF(E811&gt;0, 1, 0))),","),"")</f>
        <v/>
      </c>
      <c r="X811" s="21" t="str">
        <f>IF(J811&gt;0,CONCATENATE("0x",(DEC2HEX(IF(I811&lt;&gt;"",VLOOKUP(I811,Notes!$A$2:$B$37,2,FALSE)*1024,0) + J811*16 + IF(K811="",7,K811)*2 + IF(L811&gt;0, 1, 0))),","),"")</f>
        <v/>
      </c>
      <c r="Y811" s="21" t="str">
        <f>IF(Q811&gt;0,CONCATENATE("0x",(DEC2HEX(IF(P811&lt;&gt;"",VLOOKUP(P811,Notes!$A$2:$B$37,2,FALSE)*1024,0) + Q811*16 + IF(R811="",7,R811)*2 + IF(S811&gt;0, 1, 0))),","),"")</f>
        <v/>
      </c>
    </row>
    <row r="812" spans="1:25" x14ac:dyDescent="0.25">
      <c r="F812" s="18">
        <f t="shared" si="72"/>
        <v>0</v>
      </c>
      <c r="G812" s="1" t="str">
        <f t="shared" si="75"/>
        <v/>
      </c>
      <c r="M812" s="18">
        <f t="shared" si="73"/>
        <v>0</v>
      </c>
      <c r="N812" s="1" t="str">
        <f t="shared" si="76"/>
        <v/>
      </c>
      <c r="T812" s="18">
        <f t="shared" si="74"/>
        <v>0</v>
      </c>
      <c r="U812" s="1" t="str">
        <f t="shared" si="77"/>
        <v/>
      </c>
      <c r="W812" s="21" t="str">
        <f>IF(C812&gt;0,CONCATENATE("0x",(DEC2HEX(IF(B812&lt;&gt;"",VLOOKUP(B812,Notes!$A$2:$B$37,2,FALSE)*1024,0) + C812*16 + IF(D812="",7,D812)*2 + IF(E812&gt;0, 1, 0))),","),"")</f>
        <v/>
      </c>
      <c r="X812" s="21" t="str">
        <f>IF(J812&gt;0,CONCATENATE("0x",(DEC2HEX(IF(I812&lt;&gt;"",VLOOKUP(I812,Notes!$A$2:$B$37,2,FALSE)*1024,0) + J812*16 + IF(K812="",7,K812)*2 + IF(L812&gt;0, 1, 0))),","),"")</f>
        <v/>
      </c>
      <c r="Y812" s="21" t="str">
        <f>IF(Q812&gt;0,CONCATENATE("0x",(DEC2HEX(IF(P812&lt;&gt;"",VLOOKUP(P812,Notes!$A$2:$B$37,2,FALSE)*1024,0) + Q812*16 + IF(R812="",7,R812)*2 + IF(S812&gt;0, 1, 0))),","),"")</f>
        <v/>
      </c>
    </row>
    <row r="813" spans="1:25" x14ac:dyDescent="0.25">
      <c r="F813" s="18">
        <f t="shared" si="72"/>
        <v>0</v>
      </c>
      <c r="G813" s="1" t="str">
        <f t="shared" si="75"/>
        <v/>
      </c>
      <c r="M813" s="18">
        <f t="shared" si="73"/>
        <v>0</v>
      </c>
      <c r="N813" s="1" t="str">
        <f t="shared" si="76"/>
        <v/>
      </c>
      <c r="T813" s="18">
        <f t="shared" si="74"/>
        <v>0</v>
      </c>
      <c r="U813" s="1" t="str">
        <f t="shared" si="77"/>
        <v/>
      </c>
      <c r="W813" s="21" t="str">
        <f>IF(C813&gt;0,CONCATENATE("0x",(DEC2HEX(IF(B813&lt;&gt;"",VLOOKUP(B813,Notes!$A$2:$B$37,2,FALSE)*1024,0) + C813*16 + IF(D813="",7,D813)*2 + IF(E813&gt;0, 1, 0))),","),"")</f>
        <v/>
      </c>
      <c r="X813" s="21" t="str">
        <f>IF(J813&gt;0,CONCATENATE("0x",(DEC2HEX(IF(I813&lt;&gt;"",VLOOKUP(I813,Notes!$A$2:$B$37,2,FALSE)*1024,0) + J813*16 + IF(K813="",7,K813)*2 + IF(L813&gt;0, 1, 0))),","),"")</f>
        <v/>
      </c>
      <c r="Y813" s="21" t="str">
        <f>IF(Q813&gt;0,CONCATENATE("0x",(DEC2HEX(IF(P813&lt;&gt;"",VLOOKUP(P813,Notes!$A$2:$B$37,2,FALSE)*1024,0) + Q813*16 + IF(R813="",7,R813)*2 + IF(S813&gt;0, 1, 0))),","),"")</f>
        <v/>
      </c>
    </row>
    <row r="814" spans="1:25" x14ac:dyDescent="0.25">
      <c r="F814" s="18">
        <f t="shared" si="72"/>
        <v>0</v>
      </c>
      <c r="G814" s="1" t="str">
        <f t="shared" si="75"/>
        <v/>
      </c>
      <c r="M814" s="18">
        <f t="shared" si="73"/>
        <v>0</v>
      </c>
      <c r="N814" s="1" t="str">
        <f t="shared" si="76"/>
        <v/>
      </c>
      <c r="T814" s="18">
        <f t="shared" si="74"/>
        <v>0</v>
      </c>
      <c r="U814" s="1" t="str">
        <f t="shared" si="77"/>
        <v/>
      </c>
      <c r="W814" s="21" t="str">
        <f>IF(C814&gt;0,CONCATENATE("0x",(DEC2HEX(IF(B814&lt;&gt;"",VLOOKUP(B814,Notes!$A$2:$B$37,2,FALSE)*1024,0) + C814*16 + IF(D814="",7,D814)*2 + IF(E814&gt;0, 1, 0))),","),"")</f>
        <v/>
      </c>
      <c r="X814" s="21" t="str">
        <f>IF(J814&gt;0,CONCATENATE("0x",(DEC2HEX(IF(I814&lt;&gt;"",VLOOKUP(I814,Notes!$A$2:$B$37,2,FALSE)*1024,0) + J814*16 + IF(K814="",7,K814)*2 + IF(L814&gt;0, 1, 0))),","),"")</f>
        <v/>
      </c>
      <c r="Y814" s="21" t="str">
        <f>IF(Q814&gt;0,CONCATENATE("0x",(DEC2HEX(IF(P814&lt;&gt;"",VLOOKUP(P814,Notes!$A$2:$B$37,2,FALSE)*1024,0) + Q814*16 + IF(R814="",7,R814)*2 + IF(S814&gt;0, 1, 0))),","),"")</f>
        <v/>
      </c>
    </row>
    <row r="815" spans="1:25" x14ac:dyDescent="0.25">
      <c r="F815" s="18">
        <f t="shared" si="72"/>
        <v>0</v>
      </c>
      <c r="G815" s="1" t="str">
        <f t="shared" si="75"/>
        <v/>
      </c>
      <c r="M815" s="18">
        <f t="shared" si="73"/>
        <v>0</v>
      </c>
      <c r="N815" s="1" t="str">
        <f t="shared" si="76"/>
        <v/>
      </c>
      <c r="T815" s="18">
        <f t="shared" si="74"/>
        <v>0</v>
      </c>
      <c r="U815" s="1" t="str">
        <f t="shared" si="77"/>
        <v/>
      </c>
      <c r="W815" s="21" t="str">
        <f>IF(C815&gt;0,CONCATENATE("0x",(DEC2HEX(IF(B815&lt;&gt;"",VLOOKUP(B815,Notes!$A$2:$B$37,2,FALSE)*1024,0) + C815*16 + IF(D815="",7,D815)*2 + IF(E815&gt;0, 1, 0))),","),"")</f>
        <v/>
      </c>
      <c r="X815" s="21" t="str">
        <f>IF(J815&gt;0,CONCATENATE("0x",(DEC2HEX(IF(I815&lt;&gt;"",VLOOKUP(I815,Notes!$A$2:$B$37,2,FALSE)*1024,0) + J815*16 + IF(K815="",7,K815)*2 + IF(L815&gt;0, 1, 0))),","),"")</f>
        <v/>
      </c>
      <c r="Y815" s="21" t="str">
        <f>IF(Q815&gt;0,CONCATENATE("0x",(DEC2HEX(IF(P815&lt;&gt;"",VLOOKUP(P815,Notes!$A$2:$B$37,2,FALSE)*1024,0) + Q815*16 + IF(R815="",7,R815)*2 + IF(S815&gt;0, 1, 0))),","),"")</f>
        <v/>
      </c>
    </row>
    <row r="816" spans="1:25" x14ac:dyDescent="0.25">
      <c r="F816" s="18">
        <f t="shared" si="72"/>
        <v>0</v>
      </c>
      <c r="G816" s="1" t="str">
        <f t="shared" si="75"/>
        <v/>
      </c>
      <c r="M816" s="18">
        <f t="shared" si="73"/>
        <v>0</v>
      </c>
      <c r="N816" s="1" t="str">
        <f t="shared" si="76"/>
        <v/>
      </c>
      <c r="T816" s="18">
        <f t="shared" si="74"/>
        <v>0</v>
      </c>
      <c r="U816" s="1" t="str">
        <f t="shared" si="77"/>
        <v/>
      </c>
      <c r="W816" s="21" t="str">
        <f>IF(C816&gt;0,CONCATENATE("0x",(DEC2HEX(IF(B816&lt;&gt;"",VLOOKUP(B816,Notes!$A$2:$B$37,2,FALSE)*1024,0) + C816*16 + IF(D816="",7,D816)*2 + IF(E816&gt;0, 1, 0))),","),"")</f>
        <v/>
      </c>
      <c r="X816" s="21" t="str">
        <f>IF(J816&gt;0,CONCATENATE("0x",(DEC2HEX(IF(I816&lt;&gt;"",VLOOKUP(I816,Notes!$A$2:$B$37,2,FALSE)*1024,0) + J816*16 + IF(K816="",7,K816)*2 + IF(L816&gt;0, 1, 0))),","),"")</f>
        <v/>
      </c>
      <c r="Y816" s="21" t="str">
        <f>IF(Q816&gt;0,CONCATENATE("0x",(DEC2HEX(IF(P816&lt;&gt;"",VLOOKUP(P816,Notes!$A$2:$B$37,2,FALSE)*1024,0) + Q816*16 + IF(R816="",7,R816)*2 + IF(S816&gt;0, 1, 0))),","),"")</f>
        <v/>
      </c>
    </row>
    <row r="817" spans="2:25" x14ac:dyDescent="0.25">
      <c r="B817" s="12"/>
      <c r="C817" s="13"/>
      <c r="D817" s="13"/>
      <c r="E817" s="14"/>
      <c r="F817" s="18">
        <f t="shared" si="72"/>
        <v>0</v>
      </c>
      <c r="G817" s="1" t="str">
        <f t="shared" si="75"/>
        <v/>
      </c>
      <c r="I817" s="12"/>
      <c r="J817" s="13"/>
      <c r="K817" s="13"/>
      <c r="L817" s="14"/>
      <c r="M817" s="18">
        <f t="shared" si="73"/>
        <v>0</v>
      </c>
      <c r="N817" s="1" t="str">
        <f t="shared" si="76"/>
        <v/>
      </c>
      <c r="P817" s="12"/>
      <c r="Q817" s="13"/>
      <c r="R817" s="13"/>
      <c r="S817" s="14"/>
      <c r="T817" s="18">
        <f t="shared" si="74"/>
        <v>0</v>
      </c>
      <c r="U817" s="1" t="str">
        <f t="shared" si="77"/>
        <v/>
      </c>
      <c r="W817" s="21" t="str">
        <f>IF(C817&gt;0,CONCATENATE("0x",(DEC2HEX(IF(B817&lt;&gt;"",VLOOKUP(B817,Notes!$A$2:$B$37,2,FALSE)*1024,0) + C817*16 + IF(D817="",7,D817)*2 + IF(E817&gt;0, 1, 0))),","),"")</f>
        <v/>
      </c>
      <c r="X817" s="21" t="str">
        <f>IF(J817&gt;0,CONCATENATE("0x",(DEC2HEX(IF(I817&lt;&gt;"",VLOOKUP(I817,Notes!$A$2:$B$37,2,FALSE)*1024,0) + J817*16 + IF(K817="",7,K817)*2 + IF(L817&gt;0, 1, 0))),","),"")</f>
        <v/>
      </c>
      <c r="Y817" s="21" t="str">
        <f>IF(Q817&gt;0,CONCATENATE("0x",(DEC2HEX(IF(P817&lt;&gt;"",VLOOKUP(P817,Notes!$A$2:$B$37,2,FALSE)*1024,0) + Q817*16 + IF(R817="",7,R817)*2 + IF(S817&gt;0, 1, 0))),","),"")</f>
        <v/>
      </c>
    </row>
    <row r="818" spans="2:25" x14ac:dyDescent="0.25">
      <c r="F818" s="18">
        <f t="shared" si="72"/>
        <v>0</v>
      </c>
      <c r="G818" s="1" t="str">
        <f t="shared" si="75"/>
        <v/>
      </c>
      <c r="M818" s="18">
        <f t="shared" si="73"/>
        <v>0</v>
      </c>
      <c r="N818" s="1" t="str">
        <f t="shared" si="76"/>
        <v/>
      </c>
      <c r="T818" s="18">
        <f t="shared" si="74"/>
        <v>0</v>
      </c>
      <c r="U818" s="1" t="str">
        <f t="shared" si="77"/>
        <v/>
      </c>
      <c r="W818" s="21" t="str">
        <f>IF(C818&gt;0,CONCATENATE("0x",(DEC2HEX(IF(B818&lt;&gt;"",VLOOKUP(B818,Notes!$A$2:$B$37,2,FALSE)*1024,0) + C818*16 + IF(D818="",7,D818)*2 + IF(E818&gt;0, 1, 0))),","),"")</f>
        <v/>
      </c>
      <c r="X818" s="21" t="str">
        <f>IF(J818&gt;0,CONCATENATE("0x",(DEC2HEX(IF(I818&lt;&gt;"",VLOOKUP(I818,Notes!$A$2:$B$37,2,FALSE)*1024,0) + J818*16 + IF(K818="",7,K818)*2 + IF(L818&gt;0, 1, 0))),","),"")</f>
        <v/>
      </c>
      <c r="Y818" s="21" t="str">
        <f>IF(Q818&gt;0,CONCATENATE("0x",(DEC2HEX(IF(P818&lt;&gt;"",VLOOKUP(P818,Notes!$A$2:$B$37,2,FALSE)*1024,0) + Q818*16 + IF(R818="",7,R818)*2 + IF(S818&gt;0, 1, 0))),","),"")</f>
        <v/>
      </c>
    </row>
    <row r="819" spans="2:25" x14ac:dyDescent="0.25">
      <c r="F819" s="18">
        <f t="shared" si="72"/>
        <v>0</v>
      </c>
      <c r="G819" s="1" t="str">
        <f t="shared" si="75"/>
        <v/>
      </c>
      <c r="M819" s="18">
        <f t="shared" si="73"/>
        <v>0</v>
      </c>
      <c r="N819" s="1" t="str">
        <f t="shared" si="76"/>
        <v/>
      </c>
      <c r="T819" s="18">
        <f t="shared" si="74"/>
        <v>0</v>
      </c>
      <c r="U819" s="1" t="str">
        <f t="shared" si="77"/>
        <v/>
      </c>
      <c r="W819" s="21" t="str">
        <f>IF(C819&gt;0,CONCATENATE("0x",(DEC2HEX(IF(B819&lt;&gt;"",VLOOKUP(B819,Notes!$A$2:$B$37,2,FALSE)*1024,0) + C819*16 + IF(D819="",7,D819)*2 + IF(E819&gt;0, 1, 0))),","),"")</f>
        <v/>
      </c>
      <c r="X819" s="21" t="str">
        <f>IF(J819&gt;0,CONCATENATE("0x",(DEC2HEX(IF(I819&lt;&gt;"",VLOOKUP(I819,Notes!$A$2:$B$37,2,FALSE)*1024,0) + J819*16 + IF(K819="",7,K819)*2 + IF(L819&gt;0, 1, 0))),","),"")</f>
        <v/>
      </c>
      <c r="Y819" s="21" t="str">
        <f>IF(Q819&gt;0,CONCATENATE("0x",(DEC2HEX(IF(P819&lt;&gt;"",VLOOKUP(P819,Notes!$A$2:$B$37,2,FALSE)*1024,0) + Q819*16 + IF(R819="",7,R819)*2 + IF(S819&gt;0, 1, 0))),","),"")</f>
        <v/>
      </c>
    </row>
    <row r="820" spans="2:25" x14ac:dyDescent="0.25">
      <c r="F820" s="18">
        <f t="shared" si="72"/>
        <v>0</v>
      </c>
      <c r="G820" s="1" t="str">
        <f t="shared" si="75"/>
        <v/>
      </c>
      <c r="M820" s="18">
        <f t="shared" si="73"/>
        <v>0</v>
      </c>
      <c r="N820" s="1" t="str">
        <f t="shared" si="76"/>
        <v/>
      </c>
      <c r="T820" s="18">
        <f t="shared" si="74"/>
        <v>0</v>
      </c>
      <c r="U820" s="1" t="str">
        <f t="shared" si="77"/>
        <v/>
      </c>
      <c r="W820" s="21" t="str">
        <f>IF(C820&gt;0,CONCATENATE("0x",(DEC2HEX(IF(B820&lt;&gt;"",VLOOKUP(B820,Notes!$A$2:$B$37,2,FALSE)*1024,0) + C820*16 + IF(D820="",7,D820)*2 + IF(E820&gt;0, 1, 0))),","),"")</f>
        <v/>
      </c>
      <c r="X820" s="21" t="str">
        <f>IF(J820&gt;0,CONCATENATE("0x",(DEC2HEX(IF(I820&lt;&gt;"",VLOOKUP(I820,Notes!$A$2:$B$37,2,FALSE)*1024,0) + J820*16 + IF(K820="",7,K820)*2 + IF(L820&gt;0, 1, 0))),","),"")</f>
        <v/>
      </c>
      <c r="Y820" s="21" t="str">
        <f>IF(Q820&gt;0,CONCATENATE("0x",(DEC2HEX(IF(P820&lt;&gt;"",VLOOKUP(P820,Notes!$A$2:$B$37,2,FALSE)*1024,0) + Q820*16 + IF(R820="",7,R820)*2 + IF(S820&gt;0, 1, 0))),","),"")</f>
        <v/>
      </c>
    </row>
    <row r="821" spans="2:25" x14ac:dyDescent="0.25">
      <c r="F821" s="18">
        <f t="shared" si="72"/>
        <v>0</v>
      </c>
      <c r="G821" s="1" t="str">
        <f t="shared" si="75"/>
        <v/>
      </c>
      <c r="M821" s="18">
        <f t="shared" si="73"/>
        <v>0</v>
      </c>
      <c r="N821" s="1" t="str">
        <f t="shared" si="76"/>
        <v/>
      </c>
      <c r="T821" s="18">
        <f t="shared" si="74"/>
        <v>0</v>
      </c>
      <c r="U821" s="1" t="str">
        <f t="shared" si="77"/>
        <v/>
      </c>
      <c r="W821" s="21" t="str">
        <f>IF(C821&gt;0,CONCATENATE("0x",(DEC2HEX(IF(B821&lt;&gt;"",VLOOKUP(B821,Notes!$A$2:$B$37,2,FALSE)*1024,0) + C821*16 + IF(D821="",7,D821)*2 + IF(E821&gt;0, 1, 0))),","),"")</f>
        <v/>
      </c>
      <c r="X821" s="21" t="str">
        <f>IF(J821&gt;0,CONCATENATE("0x",(DEC2HEX(IF(I821&lt;&gt;"",VLOOKUP(I821,Notes!$A$2:$B$37,2,FALSE)*1024,0) + J821*16 + IF(K821="",7,K821)*2 + IF(L821&gt;0, 1, 0))),","),"")</f>
        <v/>
      </c>
      <c r="Y821" s="21" t="str">
        <f>IF(Q821&gt;0,CONCATENATE("0x",(DEC2HEX(IF(P821&lt;&gt;"",VLOOKUP(P821,Notes!$A$2:$B$37,2,FALSE)*1024,0) + Q821*16 + IF(R821="",7,R821)*2 + IF(S821&gt;0, 1, 0))),","),"")</f>
        <v/>
      </c>
    </row>
    <row r="822" spans="2:25" x14ac:dyDescent="0.25">
      <c r="F822" s="18">
        <f t="shared" si="72"/>
        <v>0</v>
      </c>
      <c r="G822" s="1" t="str">
        <f t="shared" si="75"/>
        <v/>
      </c>
      <c r="M822" s="18">
        <f t="shared" si="73"/>
        <v>0</v>
      </c>
      <c r="N822" s="1" t="str">
        <f t="shared" si="76"/>
        <v/>
      </c>
      <c r="T822" s="18">
        <f t="shared" si="74"/>
        <v>0</v>
      </c>
      <c r="U822" s="1" t="str">
        <f t="shared" si="77"/>
        <v/>
      </c>
      <c r="W822" s="21" t="str">
        <f>IF(C822&gt;0,CONCATENATE("0x",(DEC2HEX(IF(B822&lt;&gt;"",VLOOKUP(B822,Notes!$A$2:$B$37,2,FALSE)*1024,0) + C822*16 + IF(D822="",7,D822)*2 + IF(E822&gt;0, 1, 0))),","),"")</f>
        <v/>
      </c>
      <c r="X822" s="21" t="str">
        <f>IF(J822&gt;0,CONCATENATE("0x",(DEC2HEX(IF(I822&lt;&gt;"",VLOOKUP(I822,Notes!$A$2:$B$37,2,FALSE)*1024,0) + J822*16 + IF(K822="",7,K822)*2 + IF(L822&gt;0, 1, 0))),","),"")</f>
        <v/>
      </c>
      <c r="Y822" s="21" t="str">
        <f>IF(Q822&gt;0,CONCATENATE("0x",(DEC2HEX(IF(P822&lt;&gt;"",VLOOKUP(P822,Notes!$A$2:$B$37,2,FALSE)*1024,0) + Q822*16 + IF(R822="",7,R822)*2 + IF(S822&gt;0, 1, 0))),","),"")</f>
        <v/>
      </c>
    </row>
    <row r="823" spans="2:25" x14ac:dyDescent="0.25">
      <c r="F823" s="18">
        <f t="shared" si="72"/>
        <v>0</v>
      </c>
      <c r="G823" s="1" t="str">
        <f t="shared" si="75"/>
        <v/>
      </c>
      <c r="M823" s="18">
        <f t="shared" si="73"/>
        <v>0</v>
      </c>
      <c r="N823" s="1" t="str">
        <f t="shared" si="76"/>
        <v/>
      </c>
      <c r="T823" s="18">
        <f t="shared" si="74"/>
        <v>0</v>
      </c>
      <c r="U823" s="1" t="str">
        <f t="shared" si="77"/>
        <v/>
      </c>
      <c r="W823" s="21" t="str">
        <f>IF(C823&gt;0,CONCATENATE("0x",(DEC2HEX(IF(B823&lt;&gt;"",VLOOKUP(B823,Notes!$A$2:$B$37,2,FALSE)*1024,0) + C823*16 + IF(D823="",7,D823)*2 + IF(E823&gt;0, 1, 0))),","),"")</f>
        <v/>
      </c>
      <c r="X823" s="21" t="str">
        <f>IF(J823&gt;0,CONCATENATE("0x",(DEC2HEX(IF(I823&lt;&gt;"",VLOOKUP(I823,Notes!$A$2:$B$37,2,FALSE)*1024,0) + J823*16 + IF(K823="",7,K823)*2 + IF(L823&gt;0, 1, 0))),","),"")</f>
        <v/>
      </c>
      <c r="Y823" s="21" t="str">
        <f>IF(Q823&gt;0,CONCATENATE("0x",(DEC2HEX(IF(P823&lt;&gt;"",VLOOKUP(P823,Notes!$A$2:$B$37,2,FALSE)*1024,0) + Q823*16 + IF(R823="",7,R823)*2 + IF(S823&gt;0, 1, 0))),","),"")</f>
        <v/>
      </c>
    </row>
    <row r="824" spans="2:25" x14ac:dyDescent="0.25">
      <c r="F824" s="18">
        <f t="shared" si="72"/>
        <v>0</v>
      </c>
      <c r="G824" s="1" t="str">
        <f t="shared" si="75"/>
        <v/>
      </c>
      <c r="M824" s="18">
        <f t="shared" si="73"/>
        <v>0</v>
      </c>
      <c r="N824" s="1" t="str">
        <f t="shared" si="76"/>
        <v/>
      </c>
      <c r="T824" s="18">
        <f t="shared" si="74"/>
        <v>0</v>
      </c>
      <c r="U824" s="1" t="str">
        <f t="shared" si="77"/>
        <v/>
      </c>
      <c r="W824" s="21" t="str">
        <f>IF(C824&gt;0,CONCATENATE("0x",(DEC2HEX(IF(B824&lt;&gt;"",VLOOKUP(B824,Notes!$A$2:$B$37,2,FALSE)*1024,0) + C824*16 + IF(D824="",7,D824)*2 + IF(E824&gt;0, 1, 0))),","),"")</f>
        <v/>
      </c>
      <c r="X824" s="21" t="str">
        <f>IF(J824&gt;0,CONCATENATE("0x",(DEC2HEX(IF(I824&lt;&gt;"",VLOOKUP(I824,Notes!$A$2:$B$37,2,FALSE)*1024,0) + J824*16 + IF(K824="",7,K824)*2 + IF(L824&gt;0, 1, 0))),","),"")</f>
        <v/>
      </c>
      <c r="Y824" s="21" t="str">
        <f>IF(Q824&gt;0,CONCATENATE("0x",(DEC2HEX(IF(P824&lt;&gt;"",VLOOKUP(P824,Notes!$A$2:$B$37,2,FALSE)*1024,0) + Q824*16 + IF(R824="",7,R824)*2 + IF(S824&gt;0, 1, 0))),","),"")</f>
        <v/>
      </c>
    </row>
    <row r="825" spans="2:25" x14ac:dyDescent="0.25">
      <c r="B825" s="12"/>
      <c r="C825" s="13"/>
      <c r="D825" s="13"/>
      <c r="E825" s="14"/>
      <c r="F825" s="18">
        <f t="shared" si="72"/>
        <v>0</v>
      </c>
      <c r="G825" s="1" t="str">
        <f t="shared" si="75"/>
        <v/>
      </c>
      <c r="I825" s="12"/>
      <c r="J825" s="13"/>
      <c r="K825" s="13"/>
      <c r="L825" s="14"/>
      <c r="M825" s="18">
        <f t="shared" si="73"/>
        <v>0</v>
      </c>
      <c r="N825" s="1" t="str">
        <f t="shared" si="76"/>
        <v/>
      </c>
      <c r="P825" s="12"/>
      <c r="Q825" s="13"/>
      <c r="R825" s="13"/>
      <c r="S825" s="14"/>
      <c r="T825" s="18">
        <f t="shared" si="74"/>
        <v>0</v>
      </c>
      <c r="U825" s="1" t="str">
        <f t="shared" si="77"/>
        <v/>
      </c>
      <c r="W825" s="21" t="str">
        <f>IF(C825&gt;0,CONCATENATE("0x",(DEC2HEX(IF(B825&lt;&gt;"",VLOOKUP(B825,Notes!$A$2:$B$37,2,FALSE)*1024,0) + C825*16 + IF(D825="",7,D825)*2 + IF(E825&gt;0, 1, 0))),","),"")</f>
        <v/>
      </c>
      <c r="X825" s="21" t="str">
        <f>IF(J825&gt;0,CONCATENATE("0x",(DEC2HEX(IF(I825&lt;&gt;"",VLOOKUP(I825,Notes!$A$2:$B$37,2,FALSE)*1024,0) + J825*16 + IF(K825="",7,K825)*2 + IF(L825&gt;0, 1, 0))),","),"")</f>
        <v/>
      </c>
      <c r="Y825" s="21" t="str">
        <f>IF(Q825&gt;0,CONCATENATE("0x",(DEC2HEX(IF(P825&lt;&gt;"",VLOOKUP(P825,Notes!$A$2:$B$37,2,FALSE)*1024,0) + Q825*16 + IF(R825="",7,R825)*2 + IF(S825&gt;0, 1, 0))),","),"")</f>
        <v/>
      </c>
    </row>
    <row r="826" spans="2:25" x14ac:dyDescent="0.25">
      <c r="F826" s="18">
        <f t="shared" si="72"/>
        <v>0</v>
      </c>
      <c r="G826" s="1" t="str">
        <f t="shared" si="75"/>
        <v/>
      </c>
      <c r="M826" s="18">
        <f t="shared" si="73"/>
        <v>0</v>
      </c>
      <c r="N826" s="1" t="str">
        <f t="shared" si="76"/>
        <v/>
      </c>
      <c r="T826" s="18">
        <f t="shared" si="74"/>
        <v>0</v>
      </c>
      <c r="U826" s="1" t="str">
        <f t="shared" si="77"/>
        <v/>
      </c>
      <c r="W826" s="21" t="str">
        <f>IF(C826&gt;0,CONCATENATE("0x",(DEC2HEX(IF(B826&lt;&gt;"",VLOOKUP(B826,Notes!$A$2:$B$37,2,FALSE)*1024,0) + C826*16 + IF(D826="",7,D826)*2 + IF(E826&gt;0, 1, 0))),","),"")</f>
        <v/>
      </c>
      <c r="X826" s="21" t="str">
        <f>IF(J826&gt;0,CONCATENATE("0x",(DEC2HEX(IF(I826&lt;&gt;"",VLOOKUP(I826,Notes!$A$2:$B$37,2,FALSE)*1024,0) + J826*16 + IF(K826="",7,K826)*2 + IF(L826&gt;0, 1, 0))),","),"")</f>
        <v/>
      </c>
      <c r="Y826" s="21" t="str">
        <f>IF(Q826&gt;0,CONCATENATE("0x",(DEC2HEX(IF(P826&lt;&gt;"",VLOOKUP(P826,Notes!$A$2:$B$37,2,FALSE)*1024,0) + Q826*16 + IF(R826="",7,R826)*2 + IF(S826&gt;0, 1, 0))),","),"")</f>
        <v/>
      </c>
    </row>
    <row r="827" spans="2:25" x14ac:dyDescent="0.25">
      <c r="F827" s="18">
        <f t="shared" si="72"/>
        <v>0</v>
      </c>
      <c r="G827" s="1" t="str">
        <f t="shared" si="75"/>
        <v/>
      </c>
      <c r="M827" s="18">
        <f t="shared" si="73"/>
        <v>0</v>
      </c>
      <c r="N827" s="1" t="str">
        <f t="shared" si="76"/>
        <v/>
      </c>
      <c r="T827" s="18">
        <f t="shared" si="74"/>
        <v>0</v>
      </c>
      <c r="U827" s="1" t="str">
        <f t="shared" si="77"/>
        <v/>
      </c>
      <c r="W827" s="21" t="str">
        <f>IF(C827&gt;0,CONCATENATE("0x",(DEC2HEX(IF(B827&lt;&gt;"",VLOOKUP(B827,Notes!$A$2:$B$37,2,FALSE)*1024,0) + C827*16 + IF(D827="",7,D827)*2 + IF(E827&gt;0, 1, 0))),","),"")</f>
        <v/>
      </c>
      <c r="X827" s="21" t="str">
        <f>IF(J827&gt;0,CONCATENATE("0x",(DEC2HEX(IF(I827&lt;&gt;"",VLOOKUP(I827,Notes!$A$2:$B$37,2,FALSE)*1024,0) + J827*16 + IF(K827="",7,K827)*2 + IF(L827&gt;0, 1, 0))),","),"")</f>
        <v/>
      </c>
      <c r="Y827" s="21" t="str">
        <f>IF(Q827&gt;0,CONCATENATE("0x",(DEC2HEX(IF(P827&lt;&gt;"",VLOOKUP(P827,Notes!$A$2:$B$37,2,FALSE)*1024,0) + Q827*16 + IF(R827="",7,R827)*2 + IF(S827&gt;0, 1, 0))),","),"")</f>
        <v/>
      </c>
    </row>
    <row r="828" spans="2:25" x14ac:dyDescent="0.25">
      <c r="F828" s="18">
        <f t="shared" si="72"/>
        <v>0</v>
      </c>
      <c r="G828" s="1" t="str">
        <f t="shared" si="75"/>
        <v/>
      </c>
      <c r="M828" s="18">
        <f t="shared" si="73"/>
        <v>0</v>
      </c>
      <c r="N828" s="1" t="str">
        <f t="shared" si="76"/>
        <v/>
      </c>
      <c r="T828" s="18">
        <f t="shared" si="74"/>
        <v>0</v>
      </c>
      <c r="U828" s="1" t="str">
        <f t="shared" si="77"/>
        <v/>
      </c>
      <c r="W828" s="21" t="str">
        <f>IF(C828&gt;0,CONCATENATE("0x",(DEC2HEX(IF(B828&lt;&gt;"",VLOOKUP(B828,Notes!$A$2:$B$37,2,FALSE)*1024,0) + C828*16 + IF(D828="",7,D828)*2 + IF(E828&gt;0, 1, 0))),","),"")</f>
        <v/>
      </c>
      <c r="X828" s="21" t="str">
        <f>IF(J828&gt;0,CONCATENATE("0x",(DEC2HEX(IF(I828&lt;&gt;"",VLOOKUP(I828,Notes!$A$2:$B$37,2,FALSE)*1024,0) + J828*16 + IF(K828="",7,K828)*2 + IF(L828&gt;0, 1, 0))),","),"")</f>
        <v/>
      </c>
      <c r="Y828" s="21" t="str">
        <f>IF(Q828&gt;0,CONCATENATE("0x",(DEC2HEX(IF(P828&lt;&gt;"",VLOOKUP(P828,Notes!$A$2:$B$37,2,FALSE)*1024,0) + Q828*16 + IF(R828="",7,R828)*2 + IF(S828&gt;0, 1, 0))),","),"")</f>
        <v/>
      </c>
    </row>
    <row r="829" spans="2:25" x14ac:dyDescent="0.25">
      <c r="F829" s="18">
        <f t="shared" si="72"/>
        <v>0</v>
      </c>
      <c r="G829" s="1" t="str">
        <f t="shared" si="75"/>
        <v/>
      </c>
      <c r="M829" s="18">
        <f t="shared" si="73"/>
        <v>0</v>
      </c>
      <c r="N829" s="1" t="str">
        <f t="shared" si="76"/>
        <v/>
      </c>
      <c r="T829" s="18">
        <f t="shared" si="74"/>
        <v>0</v>
      </c>
      <c r="U829" s="1" t="str">
        <f t="shared" si="77"/>
        <v/>
      </c>
      <c r="W829" s="21" t="str">
        <f>IF(C829&gt;0,CONCATENATE("0x",(DEC2HEX(IF(B829&lt;&gt;"",VLOOKUP(B829,Notes!$A$2:$B$37,2,FALSE)*1024,0) + C829*16 + IF(D829="",7,D829)*2 + IF(E829&gt;0, 1, 0))),","),"")</f>
        <v/>
      </c>
      <c r="X829" s="21" t="str">
        <f>IF(J829&gt;0,CONCATENATE("0x",(DEC2HEX(IF(I829&lt;&gt;"",VLOOKUP(I829,Notes!$A$2:$B$37,2,FALSE)*1024,0) + J829*16 + IF(K829="",7,K829)*2 + IF(L829&gt;0, 1, 0))),","),"")</f>
        <v/>
      </c>
      <c r="Y829" s="21" t="str">
        <f>IF(Q829&gt;0,CONCATENATE("0x",(DEC2HEX(IF(P829&lt;&gt;"",VLOOKUP(P829,Notes!$A$2:$B$37,2,FALSE)*1024,0) + Q829*16 + IF(R829="",7,R829)*2 + IF(S829&gt;0, 1, 0))),","),"")</f>
        <v/>
      </c>
    </row>
    <row r="830" spans="2:25" x14ac:dyDescent="0.25">
      <c r="F830" s="18">
        <f t="shared" si="72"/>
        <v>0</v>
      </c>
      <c r="G830" s="1" t="str">
        <f t="shared" si="75"/>
        <v/>
      </c>
      <c r="M830" s="18">
        <f t="shared" si="73"/>
        <v>0</v>
      </c>
      <c r="N830" s="1" t="str">
        <f t="shared" si="76"/>
        <v/>
      </c>
      <c r="T830" s="18">
        <f t="shared" si="74"/>
        <v>0</v>
      </c>
      <c r="U830" s="1" t="str">
        <f t="shared" si="77"/>
        <v/>
      </c>
      <c r="W830" s="21" t="str">
        <f>IF(C830&gt;0,CONCATENATE("0x",(DEC2HEX(IF(B830&lt;&gt;"",VLOOKUP(B830,Notes!$A$2:$B$37,2,FALSE)*1024,0) + C830*16 + IF(D830="",7,D830)*2 + IF(E830&gt;0, 1, 0))),","),"")</f>
        <v/>
      </c>
      <c r="X830" s="21" t="str">
        <f>IF(J830&gt;0,CONCATENATE("0x",(DEC2HEX(IF(I830&lt;&gt;"",VLOOKUP(I830,Notes!$A$2:$B$37,2,FALSE)*1024,0) + J830*16 + IF(K830="",7,K830)*2 + IF(L830&gt;0, 1, 0))),","),"")</f>
        <v/>
      </c>
      <c r="Y830" s="21" t="str">
        <f>IF(Q830&gt;0,CONCATENATE("0x",(DEC2HEX(IF(P830&lt;&gt;"",VLOOKUP(P830,Notes!$A$2:$B$37,2,FALSE)*1024,0) + Q830*16 + IF(R830="",7,R830)*2 + IF(S830&gt;0, 1, 0))),","),"")</f>
        <v/>
      </c>
    </row>
    <row r="831" spans="2:25" x14ac:dyDescent="0.25">
      <c r="F831" s="18">
        <f t="shared" si="72"/>
        <v>0</v>
      </c>
      <c r="G831" s="1" t="str">
        <f t="shared" si="75"/>
        <v/>
      </c>
      <c r="M831" s="18">
        <f t="shared" si="73"/>
        <v>0</v>
      </c>
      <c r="N831" s="1" t="str">
        <f t="shared" si="76"/>
        <v/>
      </c>
      <c r="T831" s="18">
        <f t="shared" si="74"/>
        <v>0</v>
      </c>
      <c r="U831" s="1" t="str">
        <f t="shared" si="77"/>
        <v/>
      </c>
      <c r="W831" s="21" t="str">
        <f>IF(C831&gt;0,CONCATENATE("0x",(DEC2HEX(IF(B831&lt;&gt;"",VLOOKUP(B831,Notes!$A$2:$B$37,2,FALSE)*1024,0) + C831*16 + IF(D831="",7,D831)*2 + IF(E831&gt;0, 1, 0))),","),"")</f>
        <v/>
      </c>
      <c r="X831" s="21" t="str">
        <f>IF(J831&gt;0,CONCATENATE("0x",(DEC2HEX(IF(I831&lt;&gt;"",VLOOKUP(I831,Notes!$A$2:$B$37,2,FALSE)*1024,0) + J831*16 + IF(K831="",7,K831)*2 + IF(L831&gt;0, 1, 0))),","),"")</f>
        <v/>
      </c>
      <c r="Y831" s="21" t="str">
        <f>IF(Q831&gt;0,CONCATENATE("0x",(DEC2HEX(IF(P831&lt;&gt;"",VLOOKUP(P831,Notes!$A$2:$B$37,2,FALSE)*1024,0) + Q831*16 + IF(R831="",7,R831)*2 + IF(S831&gt;0, 1, 0))),","),"")</f>
        <v/>
      </c>
    </row>
    <row r="832" spans="2:25" x14ac:dyDescent="0.25">
      <c r="F832" s="18">
        <f t="shared" si="72"/>
        <v>0</v>
      </c>
      <c r="G832" s="1" t="str">
        <f t="shared" si="75"/>
        <v/>
      </c>
      <c r="M832" s="18">
        <f t="shared" si="73"/>
        <v>0</v>
      </c>
      <c r="N832" s="1" t="str">
        <f t="shared" si="76"/>
        <v/>
      </c>
      <c r="T832" s="18">
        <f t="shared" si="74"/>
        <v>0</v>
      </c>
      <c r="U832" s="1" t="str">
        <f t="shared" si="77"/>
        <v/>
      </c>
      <c r="W832" s="21" t="str">
        <f>IF(C832&gt;0,CONCATENATE("0x",(DEC2HEX(IF(B832&lt;&gt;"",VLOOKUP(B832,Notes!$A$2:$B$37,2,FALSE)*1024,0) + C832*16 + IF(D832="",7,D832)*2 + IF(E832&gt;0, 1, 0))),","),"")</f>
        <v/>
      </c>
      <c r="X832" s="21" t="str">
        <f>IF(J832&gt;0,CONCATENATE("0x",(DEC2HEX(IF(I832&lt;&gt;"",VLOOKUP(I832,Notes!$A$2:$B$37,2,FALSE)*1024,0) + J832*16 + IF(K832="",7,K832)*2 + IF(L832&gt;0, 1, 0))),","),"")</f>
        <v/>
      </c>
      <c r="Y832" s="21" t="str">
        <f>IF(Q832&gt;0,CONCATENATE("0x",(DEC2HEX(IF(P832&lt;&gt;"",VLOOKUP(P832,Notes!$A$2:$B$37,2,FALSE)*1024,0) + Q832*16 + IF(R832="",7,R832)*2 + IF(S832&gt;0, 1, 0))),","),"")</f>
        <v/>
      </c>
    </row>
    <row r="833" spans="1:25" ht="16.5" thickBot="1" x14ac:dyDescent="0.3">
      <c r="B833" s="15"/>
      <c r="C833" s="16"/>
      <c r="D833" s="16"/>
      <c r="E833" s="17"/>
      <c r="F833" s="18">
        <f t="shared" si="72"/>
        <v>0</v>
      </c>
      <c r="G833" s="1" t="str">
        <f t="shared" si="75"/>
        <v/>
      </c>
      <c r="I833" s="15"/>
      <c r="J833" s="16"/>
      <c r="K833" s="16"/>
      <c r="L833" s="17"/>
      <c r="M833" s="18">
        <f t="shared" si="73"/>
        <v>0</v>
      </c>
      <c r="N833" s="1" t="str">
        <f t="shared" si="76"/>
        <v/>
      </c>
      <c r="P833" s="15"/>
      <c r="Q833" s="16"/>
      <c r="R833" s="16"/>
      <c r="S833" s="17"/>
      <c r="T833" s="18">
        <f t="shared" si="74"/>
        <v>0</v>
      </c>
      <c r="U833" s="1" t="str">
        <f t="shared" si="77"/>
        <v/>
      </c>
      <c r="W833" s="21" t="str">
        <f>IF(C833&gt;0,CONCATENATE("0x",(DEC2HEX(IF(B833&lt;&gt;"",VLOOKUP(B833,Notes!$A$2:$B$37,2,FALSE)*1024,0) + C833*16 + IF(D833="",7,D833)*2 + IF(E833&gt;0, 1, 0))),","),"")</f>
        <v/>
      </c>
      <c r="X833" s="21" t="str">
        <f>IF(J833&gt;0,CONCATENATE("0x",(DEC2HEX(IF(I833&lt;&gt;"",VLOOKUP(I833,Notes!$A$2:$B$37,2,FALSE)*1024,0) + J833*16 + IF(K833="",7,K833)*2 + IF(L833&gt;0, 1, 0))),","),"")</f>
        <v/>
      </c>
      <c r="Y833" s="21" t="str">
        <f>IF(Q833&gt;0,CONCATENATE("0x",(DEC2HEX(IF(P833&lt;&gt;"",VLOOKUP(P833,Notes!$A$2:$B$37,2,FALSE)*1024,0) + Q833*16 + IF(R833="",7,R833)*2 + IF(S833&gt;0, 1, 0))),","),"")</f>
        <v/>
      </c>
    </row>
    <row r="834" spans="1:25" ht="16.5" thickTop="1" x14ac:dyDescent="0.25">
      <c r="A834" s="1">
        <v>27</v>
      </c>
      <c r="F834" s="18">
        <f t="shared" si="72"/>
        <v>0</v>
      </c>
      <c r="G834" s="1" t="str">
        <f t="shared" si="75"/>
        <v/>
      </c>
      <c r="M834" s="18">
        <f t="shared" si="73"/>
        <v>0</v>
      </c>
      <c r="N834" s="1" t="str">
        <f t="shared" si="76"/>
        <v/>
      </c>
      <c r="T834" s="18">
        <f t="shared" si="74"/>
        <v>0</v>
      </c>
      <c r="U834" s="1" t="str">
        <f t="shared" si="77"/>
        <v/>
      </c>
      <c r="W834" s="21" t="str">
        <f>IF(C834&gt;0,CONCATENATE("0x",(DEC2HEX(IF(B834&lt;&gt;"",VLOOKUP(B834,Notes!$A$2:$B$37,2,FALSE)*1024,0) + C834*16 + IF(D834="",7,D834)*2 + IF(E834&gt;0, 1, 0))),","),"")</f>
        <v/>
      </c>
      <c r="X834" s="21" t="str">
        <f>IF(J834&gt;0,CONCATENATE("0x",(DEC2HEX(IF(I834&lt;&gt;"",VLOOKUP(I834,Notes!$A$2:$B$37,2,FALSE)*1024,0) + J834*16 + IF(K834="",7,K834)*2 + IF(L834&gt;0, 1, 0))),","),"")</f>
        <v/>
      </c>
      <c r="Y834" s="21" t="str">
        <f>IF(Q834&gt;0,CONCATENATE("0x",(DEC2HEX(IF(P834&lt;&gt;"",VLOOKUP(P834,Notes!$A$2:$B$37,2,FALSE)*1024,0) + Q834*16 + IF(R834="",7,R834)*2 + IF(S834&gt;0, 1, 0))),","),"")</f>
        <v/>
      </c>
    </row>
    <row r="835" spans="1:25" x14ac:dyDescent="0.25">
      <c r="F835" s="18">
        <f t="shared" ref="F835:F898" si="78">IF(C835&gt;0, C835, MAX(F834-1,0))</f>
        <v>0</v>
      </c>
      <c r="G835" s="1" t="str">
        <f t="shared" si="75"/>
        <v/>
      </c>
      <c r="M835" s="18">
        <f t="shared" ref="M835:M898" si="79">IF(J835&gt;0, J835, MAX(M834-1,0))</f>
        <v>0</v>
      </c>
      <c r="N835" s="1" t="str">
        <f t="shared" si="76"/>
        <v/>
      </c>
      <c r="T835" s="18">
        <f t="shared" ref="T835:T898" si="80">IF(Q835&gt;0, Q835, MAX(T834-1,0))</f>
        <v>0</v>
      </c>
      <c r="U835" s="1" t="str">
        <f t="shared" si="77"/>
        <v/>
      </c>
      <c r="W835" s="21" t="str">
        <f>IF(C835&gt;0,CONCATENATE("0x",(DEC2HEX(IF(B835&lt;&gt;"",VLOOKUP(B835,Notes!$A$2:$B$37,2,FALSE)*1024,0) + C835*16 + IF(D835="",7,D835)*2 + IF(E835&gt;0, 1, 0))),","),"")</f>
        <v/>
      </c>
      <c r="X835" s="21" t="str">
        <f>IF(J835&gt;0,CONCATENATE("0x",(DEC2HEX(IF(I835&lt;&gt;"",VLOOKUP(I835,Notes!$A$2:$B$37,2,FALSE)*1024,0) + J835*16 + IF(K835="",7,K835)*2 + IF(L835&gt;0, 1, 0))),","),"")</f>
        <v/>
      </c>
      <c r="Y835" s="21" t="str">
        <f>IF(Q835&gt;0,CONCATENATE("0x",(DEC2HEX(IF(P835&lt;&gt;"",VLOOKUP(P835,Notes!$A$2:$B$37,2,FALSE)*1024,0) + Q835*16 + IF(R835="",7,R835)*2 + IF(S835&gt;0, 1, 0))),","),"")</f>
        <v/>
      </c>
    </row>
    <row r="836" spans="1:25" x14ac:dyDescent="0.25">
      <c r="F836" s="18">
        <f t="shared" si="78"/>
        <v>0</v>
      </c>
      <c r="G836" s="1" t="str">
        <f t="shared" ref="G836:G899" si="81">IF(AND(F835&gt;1,C836&gt;0), "OVERLAPPING","")</f>
        <v/>
      </c>
      <c r="M836" s="18">
        <f t="shared" si="79"/>
        <v>0</v>
      </c>
      <c r="N836" s="1" t="str">
        <f t="shared" ref="N836:N899" si="82">IF(AND(M835&gt;1,J836&gt;0), "OVERLAPPING","")</f>
        <v/>
      </c>
      <c r="T836" s="18">
        <f t="shared" si="80"/>
        <v>0</v>
      </c>
      <c r="U836" s="1" t="str">
        <f t="shared" ref="U836:U899" si="83">IF(AND(T835&gt;1,Q836&gt;0), "OVERLAPPING","")</f>
        <v/>
      </c>
      <c r="W836" s="21" t="str">
        <f>IF(C836&gt;0,CONCATENATE("0x",(DEC2HEX(IF(B836&lt;&gt;"",VLOOKUP(B836,Notes!$A$2:$B$37,2,FALSE)*1024,0) + C836*16 + IF(D836="",7,D836)*2 + IF(E836&gt;0, 1, 0))),","),"")</f>
        <v/>
      </c>
      <c r="X836" s="21" t="str">
        <f>IF(J836&gt;0,CONCATENATE("0x",(DEC2HEX(IF(I836&lt;&gt;"",VLOOKUP(I836,Notes!$A$2:$B$37,2,FALSE)*1024,0) + J836*16 + IF(K836="",7,K836)*2 + IF(L836&gt;0, 1, 0))),","),"")</f>
        <v/>
      </c>
      <c r="Y836" s="21" t="str">
        <f>IF(Q836&gt;0,CONCATENATE("0x",(DEC2HEX(IF(P836&lt;&gt;"",VLOOKUP(P836,Notes!$A$2:$B$37,2,FALSE)*1024,0) + Q836*16 + IF(R836="",7,R836)*2 + IF(S836&gt;0, 1, 0))),","),"")</f>
        <v/>
      </c>
    </row>
    <row r="837" spans="1:25" x14ac:dyDescent="0.25">
      <c r="F837" s="18">
        <f t="shared" si="78"/>
        <v>0</v>
      </c>
      <c r="G837" s="1" t="str">
        <f t="shared" si="81"/>
        <v/>
      </c>
      <c r="M837" s="18">
        <f t="shared" si="79"/>
        <v>0</v>
      </c>
      <c r="N837" s="1" t="str">
        <f t="shared" si="82"/>
        <v/>
      </c>
      <c r="T837" s="18">
        <f t="shared" si="80"/>
        <v>0</v>
      </c>
      <c r="U837" s="1" t="str">
        <f t="shared" si="83"/>
        <v/>
      </c>
      <c r="W837" s="21" t="str">
        <f>IF(C837&gt;0,CONCATENATE("0x",(DEC2HEX(IF(B837&lt;&gt;"",VLOOKUP(B837,Notes!$A$2:$B$37,2,FALSE)*1024,0) + C837*16 + IF(D837="",7,D837)*2 + IF(E837&gt;0, 1, 0))),","),"")</f>
        <v/>
      </c>
      <c r="X837" s="21" t="str">
        <f>IF(J837&gt;0,CONCATENATE("0x",(DEC2HEX(IF(I837&lt;&gt;"",VLOOKUP(I837,Notes!$A$2:$B$37,2,FALSE)*1024,0) + J837*16 + IF(K837="",7,K837)*2 + IF(L837&gt;0, 1, 0))),","),"")</f>
        <v/>
      </c>
      <c r="Y837" s="21" t="str">
        <f>IF(Q837&gt;0,CONCATENATE("0x",(DEC2HEX(IF(P837&lt;&gt;"",VLOOKUP(P837,Notes!$A$2:$B$37,2,FALSE)*1024,0) + Q837*16 + IF(R837="",7,R837)*2 + IF(S837&gt;0, 1, 0))),","),"")</f>
        <v/>
      </c>
    </row>
    <row r="838" spans="1:25" x14ac:dyDescent="0.25">
      <c r="F838" s="18">
        <f t="shared" si="78"/>
        <v>0</v>
      </c>
      <c r="G838" s="1" t="str">
        <f t="shared" si="81"/>
        <v/>
      </c>
      <c r="M838" s="18">
        <f t="shared" si="79"/>
        <v>0</v>
      </c>
      <c r="N838" s="1" t="str">
        <f t="shared" si="82"/>
        <v/>
      </c>
      <c r="T838" s="18">
        <f t="shared" si="80"/>
        <v>0</v>
      </c>
      <c r="U838" s="1" t="str">
        <f t="shared" si="83"/>
        <v/>
      </c>
      <c r="W838" s="21" t="str">
        <f>IF(C838&gt;0,CONCATENATE("0x",(DEC2HEX(IF(B838&lt;&gt;"",VLOOKUP(B838,Notes!$A$2:$B$37,2,FALSE)*1024,0) + C838*16 + IF(D838="",7,D838)*2 + IF(E838&gt;0, 1, 0))),","),"")</f>
        <v/>
      </c>
      <c r="X838" s="21" t="str">
        <f>IF(J838&gt;0,CONCATENATE("0x",(DEC2HEX(IF(I838&lt;&gt;"",VLOOKUP(I838,Notes!$A$2:$B$37,2,FALSE)*1024,0) + J838*16 + IF(K838="",7,K838)*2 + IF(L838&gt;0, 1, 0))),","),"")</f>
        <v/>
      </c>
      <c r="Y838" s="21" t="str">
        <f>IF(Q838&gt;0,CONCATENATE("0x",(DEC2HEX(IF(P838&lt;&gt;"",VLOOKUP(P838,Notes!$A$2:$B$37,2,FALSE)*1024,0) + Q838*16 + IF(R838="",7,R838)*2 + IF(S838&gt;0, 1, 0))),","),"")</f>
        <v/>
      </c>
    </row>
    <row r="839" spans="1:25" x14ac:dyDescent="0.25">
      <c r="F839" s="18">
        <f t="shared" si="78"/>
        <v>0</v>
      </c>
      <c r="G839" s="1" t="str">
        <f t="shared" si="81"/>
        <v/>
      </c>
      <c r="M839" s="18">
        <f t="shared" si="79"/>
        <v>0</v>
      </c>
      <c r="N839" s="1" t="str">
        <f t="shared" si="82"/>
        <v/>
      </c>
      <c r="T839" s="18">
        <f t="shared" si="80"/>
        <v>0</v>
      </c>
      <c r="U839" s="1" t="str">
        <f t="shared" si="83"/>
        <v/>
      </c>
      <c r="W839" s="21" t="str">
        <f>IF(C839&gt;0,CONCATENATE("0x",(DEC2HEX(IF(B839&lt;&gt;"",VLOOKUP(B839,Notes!$A$2:$B$37,2,FALSE)*1024,0) + C839*16 + IF(D839="",7,D839)*2 + IF(E839&gt;0, 1, 0))),","),"")</f>
        <v/>
      </c>
      <c r="X839" s="21" t="str">
        <f>IF(J839&gt;0,CONCATENATE("0x",(DEC2HEX(IF(I839&lt;&gt;"",VLOOKUP(I839,Notes!$A$2:$B$37,2,FALSE)*1024,0) + J839*16 + IF(K839="",7,K839)*2 + IF(L839&gt;0, 1, 0))),","),"")</f>
        <v/>
      </c>
      <c r="Y839" s="21" t="str">
        <f>IF(Q839&gt;0,CONCATENATE("0x",(DEC2HEX(IF(P839&lt;&gt;"",VLOOKUP(P839,Notes!$A$2:$B$37,2,FALSE)*1024,0) + Q839*16 + IF(R839="",7,R839)*2 + IF(S839&gt;0, 1, 0))),","),"")</f>
        <v/>
      </c>
    </row>
    <row r="840" spans="1:25" x14ac:dyDescent="0.25">
      <c r="F840" s="18">
        <f t="shared" si="78"/>
        <v>0</v>
      </c>
      <c r="G840" s="1" t="str">
        <f t="shared" si="81"/>
        <v/>
      </c>
      <c r="M840" s="18">
        <f t="shared" si="79"/>
        <v>0</v>
      </c>
      <c r="N840" s="1" t="str">
        <f t="shared" si="82"/>
        <v/>
      </c>
      <c r="T840" s="18">
        <f t="shared" si="80"/>
        <v>0</v>
      </c>
      <c r="U840" s="1" t="str">
        <f t="shared" si="83"/>
        <v/>
      </c>
      <c r="W840" s="21" t="str">
        <f>IF(C840&gt;0,CONCATENATE("0x",(DEC2HEX(IF(B840&lt;&gt;"",VLOOKUP(B840,Notes!$A$2:$B$37,2,FALSE)*1024,0) + C840*16 + IF(D840="",7,D840)*2 + IF(E840&gt;0, 1, 0))),","),"")</f>
        <v/>
      </c>
      <c r="X840" s="21" t="str">
        <f>IF(J840&gt;0,CONCATENATE("0x",(DEC2HEX(IF(I840&lt;&gt;"",VLOOKUP(I840,Notes!$A$2:$B$37,2,FALSE)*1024,0) + J840*16 + IF(K840="",7,K840)*2 + IF(L840&gt;0, 1, 0))),","),"")</f>
        <v/>
      </c>
      <c r="Y840" s="21" t="str">
        <f>IF(Q840&gt;0,CONCATENATE("0x",(DEC2HEX(IF(P840&lt;&gt;"",VLOOKUP(P840,Notes!$A$2:$B$37,2,FALSE)*1024,0) + Q840*16 + IF(R840="",7,R840)*2 + IF(S840&gt;0, 1, 0))),","),"")</f>
        <v/>
      </c>
    </row>
    <row r="841" spans="1:25" x14ac:dyDescent="0.25">
      <c r="B841" s="12"/>
      <c r="C841" s="13"/>
      <c r="D841" s="13"/>
      <c r="E841" s="14"/>
      <c r="F841" s="18">
        <f t="shared" si="78"/>
        <v>0</v>
      </c>
      <c r="G841" s="1" t="str">
        <f t="shared" si="81"/>
        <v/>
      </c>
      <c r="I841" s="12"/>
      <c r="J841" s="13"/>
      <c r="K841" s="13"/>
      <c r="L841" s="14"/>
      <c r="M841" s="18">
        <f t="shared" si="79"/>
        <v>0</v>
      </c>
      <c r="N841" s="1" t="str">
        <f t="shared" si="82"/>
        <v/>
      </c>
      <c r="P841" s="12"/>
      <c r="Q841" s="13"/>
      <c r="R841" s="13"/>
      <c r="S841" s="14"/>
      <c r="T841" s="18">
        <f t="shared" si="80"/>
        <v>0</v>
      </c>
      <c r="U841" s="1" t="str">
        <f t="shared" si="83"/>
        <v/>
      </c>
      <c r="W841" s="21" t="str">
        <f>IF(C841&gt;0,CONCATENATE("0x",(DEC2HEX(IF(B841&lt;&gt;"",VLOOKUP(B841,Notes!$A$2:$B$37,2,FALSE)*1024,0) + C841*16 + IF(D841="",7,D841)*2 + IF(E841&gt;0, 1, 0))),","),"")</f>
        <v/>
      </c>
      <c r="X841" s="21" t="str">
        <f>IF(J841&gt;0,CONCATENATE("0x",(DEC2HEX(IF(I841&lt;&gt;"",VLOOKUP(I841,Notes!$A$2:$B$37,2,FALSE)*1024,0) + J841*16 + IF(K841="",7,K841)*2 + IF(L841&gt;0, 1, 0))),","),"")</f>
        <v/>
      </c>
      <c r="Y841" s="21" t="str">
        <f>IF(Q841&gt;0,CONCATENATE("0x",(DEC2HEX(IF(P841&lt;&gt;"",VLOOKUP(P841,Notes!$A$2:$B$37,2,FALSE)*1024,0) + Q841*16 + IF(R841="",7,R841)*2 + IF(S841&gt;0, 1, 0))),","),"")</f>
        <v/>
      </c>
    </row>
    <row r="842" spans="1:25" x14ac:dyDescent="0.25">
      <c r="F842" s="18">
        <f t="shared" si="78"/>
        <v>0</v>
      </c>
      <c r="G842" s="1" t="str">
        <f t="shared" si="81"/>
        <v/>
      </c>
      <c r="M842" s="18">
        <f t="shared" si="79"/>
        <v>0</v>
      </c>
      <c r="N842" s="1" t="str">
        <f t="shared" si="82"/>
        <v/>
      </c>
      <c r="T842" s="18">
        <f t="shared" si="80"/>
        <v>0</v>
      </c>
      <c r="U842" s="1" t="str">
        <f t="shared" si="83"/>
        <v/>
      </c>
      <c r="W842" s="21" t="str">
        <f>IF(C842&gt;0,CONCATENATE("0x",(DEC2HEX(IF(B842&lt;&gt;"",VLOOKUP(B842,Notes!$A$2:$B$37,2,FALSE)*1024,0) + C842*16 + IF(D842="",7,D842)*2 + IF(E842&gt;0, 1, 0))),","),"")</f>
        <v/>
      </c>
      <c r="X842" s="21" t="str">
        <f>IF(J842&gt;0,CONCATENATE("0x",(DEC2HEX(IF(I842&lt;&gt;"",VLOOKUP(I842,Notes!$A$2:$B$37,2,FALSE)*1024,0) + J842*16 + IF(K842="",7,K842)*2 + IF(L842&gt;0, 1, 0))),","),"")</f>
        <v/>
      </c>
      <c r="Y842" s="21" t="str">
        <f>IF(Q842&gt;0,CONCATENATE("0x",(DEC2HEX(IF(P842&lt;&gt;"",VLOOKUP(P842,Notes!$A$2:$B$37,2,FALSE)*1024,0) + Q842*16 + IF(R842="",7,R842)*2 + IF(S842&gt;0, 1, 0))),","),"")</f>
        <v/>
      </c>
    </row>
    <row r="843" spans="1:25" x14ac:dyDescent="0.25">
      <c r="F843" s="18">
        <f t="shared" si="78"/>
        <v>0</v>
      </c>
      <c r="G843" s="1" t="str">
        <f t="shared" si="81"/>
        <v/>
      </c>
      <c r="M843" s="18">
        <f t="shared" si="79"/>
        <v>0</v>
      </c>
      <c r="N843" s="1" t="str">
        <f t="shared" si="82"/>
        <v/>
      </c>
      <c r="T843" s="18">
        <f t="shared" si="80"/>
        <v>0</v>
      </c>
      <c r="U843" s="1" t="str">
        <f t="shared" si="83"/>
        <v/>
      </c>
      <c r="W843" s="21" t="str">
        <f>IF(C843&gt;0,CONCATENATE("0x",(DEC2HEX(IF(B843&lt;&gt;"",VLOOKUP(B843,Notes!$A$2:$B$37,2,FALSE)*1024,0) + C843*16 + IF(D843="",7,D843)*2 + IF(E843&gt;0, 1, 0))),","),"")</f>
        <v/>
      </c>
      <c r="X843" s="21" t="str">
        <f>IF(J843&gt;0,CONCATENATE("0x",(DEC2HEX(IF(I843&lt;&gt;"",VLOOKUP(I843,Notes!$A$2:$B$37,2,FALSE)*1024,0) + J843*16 + IF(K843="",7,K843)*2 + IF(L843&gt;0, 1, 0))),","),"")</f>
        <v/>
      </c>
      <c r="Y843" s="21" t="str">
        <f>IF(Q843&gt;0,CONCATENATE("0x",(DEC2HEX(IF(P843&lt;&gt;"",VLOOKUP(P843,Notes!$A$2:$B$37,2,FALSE)*1024,0) + Q843*16 + IF(R843="",7,R843)*2 + IF(S843&gt;0, 1, 0))),","),"")</f>
        <v/>
      </c>
    </row>
    <row r="844" spans="1:25" x14ac:dyDescent="0.25">
      <c r="F844" s="18">
        <f t="shared" si="78"/>
        <v>0</v>
      </c>
      <c r="G844" s="1" t="str">
        <f t="shared" si="81"/>
        <v/>
      </c>
      <c r="M844" s="18">
        <f t="shared" si="79"/>
        <v>0</v>
      </c>
      <c r="N844" s="1" t="str">
        <f t="shared" si="82"/>
        <v/>
      </c>
      <c r="T844" s="18">
        <f t="shared" si="80"/>
        <v>0</v>
      </c>
      <c r="U844" s="1" t="str">
        <f t="shared" si="83"/>
        <v/>
      </c>
      <c r="W844" s="21" t="str">
        <f>IF(C844&gt;0,CONCATENATE("0x",(DEC2HEX(IF(B844&lt;&gt;"",VLOOKUP(B844,Notes!$A$2:$B$37,2,FALSE)*1024,0) + C844*16 + IF(D844="",7,D844)*2 + IF(E844&gt;0, 1, 0))),","),"")</f>
        <v/>
      </c>
      <c r="X844" s="21" t="str">
        <f>IF(J844&gt;0,CONCATENATE("0x",(DEC2HEX(IF(I844&lt;&gt;"",VLOOKUP(I844,Notes!$A$2:$B$37,2,FALSE)*1024,0) + J844*16 + IF(K844="",7,K844)*2 + IF(L844&gt;0, 1, 0))),","),"")</f>
        <v/>
      </c>
      <c r="Y844" s="21" t="str">
        <f>IF(Q844&gt;0,CONCATENATE("0x",(DEC2HEX(IF(P844&lt;&gt;"",VLOOKUP(P844,Notes!$A$2:$B$37,2,FALSE)*1024,0) + Q844*16 + IF(R844="",7,R844)*2 + IF(S844&gt;0, 1, 0))),","),"")</f>
        <v/>
      </c>
    </row>
    <row r="845" spans="1:25" x14ac:dyDescent="0.25">
      <c r="F845" s="18">
        <f t="shared" si="78"/>
        <v>0</v>
      </c>
      <c r="G845" s="1" t="str">
        <f t="shared" si="81"/>
        <v/>
      </c>
      <c r="M845" s="18">
        <f t="shared" si="79"/>
        <v>0</v>
      </c>
      <c r="N845" s="1" t="str">
        <f t="shared" si="82"/>
        <v/>
      </c>
      <c r="T845" s="18">
        <f t="shared" si="80"/>
        <v>0</v>
      </c>
      <c r="U845" s="1" t="str">
        <f t="shared" si="83"/>
        <v/>
      </c>
      <c r="W845" s="21" t="str">
        <f>IF(C845&gt;0,CONCATENATE("0x",(DEC2HEX(IF(B845&lt;&gt;"",VLOOKUP(B845,Notes!$A$2:$B$37,2,FALSE)*1024,0) + C845*16 + IF(D845="",7,D845)*2 + IF(E845&gt;0, 1, 0))),","),"")</f>
        <v/>
      </c>
      <c r="X845" s="21" t="str">
        <f>IF(J845&gt;0,CONCATENATE("0x",(DEC2HEX(IF(I845&lt;&gt;"",VLOOKUP(I845,Notes!$A$2:$B$37,2,FALSE)*1024,0) + J845*16 + IF(K845="",7,K845)*2 + IF(L845&gt;0, 1, 0))),","),"")</f>
        <v/>
      </c>
      <c r="Y845" s="21" t="str">
        <f>IF(Q845&gt;0,CONCATENATE("0x",(DEC2HEX(IF(P845&lt;&gt;"",VLOOKUP(P845,Notes!$A$2:$B$37,2,FALSE)*1024,0) + Q845*16 + IF(R845="",7,R845)*2 + IF(S845&gt;0, 1, 0))),","),"")</f>
        <v/>
      </c>
    </row>
    <row r="846" spans="1:25" x14ac:dyDescent="0.25">
      <c r="F846" s="18">
        <f t="shared" si="78"/>
        <v>0</v>
      </c>
      <c r="G846" s="1" t="str">
        <f t="shared" si="81"/>
        <v/>
      </c>
      <c r="M846" s="18">
        <f t="shared" si="79"/>
        <v>0</v>
      </c>
      <c r="N846" s="1" t="str">
        <f t="shared" si="82"/>
        <v/>
      </c>
      <c r="T846" s="18">
        <f t="shared" si="80"/>
        <v>0</v>
      </c>
      <c r="U846" s="1" t="str">
        <f t="shared" si="83"/>
        <v/>
      </c>
      <c r="W846" s="21" t="str">
        <f>IF(C846&gt;0,CONCATENATE("0x",(DEC2HEX(IF(B846&lt;&gt;"",VLOOKUP(B846,Notes!$A$2:$B$37,2,FALSE)*1024,0) + C846*16 + IF(D846="",7,D846)*2 + IF(E846&gt;0, 1, 0))),","),"")</f>
        <v/>
      </c>
      <c r="X846" s="21" t="str">
        <f>IF(J846&gt;0,CONCATENATE("0x",(DEC2HEX(IF(I846&lt;&gt;"",VLOOKUP(I846,Notes!$A$2:$B$37,2,FALSE)*1024,0) + J846*16 + IF(K846="",7,K846)*2 + IF(L846&gt;0, 1, 0))),","),"")</f>
        <v/>
      </c>
      <c r="Y846" s="21" t="str">
        <f>IF(Q846&gt;0,CONCATENATE("0x",(DEC2HEX(IF(P846&lt;&gt;"",VLOOKUP(P846,Notes!$A$2:$B$37,2,FALSE)*1024,0) + Q846*16 + IF(R846="",7,R846)*2 + IF(S846&gt;0, 1, 0))),","),"")</f>
        <v/>
      </c>
    </row>
    <row r="847" spans="1:25" x14ac:dyDescent="0.25">
      <c r="F847" s="18">
        <f t="shared" si="78"/>
        <v>0</v>
      </c>
      <c r="G847" s="1" t="str">
        <f t="shared" si="81"/>
        <v/>
      </c>
      <c r="M847" s="18">
        <f t="shared" si="79"/>
        <v>0</v>
      </c>
      <c r="N847" s="1" t="str">
        <f t="shared" si="82"/>
        <v/>
      </c>
      <c r="T847" s="18">
        <f t="shared" si="80"/>
        <v>0</v>
      </c>
      <c r="U847" s="1" t="str">
        <f t="shared" si="83"/>
        <v/>
      </c>
      <c r="W847" s="21" t="str">
        <f>IF(C847&gt;0,CONCATENATE("0x",(DEC2HEX(IF(B847&lt;&gt;"",VLOOKUP(B847,Notes!$A$2:$B$37,2,FALSE)*1024,0) + C847*16 + IF(D847="",7,D847)*2 + IF(E847&gt;0, 1, 0))),","),"")</f>
        <v/>
      </c>
      <c r="X847" s="21" t="str">
        <f>IF(J847&gt;0,CONCATENATE("0x",(DEC2HEX(IF(I847&lt;&gt;"",VLOOKUP(I847,Notes!$A$2:$B$37,2,FALSE)*1024,0) + J847*16 + IF(K847="",7,K847)*2 + IF(L847&gt;0, 1, 0))),","),"")</f>
        <v/>
      </c>
      <c r="Y847" s="21" t="str">
        <f>IF(Q847&gt;0,CONCATENATE("0x",(DEC2HEX(IF(P847&lt;&gt;"",VLOOKUP(P847,Notes!$A$2:$B$37,2,FALSE)*1024,0) + Q847*16 + IF(R847="",7,R847)*2 + IF(S847&gt;0, 1, 0))),","),"")</f>
        <v/>
      </c>
    </row>
    <row r="848" spans="1:25" x14ac:dyDescent="0.25">
      <c r="F848" s="18">
        <f t="shared" si="78"/>
        <v>0</v>
      </c>
      <c r="G848" s="1" t="str">
        <f t="shared" si="81"/>
        <v/>
      </c>
      <c r="M848" s="18">
        <f t="shared" si="79"/>
        <v>0</v>
      </c>
      <c r="N848" s="1" t="str">
        <f t="shared" si="82"/>
        <v/>
      </c>
      <c r="T848" s="18">
        <f t="shared" si="80"/>
        <v>0</v>
      </c>
      <c r="U848" s="1" t="str">
        <f t="shared" si="83"/>
        <v/>
      </c>
      <c r="W848" s="21" t="str">
        <f>IF(C848&gt;0,CONCATENATE("0x",(DEC2HEX(IF(B848&lt;&gt;"",VLOOKUP(B848,Notes!$A$2:$B$37,2,FALSE)*1024,0) + C848*16 + IF(D848="",7,D848)*2 + IF(E848&gt;0, 1, 0))),","),"")</f>
        <v/>
      </c>
      <c r="X848" s="21" t="str">
        <f>IF(J848&gt;0,CONCATENATE("0x",(DEC2HEX(IF(I848&lt;&gt;"",VLOOKUP(I848,Notes!$A$2:$B$37,2,FALSE)*1024,0) + J848*16 + IF(K848="",7,K848)*2 + IF(L848&gt;0, 1, 0))),","),"")</f>
        <v/>
      </c>
      <c r="Y848" s="21" t="str">
        <f>IF(Q848&gt;0,CONCATENATE("0x",(DEC2HEX(IF(P848&lt;&gt;"",VLOOKUP(P848,Notes!$A$2:$B$37,2,FALSE)*1024,0) + Q848*16 + IF(R848="",7,R848)*2 + IF(S848&gt;0, 1, 0))),","),"")</f>
        <v/>
      </c>
    </row>
    <row r="849" spans="2:25" x14ac:dyDescent="0.25">
      <c r="B849" s="12"/>
      <c r="C849" s="13"/>
      <c r="D849" s="13"/>
      <c r="E849" s="14"/>
      <c r="F849" s="18">
        <f t="shared" si="78"/>
        <v>0</v>
      </c>
      <c r="G849" s="1" t="str">
        <f t="shared" si="81"/>
        <v/>
      </c>
      <c r="I849" s="12"/>
      <c r="J849" s="13"/>
      <c r="K849" s="13"/>
      <c r="L849" s="14"/>
      <c r="M849" s="18">
        <f t="shared" si="79"/>
        <v>0</v>
      </c>
      <c r="N849" s="1" t="str">
        <f t="shared" si="82"/>
        <v/>
      </c>
      <c r="P849" s="12"/>
      <c r="Q849" s="13"/>
      <c r="R849" s="13"/>
      <c r="S849" s="14"/>
      <c r="T849" s="18">
        <f t="shared" si="80"/>
        <v>0</v>
      </c>
      <c r="U849" s="1" t="str">
        <f t="shared" si="83"/>
        <v/>
      </c>
      <c r="W849" s="21" t="str">
        <f>IF(C849&gt;0,CONCATENATE("0x",(DEC2HEX(IF(B849&lt;&gt;"",VLOOKUP(B849,Notes!$A$2:$B$37,2,FALSE)*1024,0) + C849*16 + IF(D849="",7,D849)*2 + IF(E849&gt;0, 1, 0))),","),"")</f>
        <v/>
      </c>
      <c r="X849" s="21" t="str">
        <f>IF(J849&gt;0,CONCATENATE("0x",(DEC2HEX(IF(I849&lt;&gt;"",VLOOKUP(I849,Notes!$A$2:$B$37,2,FALSE)*1024,0) + J849*16 + IF(K849="",7,K849)*2 + IF(L849&gt;0, 1, 0))),","),"")</f>
        <v/>
      </c>
      <c r="Y849" s="21" t="str">
        <f>IF(Q849&gt;0,CONCATENATE("0x",(DEC2HEX(IF(P849&lt;&gt;"",VLOOKUP(P849,Notes!$A$2:$B$37,2,FALSE)*1024,0) + Q849*16 + IF(R849="",7,R849)*2 + IF(S849&gt;0, 1, 0))),","),"")</f>
        <v/>
      </c>
    </row>
    <row r="850" spans="2:25" x14ac:dyDescent="0.25">
      <c r="F850" s="18">
        <f t="shared" si="78"/>
        <v>0</v>
      </c>
      <c r="G850" s="1" t="str">
        <f t="shared" si="81"/>
        <v/>
      </c>
      <c r="M850" s="18">
        <f t="shared" si="79"/>
        <v>0</v>
      </c>
      <c r="N850" s="1" t="str">
        <f t="shared" si="82"/>
        <v/>
      </c>
      <c r="T850" s="18">
        <f t="shared" si="80"/>
        <v>0</v>
      </c>
      <c r="U850" s="1" t="str">
        <f t="shared" si="83"/>
        <v/>
      </c>
      <c r="W850" s="21" t="str">
        <f>IF(C850&gt;0,CONCATENATE("0x",(DEC2HEX(IF(B850&lt;&gt;"",VLOOKUP(B850,Notes!$A$2:$B$37,2,FALSE)*1024,0) + C850*16 + IF(D850="",7,D850)*2 + IF(E850&gt;0, 1, 0))),","),"")</f>
        <v/>
      </c>
      <c r="X850" s="21" t="str">
        <f>IF(J850&gt;0,CONCATENATE("0x",(DEC2HEX(IF(I850&lt;&gt;"",VLOOKUP(I850,Notes!$A$2:$B$37,2,FALSE)*1024,0) + J850*16 + IF(K850="",7,K850)*2 + IF(L850&gt;0, 1, 0))),","),"")</f>
        <v/>
      </c>
      <c r="Y850" s="21" t="str">
        <f>IF(Q850&gt;0,CONCATENATE("0x",(DEC2HEX(IF(P850&lt;&gt;"",VLOOKUP(P850,Notes!$A$2:$B$37,2,FALSE)*1024,0) + Q850*16 + IF(R850="",7,R850)*2 + IF(S850&gt;0, 1, 0))),","),"")</f>
        <v/>
      </c>
    </row>
    <row r="851" spans="2:25" x14ac:dyDescent="0.25">
      <c r="F851" s="18">
        <f t="shared" si="78"/>
        <v>0</v>
      </c>
      <c r="G851" s="1" t="str">
        <f t="shared" si="81"/>
        <v/>
      </c>
      <c r="M851" s="18">
        <f t="shared" si="79"/>
        <v>0</v>
      </c>
      <c r="N851" s="1" t="str">
        <f t="shared" si="82"/>
        <v/>
      </c>
      <c r="T851" s="18">
        <f t="shared" si="80"/>
        <v>0</v>
      </c>
      <c r="U851" s="1" t="str">
        <f t="shared" si="83"/>
        <v/>
      </c>
      <c r="W851" s="21" t="str">
        <f>IF(C851&gt;0,CONCATENATE("0x",(DEC2HEX(IF(B851&lt;&gt;"",VLOOKUP(B851,Notes!$A$2:$B$37,2,FALSE)*1024,0) + C851*16 + IF(D851="",7,D851)*2 + IF(E851&gt;0, 1, 0))),","),"")</f>
        <v/>
      </c>
      <c r="X851" s="21" t="str">
        <f>IF(J851&gt;0,CONCATENATE("0x",(DEC2HEX(IF(I851&lt;&gt;"",VLOOKUP(I851,Notes!$A$2:$B$37,2,FALSE)*1024,0) + J851*16 + IF(K851="",7,K851)*2 + IF(L851&gt;0, 1, 0))),","),"")</f>
        <v/>
      </c>
      <c r="Y851" s="21" t="str">
        <f>IF(Q851&gt;0,CONCATENATE("0x",(DEC2HEX(IF(P851&lt;&gt;"",VLOOKUP(P851,Notes!$A$2:$B$37,2,FALSE)*1024,0) + Q851*16 + IF(R851="",7,R851)*2 + IF(S851&gt;0, 1, 0))),","),"")</f>
        <v/>
      </c>
    </row>
    <row r="852" spans="2:25" x14ac:dyDescent="0.25">
      <c r="F852" s="18">
        <f t="shared" si="78"/>
        <v>0</v>
      </c>
      <c r="G852" s="1" t="str">
        <f t="shared" si="81"/>
        <v/>
      </c>
      <c r="M852" s="18">
        <f t="shared" si="79"/>
        <v>0</v>
      </c>
      <c r="N852" s="1" t="str">
        <f t="shared" si="82"/>
        <v/>
      </c>
      <c r="T852" s="18">
        <f t="shared" si="80"/>
        <v>0</v>
      </c>
      <c r="U852" s="1" t="str">
        <f t="shared" si="83"/>
        <v/>
      </c>
      <c r="W852" s="21" t="str">
        <f>IF(C852&gt;0,CONCATENATE("0x",(DEC2HEX(IF(B852&lt;&gt;"",VLOOKUP(B852,Notes!$A$2:$B$37,2,FALSE)*1024,0) + C852*16 + IF(D852="",7,D852)*2 + IF(E852&gt;0, 1, 0))),","),"")</f>
        <v/>
      </c>
      <c r="X852" s="21" t="str">
        <f>IF(J852&gt;0,CONCATENATE("0x",(DEC2HEX(IF(I852&lt;&gt;"",VLOOKUP(I852,Notes!$A$2:$B$37,2,FALSE)*1024,0) + J852*16 + IF(K852="",7,K852)*2 + IF(L852&gt;0, 1, 0))),","),"")</f>
        <v/>
      </c>
      <c r="Y852" s="21" t="str">
        <f>IF(Q852&gt;0,CONCATENATE("0x",(DEC2HEX(IF(P852&lt;&gt;"",VLOOKUP(P852,Notes!$A$2:$B$37,2,FALSE)*1024,0) + Q852*16 + IF(R852="",7,R852)*2 + IF(S852&gt;0, 1, 0))),","),"")</f>
        <v/>
      </c>
    </row>
    <row r="853" spans="2:25" x14ac:dyDescent="0.25">
      <c r="F853" s="18">
        <f t="shared" si="78"/>
        <v>0</v>
      </c>
      <c r="G853" s="1" t="str">
        <f t="shared" si="81"/>
        <v/>
      </c>
      <c r="M853" s="18">
        <f t="shared" si="79"/>
        <v>0</v>
      </c>
      <c r="N853" s="1" t="str">
        <f t="shared" si="82"/>
        <v/>
      </c>
      <c r="T853" s="18">
        <f t="shared" si="80"/>
        <v>0</v>
      </c>
      <c r="U853" s="1" t="str">
        <f t="shared" si="83"/>
        <v/>
      </c>
      <c r="W853" s="21" t="str">
        <f>IF(C853&gt;0,CONCATENATE("0x",(DEC2HEX(IF(B853&lt;&gt;"",VLOOKUP(B853,Notes!$A$2:$B$37,2,FALSE)*1024,0) + C853*16 + IF(D853="",7,D853)*2 + IF(E853&gt;0, 1, 0))),","),"")</f>
        <v/>
      </c>
      <c r="X853" s="21" t="str">
        <f>IF(J853&gt;0,CONCATENATE("0x",(DEC2HEX(IF(I853&lt;&gt;"",VLOOKUP(I853,Notes!$A$2:$B$37,2,FALSE)*1024,0) + J853*16 + IF(K853="",7,K853)*2 + IF(L853&gt;0, 1, 0))),","),"")</f>
        <v/>
      </c>
      <c r="Y853" s="21" t="str">
        <f>IF(Q853&gt;0,CONCATENATE("0x",(DEC2HEX(IF(P853&lt;&gt;"",VLOOKUP(P853,Notes!$A$2:$B$37,2,FALSE)*1024,0) + Q853*16 + IF(R853="",7,R853)*2 + IF(S853&gt;0, 1, 0))),","),"")</f>
        <v/>
      </c>
    </row>
    <row r="854" spans="2:25" x14ac:dyDescent="0.25">
      <c r="F854" s="18">
        <f t="shared" si="78"/>
        <v>0</v>
      </c>
      <c r="G854" s="1" t="str">
        <f t="shared" si="81"/>
        <v/>
      </c>
      <c r="M854" s="18">
        <f t="shared" si="79"/>
        <v>0</v>
      </c>
      <c r="N854" s="1" t="str">
        <f t="shared" si="82"/>
        <v/>
      </c>
      <c r="T854" s="18">
        <f t="shared" si="80"/>
        <v>0</v>
      </c>
      <c r="U854" s="1" t="str">
        <f t="shared" si="83"/>
        <v/>
      </c>
      <c r="W854" s="21" t="str">
        <f>IF(C854&gt;0,CONCATENATE("0x",(DEC2HEX(IF(B854&lt;&gt;"",VLOOKUP(B854,Notes!$A$2:$B$37,2,FALSE)*1024,0) + C854*16 + IF(D854="",7,D854)*2 + IF(E854&gt;0, 1, 0))),","),"")</f>
        <v/>
      </c>
      <c r="X854" s="21" t="str">
        <f>IF(J854&gt;0,CONCATENATE("0x",(DEC2HEX(IF(I854&lt;&gt;"",VLOOKUP(I854,Notes!$A$2:$B$37,2,FALSE)*1024,0) + J854*16 + IF(K854="",7,K854)*2 + IF(L854&gt;0, 1, 0))),","),"")</f>
        <v/>
      </c>
      <c r="Y854" s="21" t="str">
        <f>IF(Q854&gt;0,CONCATENATE("0x",(DEC2HEX(IF(P854&lt;&gt;"",VLOOKUP(P854,Notes!$A$2:$B$37,2,FALSE)*1024,0) + Q854*16 + IF(R854="",7,R854)*2 + IF(S854&gt;0, 1, 0))),","),"")</f>
        <v/>
      </c>
    </row>
    <row r="855" spans="2:25" x14ac:dyDescent="0.25">
      <c r="F855" s="18">
        <f t="shared" si="78"/>
        <v>0</v>
      </c>
      <c r="G855" s="1" t="str">
        <f t="shared" si="81"/>
        <v/>
      </c>
      <c r="M855" s="18">
        <f t="shared" si="79"/>
        <v>0</v>
      </c>
      <c r="N855" s="1" t="str">
        <f t="shared" si="82"/>
        <v/>
      </c>
      <c r="T855" s="18">
        <f t="shared" si="80"/>
        <v>0</v>
      </c>
      <c r="U855" s="1" t="str">
        <f t="shared" si="83"/>
        <v/>
      </c>
      <c r="W855" s="21" t="str">
        <f>IF(C855&gt;0,CONCATENATE("0x",(DEC2HEX(IF(B855&lt;&gt;"",VLOOKUP(B855,Notes!$A$2:$B$37,2,FALSE)*1024,0) + C855*16 + IF(D855="",7,D855)*2 + IF(E855&gt;0, 1, 0))),","),"")</f>
        <v/>
      </c>
      <c r="X855" s="21" t="str">
        <f>IF(J855&gt;0,CONCATENATE("0x",(DEC2HEX(IF(I855&lt;&gt;"",VLOOKUP(I855,Notes!$A$2:$B$37,2,FALSE)*1024,0) + J855*16 + IF(K855="",7,K855)*2 + IF(L855&gt;0, 1, 0))),","),"")</f>
        <v/>
      </c>
      <c r="Y855" s="21" t="str">
        <f>IF(Q855&gt;0,CONCATENATE("0x",(DEC2HEX(IF(P855&lt;&gt;"",VLOOKUP(P855,Notes!$A$2:$B$37,2,FALSE)*1024,0) + Q855*16 + IF(R855="",7,R855)*2 + IF(S855&gt;0, 1, 0))),","),"")</f>
        <v/>
      </c>
    </row>
    <row r="856" spans="2:25" x14ac:dyDescent="0.25">
      <c r="F856" s="18">
        <f t="shared" si="78"/>
        <v>0</v>
      </c>
      <c r="G856" s="1" t="str">
        <f t="shared" si="81"/>
        <v/>
      </c>
      <c r="M856" s="18">
        <f t="shared" si="79"/>
        <v>0</v>
      </c>
      <c r="N856" s="1" t="str">
        <f t="shared" si="82"/>
        <v/>
      </c>
      <c r="T856" s="18">
        <f t="shared" si="80"/>
        <v>0</v>
      </c>
      <c r="U856" s="1" t="str">
        <f t="shared" si="83"/>
        <v/>
      </c>
      <c r="W856" s="21" t="str">
        <f>IF(C856&gt;0,CONCATENATE("0x",(DEC2HEX(IF(B856&lt;&gt;"",VLOOKUP(B856,Notes!$A$2:$B$37,2,FALSE)*1024,0) + C856*16 + IF(D856="",7,D856)*2 + IF(E856&gt;0, 1, 0))),","),"")</f>
        <v/>
      </c>
      <c r="X856" s="21" t="str">
        <f>IF(J856&gt;0,CONCATENATE("0x",(DEC2HEX(IF(I856&lt;&gt;"",VLOOKUP(I856,Notes!$A$2:$B$37,2,FALSE)*1024,0) + J856*16 + IF(K856="",7,K856)*2 + IF(L856&gt;0, 1, 0))),","),"")</f>
        <v/>
      </c>
      <c r="Y856" s="21" t="str">
        <f>IF(Q856&gt;0,CONCATENATE("0x",(DEC2HEX(IF(P856&lt;&gt;"",VLOOKUP(P856,Notes!$A$2:$B$37,2,FALSE)*1024,0) + Q856*16 + IF(R856="",7,R856)*2 + IF(S856&gt;0, 1, 0))),","),"")</f>
        <v/>
      </c>
    </row>
    <row r="857" spans="2:25" x14ac:dyDescent="0.25">
      <c r="B857" s="12"/>
      <c r="C857" s="13"/>
      <c r="D857" s="13"/>
      <c r="E857" s="14"/>
      <c r="F857" s="18">
        <f t="shared" si="78"/>
        <v>0</v>
      </c>
      <c r="G857" s="1" t="str">
        <f t="shared" si="81"/>
        <v/>
      </c>
      <c r="I857" s="12"/>
      <c r="J857" s="13"/>
      <c r="K857" s="13"/>
      <c r="L857" s="14"/>
      <c r="M857" s="18">
        <f t="shared" si="79"/>
        <v>0</v>
      </c>
      <c r="N857" s="1" t="str">
        <f t="shared" si="82"/>
        <v/>
      </c>
      <c r="P857" s="12"/>
      <c r="Q857" s="13"/>
      <c r="R857" s="13"/>
      <c r="S857" s="14"/>
      <c r="T857" s="18">
        <f t="shared" si="80"/>
        <v>0</v>
      </c>
      <c r="U857" s="1" t="str">
        <f t="shared" si="83"/>
        <v/>
      </c>
      <c r="W857" s="21" t="str">
        <f>IF(C857&gt;0,CONCATENATE("0x",(DEC2HEX(IF(B857&lt;&gt;"",VLOOKUP(B857,Notes!$A$2:$B$37,2,FALSE)*1024,0) + C857*16 + IF(D857="",7,D857)*2 + IF(E857&gt;0, 1, 0))),","),"")</f>
        <v/>
      </c>
      <c r="X857" s="21" t="str">
        <f>IF(J857&gt;0,CONCATENATE("0x",(DEC2HEX(IF(I857&lt;&gt;"",VLOOKUP(I857,Notes!$A$2:$B$37,2,FALSE)*1024,0) + J857*16 + IF(K857="",7,K857)*2 + IF(L857&gt;0, 1, 0))),","),"")</f>
        <v/>
      </c>
      <c r="Y857" s="21" t="str">
        <f>IF(Q857&gt;0,CONCATENATE("0x",(DEC2HEX(IF(P857&lt;&gt;"",VLOOKUP(P857,Notes!$A$2:$B$37,2,FALSE)*1024,0) + Q857*16 + IF(R857="",7,R857)*2 + IF(S857&gt;0, 1, 0))),","),"")</f>
        <v/>
      </c>
    </row>
    <row r="858" spans="2:25" x14ac:dyDescent="0.25">
      <c r="F858" s="18">
        <f t="shared" si="78"/>
        <v>0</v>
      </c>
      <c r="G858" s="1" t="str">
        <f t="shared" si="81"/>
        <v/>
      </c>
      <c r="M858" s="18">
        <f t="shared" si="79"/>
        <v>0</v>
      </c>
      <c r="N858" s="1" t="str">
        <f t="shared" si="82"/>
        <v/>
      </c>
      <c r="T858" s="18">
        <f t="shared" si="80"/>
        <v>0</v>
      </c>
      <c r="U858" s="1" t="str">
        <f t="shared" si="83"/>
        <v/>
      </c>
      <c r="W858" s="21" t="str">
        <f>IF(C858&gt;0,CONCATENATE("0x",(DEC2HEX(IF(B858&lt;&gt;"",VLOOKUP(B858,Notes!$A$2:$B$37,2,FALSE)*1024,0) + C858*16 + IF(D858="",7,D858)*2 + IF(E858&gt;0, 1, 0))),","),"")</f>
        <v/>
      </c>
      <c r="X858" s="21" t="str">
        <f>IF(J858&gt;0,CONCATENATE("0x",(DEC2HEX(IF(I858&lt;&gt;"",VLOOKUP(I858,Notes!$A$2:$B$37,2,FALSE)*1024,0) + J858*16 + IF(K858="",7,K858)*2 + IF(L858&gt;0, 1, 0))),","),"")</f>
        <v/>
      </c>
      <c r="Y858" s="21" t="str">
        <f>IF(Q858&gt;0,CONCATENATE("0x",(DEC2HEX(IF(P858&lt;&gt;"",VLOOKUP(P858,Notes!$A$2:$B$37,2,FALSE)*1024,0) + Q858*16 + IF(R858="",7,R858)*2 + IF(S858&gt;0, 1, 0))),","),"")</f>
        <v/>
      </c>
    </row>
    <row r="859" spans="2:25" x14ac:dyDescent="0.25">
      <c r="F859" s="18">
        <f t="shared" si="78"/>
        <v>0</v>
      </c>
      <c r="G859" s="1" t="str">
        <f t="shared" si="81"/>
        <v/>
      </c>
      <c r="M859" s="18">
        <f t="shared" si="79"/>
        <v>0</v>
      </c>
      <c r="N859" s="1" t="str">
        <f t="shared" si="82"/>
        <v/>
      </c>
      <c r="T859" s="18">
        <f t="shared" si="80"/>
        <v>0</v>
      </c>
      <c r="U859" s="1" t="str">
        <f t="shared" si="83"/>
        <v/>
      </c>
      <c r="W859" s="21" t="str">
        <f>IF(C859&gt;0,CONCATENATE("0x",(DEC2HEX(IF(B859&lt;&gt;"",VLOOKUP(B859,Notes!$A$2:$B$37,2,FALSE)*1024,0) + C859*16 + IF(D859="",7,D859)*2 + IF(E859&gt;0, 1, 0))),","),"")</f>
        <v/>
      </c>
      <c r="X859" s="21" t="str">
        <f>IF(J859&gt;0,CONCATENATE("0x",(DEC2HEX(IF(I859&lt;&gt;"",VLOOKUP(I859,Notes!$A$2:$B$37,2,FALSE)*1024,0) + J859*16 + IF(K859="",7,K859)*2 + IF(L859&gt;0, 1, 0))),","),"")</f>
        <v/>
      </c>
      <c r="Y859" s="21" t="str">
        <f>IF(Q859&gt;0,CONCATENATE("0x",(DEC2HEX(IF(P859&lt;&gt;"",VLOOKUP(P859,Notes!$A$2:$B$37,2,FALSE)*1024,0) + Q859*16 + IF(R859="",7,R859)*2 + IF(S859&gt;0, 1, 0))),","),"")</f>
        <v/>
      </c>
    </row>
    <row r="860" spans="2:25" x14ac:dyDescent="0.25">
      <c r="F860" s="18">
        <f t="shared" si="78"/>
        <v>0</v>
      </c>
      <c r="G860" s="1" t="str">
        <f t="shared" si="81"/>
        <v/>
      </c>
      <c r="M860" s="18">
        <f t="shared" si="79"/>
        <v>0</v>
      </c>
      <c r="N860" s="1" t="str">
        <f t="shared" si="82"/>
        <v/>
      </c>
      <c r="T860" s="18">
        <f t="shared" si="80"/>
        <v>0</v>
      </c>
      <c r="U860" s="1" t="str">
        <f t="shared" si="83"/>
        <v/>
      </c>
      <c r="W860" s="21" t="str">
        <f>IF(C860&gt;0,CONCATENATE("0x",(DEC2HEX(IF(B860&lt;&gt;"",VLOOKUP(B860,Notes!$A$2:$B$37,2,FALSE)*1024,0) + C860*16 + IF(D860="",7,D860)*2 + IF(E860&gt;0, 1, 0))),","),"")</f>
        <v/>
      </c>
      <c r="X860" s="21" t="str">
        <f>IF(J860&gt;0,CONCATENATE("0x",(DEC2HEX(IF(I860&lt;&gt;"",VLOOKUP(I860,Notes!$A$2:$B$37,2,FALSE)*1024,0) + J860*16 + IF(K860="",7,K860)*2 + IF(L860&gt;0, 1, 0))),","),"")</f>
        <v/>
      </c>
      <c r="Y860" s="21" t="str">
        <f>IF(Q860&gt;0,CONCATENATE("0x",(DEC2HEX(IF(P860&lt;&gt;"",VLOOKUP(P860,Notes!$A$2:$B$37,2,FALSE)*1024,0) + Q860*16 + IF(R860="",7,R860)*2 + IF(S860&gt;0, 1, 0))),","),"")</f>
        <v/>
      </c>
    </row>
    <row r="861" spans="2:25" x14ac:dyDescent="0.25">
      <c r="F861" s="18">
        <f t="shared" si="78"/>
        <v>0</v>
      </c>
      <c r="G861" s="1" t="str">
        <f t="shared" si="81"/>
        <v/>
      </c>
      <c r="M861" s="18">
        <f t="shared" si="79"/>
        <v>0</v>
      </c>
      <c r="N861" s="1" t="str">
        <f t="shared" si="82"/>
        <v/>
      </c>
      <c r="T861" s="18">
        <f t="shared" si="80"/>
        <v>0</v>
      </c>
      <c r="U861" s="1" t="str">
        <f t="shared" si="83"/>
        <v/>
      </c>
      <c r="W861" s="21" t="str">
        <f>IF(C861&gt;0,CONCATENATE("0x",(DEC2HEX(IF(B861&lt;&gt;"",VLOOKUP(B861,Notes!$A$2:$B$37,2,FALSE)*1024,0) + C861*16 + IF(D861="",7,D861)*2 + IF(E861&gt;0, 1, 0))),","),"")</f>
        <v/>
      </c>
      <c r="X861" s="21" t="str">
        <f>IF(J861&gt;0,CONCATENATE("0x",(DEC2HEX(IF(I861&lt;&gt;"",VLOOKUP(I861,Notes!$A$2:$B$37,2,FALSE)*1024,0) + J861*16 + IF(K861="",7,K861)*2 + IF(L861&gt;0, 1, 0))),","),"")</f>
        <v/>
      </c>
      <c r="Y861" s="21" t="str">
        <f>IF(Q861&gt;0,CONCATENATE("0x",(DEC2HEX(IF(P861&lt;&gt;"",VLOOKUP(P861,Notes!$A$2:$B$37,2,FALSE)*1024,0) + Q861*16 + IF(R861="",7,R861)*2 + IF(S861&gt;0, 1, 0))),","),"")</f>
        <v/>
      </c>
    </row>
    <row r="862" spans="2:25" x14ac:dyDescent="0.25">
      <c r="F862" s="18">
        <f t="shared" si="78"/>
        <v>0</v>
      </c>
      <c r="G862" s="1" t="str">
        <f t="shared" si="81"/>
        <v/>
      </c>
      <c r="M862" s="18">
        <f t="shared" si="79"/>
        <v>0</v>
      </c>
      <c r="N862" s="1" t="str">
        <f t="shared" si="82"/>
        <v/>
      </c>
      <c r="T862" s="18">
        <f t="shared" si="80"/>
        <v>0</v>
      </c>
      <c r="U862" s="1" t="str">
        <f t="shared" si="83"/>
        <v/>
      </c>
      <c r="W862" s="21" t="str">
        <f>IF(C862&gt;0,CONCATENATE("0x",(DEC2HEX(IF(B862&lt;&gt;"",VLOOKUP(B862,Notes!$A$2:$B$37,2,FALSE)*1024,0) + C862*16 + IF(D862="",7,D862)*2 + IF(E862&gt;0, 1, 0))),","),"")</f>
        <v/>
      </c>
      <c r="X862" s="21" t="str">
        <f>IF(J862&gt;0,CONCATENATE("0x",(DEC2HEX(IF(I862&lt;&gt;"",VLOOKUP(I862,Notes!$A$2:$B$37,2,FALSE)*1024,0) + J862*16 + IF(K862="",7,K862)*2 + IF(L862&gt;0, 1, 0))),","),"")</f>
        <v/>
      </c>
      <c r="Y862" s="21" t="str">
        <f>IF(Q862&gt;0,CONCATENATE("0x",(DEC2HEX(IF(P862&lt;&gt;"",VLOOKUP(P862,Notes!$A$2:$B$37,2,FALSE)*1024,0) + Q862*16 + IF(R862="",7,R862)*2 + IF(S862&gt;0, 1, 0))),","),"")</f>
        <v/>
      </c>
    </row>
    <row r="863" spans="2:25" x14ac:dyDescent="0.25">
      <c r="F863" s="18">
        <f t="shared" si="78"/>
        <v>0</v>
      </c>
      <c r="G863" s="1" t="str">
        <f t="shared" si="81"/>
        <v/>
      </c>
      <c r="M863" s="18">
        <f t="shared" si="79"/>
        <v>0</v>
      </c>
      <c r="N863" s="1" t="str">
        <f t="shared" si="82"/>
        <v/>
      </c>
      <c r="T863" s="18">
        <f t="shared" si="80"/>
        <v>0</v>
      </c>
      <c r="U863" s="1" t="str">
        <f t="shared" si="83"/>
        <v/>
      </c>
      <c r="W863" s="21" t="str">
        <f>IF(C863&gt;0,CONCATENATE("0x",(DEC2HEX(IF(B863&lt;&gt;"",VLOOKUP(B863,Notes!$A$2:$B$37,2,FALSE)*1024,0) + C863*16 + IF(D863="",7,D863)*2 + IF(E863&gt;0, 1, 0))),","),"")</f>
        <v/>
      </c>
      <c r="X863" s="21" t="str">
        <f>IF(J863&gt;0,CONCATENATE("0x",(DEC2HEX(IF(I863&lt;&gt;"",VLOOKUP(I863,Notes!$A$2:$B$37,2,FALSE)*1024,0) + J863*16 + IF(K863="",7,K863)*2 + IF(L863&gt;0, 1, 0))),","),"")</f>
        <v/>
      </c>
      <c r="Y863" s="21" t="str">
        <f>IF(Q863&gt;0,CONCATENATE("0x",(DEC2HEX(IF(P863&lt;&gt;"",VLOOKUP(P863,Notes!$A$2:$B$37,2,FALSE)*1024,0) + Q863*16 + IF(R863="",7,R863)*2 + IF(S863&gt;0, 1, 0))),","),"")</f>
        <v/>
      </c>
    </row>
    <row r="864" spans="2:25" x14ac:dyDescent="0.25">
      <c r="F864" s="18">
        <f t="shared" si="78"/>
        <v>0</v>
      </c>
      <c r="G864" s="1" t="str">
        <f t="shared" si="81"/>
        <v/>
      </c>
      <c r="M864" s="18">
        <f t="shared" si="79"/>
        <v>0</v>
      </c>
      <c r="N864" s="1" t="str">
        <f t="shared" si="82"/>
        <v/>
      </c>
      <c r="T864" s="18">
        <f t="shared" si="80"/>
        <v>0</v>
      </c>
      <c r="U864" s="1" t="str">
        <f t="shared" si="83"/>
        <v/>
      </c>
      <c r="W864" s="21" t="str">
        <f>IF(C864&gt;0,CONCATENATE("0x",(DEC2HEX(IF(B864&lt;&gt;"",VLOOKUP(B864,Notes!$A$2:$B$37,2,FALSE)*1024,0) + C864*16 + IF(D864="",7,D864)*2 + IF(E864&gt;0, 1, 0))),","),"")</f>
        <v/>
      </c>
      <c r="X864" s="21" t="str">
        <f>IF(J864&gt;0,CONCATENATE("0x",(DEC2HEX(IF(I864&lt;&gt;"",VLOOKUP(I864,Notes!$A$2:$B$37,2,FALSE)*1024,0) + J864*16 + IF(K864="",7,K864)*2 + IF(L864&gt;0, 1, 0))),","),"")</f>
        <v/>
      </c>
      <c r="Y864" s="21" t="str">
        <f>IF(Q864&gt;0,CONCATENATE("0x",(DEC2HEX(IF(P864&lt;&gt;"",VLOOKUP(P864,Notes!$A$2:$B$37,2,FALSE)*1024,0) + Q864*16 + IF(R864="",7,R864)*2 + IF(S864&gt;0, 1, 0))),","),"")</f>
        <v/>
      </c>
    </row>
    <row r="865" spans="1:25" ht="16.5" thickBot="1" x14ac:dyDescent="0.3">
      <c r="B865" s="15"/>
      <c r="C865" s="16"/>
      <c r="D865" s="16"/>
      <c r="E865" s="17"/>
      <c r="F865" s="18">
        <f t="shared" si="78"/>
        <v>0</v>
      </c>
      <c r="G865" s="1" t="str">
        <f t="shared" si="81"/>
        <v/>
      </c>
      <c r="I865" s="15"/>
      <c r="J865" s="16"/>
      <c r="K865" s="16"/>
      <c r="L865" s="17"/>
      <c r="M865" s="18">
        <f t="shared" si="79"/>
        <v>0</v>
      </c>
      <c r="N865" s="1" t="str">
        <f t="shared" si="82"/>
        <v/>
      </c>
      <c r="P865" s="15"/>
      <c r="Q865" s="16"/>
      <c r="R865" s="16"/>
      <c r="S865" s="17"/>
      <c r="T865" s="18">
        <f t="shared" si="80"/>
        <v>0</v>
      </c>
      <c r="U865" s="1" t="str">
        <f t="shared" si="83"/>
        <v/>
      </c>
      <c r="W865" s="21" t="str">
        <f>IF(C865&gt;0,CONCATENATE("0x",(DEC2HEX(IF(B865&lt;&gt;"",VLOOKUP(B865,Notes!$A$2:$B$37,2,FALSE)*1024,0) + C865*16 + IF(D865="",7,D865)*2 + IF(E865&gt;0, 1, 0))),","),"")</f>
        <v/>
      </c>
      <c r="X865" s="21" t="str">
        <f>IF(J865&gt;0,CONCATENATE("0x",(DEC2HEX(IF(I865&lt;&gt;"",VLOOKUP(I865,Notes!$A$2:$B$37,2,FALSE)*1024,0) + J865*16 + IF(K865="",7,K865)*2 + IF(L865&gt;0, 1, 0))),","),"")</f>
        <v/>
      </c>
      <c r="Y865" s="21" t="str">
        <f>IF(Q865&gt;0,CONCATENATE("0x",(DEC2HEX(IF(P865&lt;&gt;"",VLOOKUP(P865,Notes!$A$2:$B$37,2,FALSE)*1024,0) + Q865*16 + IF(R865="",7,R865)*2 + IF(S865&gt;0, 1, 0))),","),"")</f>
        <v/>
      </c>
    </row>
    <row r="866" spans="1:25" ht="16.5" thickTop="1" x14ac:dyDescent="0.25">
      <c r="A866" s="1">
        <v>28</v>
      </c>
      <c r="F866" s="18">
        <f t="shared" si="78"/>
        <v>0</v>
      </c>
      <c r="G866" s="1" t="str">
        <f t="shared" si="81"/>
        <v/>
      </c>
      <c r="M866" s="18">
        <f t="shared" si="79"/>
        <v>0</v>
      </c>
      <c r="N866" s="1" t="str">
        <f t="shared" si="82"/>
        <v/>
      </c>
      <c r="T866" s="18">
        <f t="shared" si="80"/>
        <v>0</v>
      </c>
      <c r="U866" s="1" t="str">
        <f t="shared" si="83"/>
        <v/>
      </c>
      <c r="W866" s="21" t="str">
        <f>IF(C866&gt;0,CONCATENATE("0x",(DEC2HEX(IF(B866&lt;&gt;"",VLOOKUP(B866,Notes!$A$2:$B$37,2,FALSE)*1024,0) + C866*16 + IF(D866="",7,D866)*2 + IF(E866&gt;0, 1, 0))),","),"")</f>
        <v/>
      </c>
      <c r="X866" s="21" t="str">
        <f>IF(J866&gt;0,CONCATENATE("0x",(DEC2HEX(IF(I866&lt;&gt;"",VLOOKUP(I866,Notes!$A$2:$B$37,2,FALSE)*1024,0) + J866*16 + IF(K866="",7,K866)*2 + IF(L866&gt;0, 1, 0))),","),"")</f>
        <v/>
      </c>
      <c r="Y866" s="21" t="str">
        <f>IF(Q866&gt;0,CONCATENATE("0x",(DEC2HEX(IF(P866&lt;&gt;"",VLOOKUP(P866,Notes!$A$2:$B$37,2,FALSE)*1024,0) + Q866*16 + IF(R866="",7,R866)*2 + IF(S866&gt;0, 1, 0))),","),"")</f>
        <v/>
      </c>
    </row>
    <row r="867" spans="1:25" x14ac:dyDescent="0.25">
      <c r="F867" s="18">
        <f t="shared" si="78"/>
        <v>0</v>
      </c>
      <c r="G867" s="1" t="str">
        <f t="shared" si="81"/>
        <v/>
      </c>
      <c r="M867" s="18">
        <f t="shared" si="79"/>
        <v>0</v>
      </c>
      <c r="N867" s="1" t="str">
        <f t="shared" si="82"/>
        <v/>
      </c>
      <c r="T867" s="18">
        <f t="shared" si="80"/>
        <v>0</v>
      </c>
      <c r="U867" s="1" t="str">
        <f t="shared" si="83"/>
        <v/>
      </c>
      <c r="W867" s="21" t="str">
        <f>IF(C867&gt;0,CONCATENATE("0x",(DEC2HEX(IF(B867&lt;&gt;"",VLOOKUP(B867,Notes!$A$2:$B$37,2,FALSE)*1024,0) + C867*16 + IF(D867="",7,D867)*2 + IF(E867&gt;0, 1, 0))),","),"")</f>
        <v/>
      </c>
      <c r="X867" s="21" t="str">
        <f>IF(J867&gt;0,CONCATENATE("0x",(DEC2HEX(IF(I867&lt;&gt;"",VLOOKUP(I867,Notes!$A$2:$B$37,2,FALSE)*1024,0) + J867*16 + IF(K867="",7,K867)*2 + IF(L867&gt;0, 1, 0))),","),"")</f>
        <v/>
      </c>
      <c r="Y867" s="21" t="str">
        <f>IF(Q867&gt;0,CONCATENATE("0x",(DEC2HEX(IF(P867&lt;&gt;"",VLOOKUP(P867,Notes!$A$2:$B$37,2,FALSE)*1024,0) + Q867*16 + IF(R867="",7,R867)*2 + IF(S867&gt;0, 1, 0))),","),"")</f>
        <v/>
      </c>
    </row>
    <row r="868" spans="1:25" x14ac:dyDescent="0.25">
      <c r="F868" s="18">
        <f t="shared" si="78"/>
        <v>0</v>
      </c>
      <c r="G868" s="1" t="str">
        <f t="shared" si="81"/>
        <v/>
      </c>
      <c r="M868" s="18">
        <f t="shared" si="79"/>
        <v>0</v>
      </c>
      <c r="N868" s="1" t="str">
        <f t="shared" si="82"/>
        <v/>
      </c>
      <c r="T868" s="18">
        <f t="shared" si="80"/>
        <v>0</v>
      </c>
      <c r="U868" s="1" t="str">
        <f t="shared" si="83"/>
        <v/>
      </c>
      <c r="W868" s="21" t="str">
        <f>IF(C868&gt;0,CONCATENATE("0x",(DEC2HEX(IF(B868&lt;&gt;"",VLOOKUP(B868,Notes!$A$2:$B$37,2,FALSE)*1024,0) + C868*16 + IF(D868="",7,D868)*2 + IF(E868&gt;0, 1, 0))),","),"")</f>
        <v/>
      </c>
      <c r="X868" s="21" t="str">
        <f>IF(J868&gt;0,CONCATENATE("0x",(DEC2HEX(IF(I868&lt;&gt;"",VLOOKUP(I868,Notes!$A$2:$B$37,2,FALSE)*1024,0) + J868*16 + IF(K868="",7,K868)*2 + IF(L868&gt;0, 1, 0))),","),"")</f>
        <v/>
      </c>
      <c r="Y868" s="21" t="str">
        <f>IF(Q868&gt;0,CONCATENATE("0x",(DEC2HEX(IF(P868&lt;&gt;"",VLOOKUP(P868,Notes!$A$2:$B$37,2,FALSE)*1024,0) + Q868*16 + IF(R868="",7,R868)*2 + IF(S868&gt;0, 1, 0))),","),"")</f>
        <v/>
      </c>
    </row>
    <row r="869" spans="1:25" x14ac:dyDescent="0.25">
      <c r="F869" s="18">
        <f t="shared" si="78"/>
        <v>0</v>
      </c>
      <c r="G869" s="1" t="str">
        <f t="shared" si="81"/>
        <v/>
      </c>
      <c r="M869" s="18">
        <f t="shared" si="79"/>
        <v>0</v>
      </c>
      <c r="N869" s="1" t="str">
        <f t="shared" si="82"/>
        <v/>
      </c>
      <c r="T869" s="18">
        <f t="shared" si="80"/>
        <v>0</v>
      </c>
      <c r="U869" s="1" t="str">
        <f t="shared" si="83"/>
        <v/>
      </c>
      <c r="W869" s="21" t="str">
        <f>IF(C869&gt;0,CONCATENATE("0x",(DEC2HEX(IF(B869&lt;&gt;"",VLOOKUP(B869,Notes!$A$2:$B$37,2,FALSE)*1024,0) + C869*16 + IF(D869="",7,D869)*2 + IF(E869&gt;0, 1, 0))),","),"")</f>
        <v/>
      </c>
      <c r="X869" s="21" t="str">
        <f>IF(J869&gt;0,CONCATENATE("0x",(DEC2HEX(IF(I869&lt;&gt;"",VLOOKUP(I869,Notes!$A$2:$B$37,2,FALSE)*1024,0) + J869*16 + IF(K869="",7,K869)*2 + IF(L869&gt;0, 1, 0))),","),"")</f>
        <v/>
      </c>
      <c r="Y869" s="21" t="str">
        <f>IF(Q869&gt;0,CONCATENATE("0x",(DEC2HEX(IF(P869&lt;&gt;"",VLOOKUP(P869,Notes!$A$2:$B$37,2,FALSE)*1024,0) + Q869*16 + IF(R869="",7,R869)*2 + IF(S869&gt;0, 1, 0))),","),"")</f>
        <v/>
      </c>
    </row>
    <row r="870" spans="1:25" x14ac:dyDescent="0.25">
      <c r="F870" s="18">
        <f t="shared" si="78"/>
        <v>0</v>
      </c>
      <c r="G870" s="1" t="str">
        <f t="shared" si="81"/>
        <v/>
      </c>
      <c r="M870" s="18">
        <f t="shared" si="79"/>
        <v>0</v>
      </c>
      <c r="N870" s="1" t="str">
        <f t="shared" si="82"/>
        <v/>
      </c>
      <c r="T870" s="18">
        <f t="shared" si="80"/>
        <v>0</v>
      </c>
      <c r="U870" s="1" t="str">
        <f t="shared" si="83"/>
        <v/>
      </c>
      <c r="W870" s="21" t="str">
        <f>IF(C870&gt;0,CONCATENATE("0x",(DEC2HEX(IF(B870&lt;&gt;"",VLOOKUP(B870,Notes!$A$2:$B$37,2,FALSE)*1024,0) + C870*16 + IF(D870="",7,D870)*2 + IF(E870&gt;0, 1, 0))),","),"")</f>
        <v/>
      </c>
      <c r="X870" s="21" t="str">
        <f>IF(J870&gt;0,CONCATENATE("0x",(DEC2HEX(IF(I870&lt;&gt;"",VLOOKUP(I870,Notes!$A$2:$B$37,2,FALSE)*1024,0) + J870*16 + IF(K870="",7,K870)*2 + IF(L870&gt;0, 1, 0))),","),"")</f>
        <v/>
      </c>
      <c r="Y870" s="21" t="str">
        <f>IF(Q870&gt;0,CONCATENATE("0x",(DEC2HEX(IF(P870&lt;&gt;"",VLOOKUP(P870,Notes!$A$2:$B$37,2,FALSE)*1024,0) + Q870*16 + IF(R870="",7,R870)*2 + IF(S870&gt;0, 1, 0))),","),"")</f>
        <v/>
      </c>
    </row>
    <row r="871" spans="1:25" x14ac:dyDescent="0.25">
      <c r="F871" s="18">
        <f t="shared" si="78"/>
        <v>0</v>
      </c>
      <c r="G871" s="1" t="str">
        <f t="shared" si="81"/>
        <v/>
      </c>
      <c r="M871" s="18">
        <f t="shared" si="79"/>
        <v>0</v>
      </c>
      <c r="N871" s="1" t="str">
        <f t="shared" si="82"/>
        <v/>
      </c>
      <c r="T871" s="18">
        <f t="shared" si="80"/>
        <v>0</v>
      </c>
      <c r="U871" s="1" t="str">
        <f t="shared" si="83"/>
        <v/>
      </c>
      <c r="W871" s="21" t="str">
        <f>IF(C871&gt;0,CONCATENATE("0x",(DEC2HEX(IF(B871&lt;&gt;"",VLOOKUP(B871,Notes!$A$2:$B$37,2,FALSE)*1024,0) + C871*16 + IF(D871="",7,D871)*2 + IF(E871&gt;0, 1, 0))),","),"")</f>
        <v/>
      </c>
      <c r="X871" s="21" t="str">
        <f>IF(J871&gt;0,CONCATENATE("0x",(DEC2HEX(IF(I871&lt;&gt;"",VLOOKUP(I871,Notes!$A$2:$B$37,2,FALSE)*1024,0) + J871*16 + IF(K871="",7,K871)*2 + IF(L871&gt;0, 1, 0))),","),"")</f>
        <v/>
      </c>
      <c r="Y871" s="21" t="str">
        <f>IF(Q871&gt;0,CONCATENATE("0x",(DEC2HEX(IF(P871&lt;&gt;"",VLOOKUP(P871,Notes!$A$2:$B$37,2,FALSE)*1024,0) + Q871*16 + IF(R871="",7,R871)*2 + IF(S871&gt;0, 1, 0))),","),"")</f>
        <v/>
      </c>
    </row>
    <row r="872" spans="1:25" x14ac:dyDescent="0.25">
      <c r="F872" s="18">
        <f t="shared" si="78"/>
        <v>0</v>
      </c>
      <c r="G872" s="1" t="str">
        <f t="shared" si="81"/>
        <v/>
      </c>
      <c r="M872" s="18">
        <f t="shared" si="79"/>
        <v>0</v>
      </c>
      <c r="N872" s="1" t="str">
        <f t="shared" si="82"/>
        <v/>
      </c>
      <c r="T872" s="18">
        <f t="shared" si="80"/>
        <v>0</v>
      </c>
      <c r="U872" s="1" t="str">
        <f t="shared" si="83"/>
        <v/>
      </c>
      <c r="W872" s="21" t="str">
        <f>IF(C872&gt;0,CONCATENATE("0x",(DEC2HEX(IF(B872&lt;&gt;"",VLOOKUP(B872,Notes!$A$2:$B$37,2,FALSE)*1024,0) + C872*16 + IF(D872="",7,D872)*2 + IF(E872&gt;0, 1, 0))),","),"")</f>
        <v/>
      </c>
      <c r="X872" s="21" t="str">
        <f>IF(J872&gt;0,CONCATENATE("0x",(DEC2HEX(IF(I872&lt;&gt;"",VLOOKUP(I872,Notes!$A$2:$B$37,2,FALSE)*1024,0) + J872*16 + IF(K872="",7,K872)*2 + IF(L872&gt;0, 1, 0))),","),"")</f>
        <v/>
      </c>
      <c r="Y872" s="21" t="str">
        <f>IF(Q872&gt;0,CONCATENATE("0x",(DEC2HEX(IF(P872&lt;&gt;"",VLOOKUP(P872,Notes!$A$2:$B$37,2,FALSE)*1024,0) + Q872*16 + IF(R872="",7,R872)*2 + IF(S872&gt;0, 1, 0))),","),"")</f>
        <v/>
      </c>
    </row>
    <row r="873" spans="1:25" x14ac:dyDescent="0.25">
      <c r="B873" s="12"/>
      <c r="C873" s="13"/>
      <c r="D873" s="13"/>
      <c r="E873" s="14"/>
      <c r="F873" s="18">
        <f t="shared" si="78"/>
        <v>0</v>
      </c>
      <c r="G873" s="1" t="str">
        <f t="shared" si="81"/>
        <v/>
      </c>
      <c r="I873" s="12"/>
      <c r="J873" s="13"/>
      <c r="K873" s="13"/>
      <c r="L873" s="14"/>
      <c r="M873" s="18">
        <f t="shared" si="79"/>
        <v>0</v>
      </c>
      <c r="N873" s="1" t="str">
        <f t="shared" si="82"/>
        <v/>
      </c>
      <c r="P873" s="12"/>
      <c r="Q873" s="13"/>
      <c r="R873" s="13"/>
      <c r="S873" s="14"/>
      <c r="T873" s="18">
        <f t="shared" si="80"/>
        <v>0</v>
      </c>
      <c r="U873" s="1" t="str">
        <f t="shared" si="83"/>
        <v/>
      </c>
      <c r="W873" s="21" t="str">
        <f>IF(C873&gt;0,CONCATENATE("0x",(DEC2HEX(IF(B873&lt;&gt;"",VLOOKUP(B873,Notes!$A$2:$B$37,2,FALSE)*1024,0) + C873*16 + IF(D873="",7,D873)*2 + IF(E873&gt;0, 1, 0))),","),"")</f>
        <v/>
      </c>
      <c r="X873" s="21" t="str">
        <f>IF(J873&gt;0,CONCATENATE("0x",(DEC2HEX(IF(I873&lt;&gt;"",VLOOKUP(I873,Notes!$A$2:$B$37,2,FALSE)*1024,0) + J873*16 + IF(K873="",7,K873)*2 + IF(L873&gt;0, 1, 0))),","),"")</f>
        <v/>
      </c>
      <c r="Y873" s="21" t="str">
        <f>IF(Q873&gt;0,CONCATENATE("0x",(DEC2HEX(IF(P873&lt;&gt;"",VLOOKUP(P873,Notes!$A$2:$B$37,2,FALSE)*1024,0) + Q873*16 + IF(R873="",7,R873)*2 + IF(S873&gt;0, 1, 0))),","),"")</f>
        <v/>
      </c>
    </row>
    <row r="874" spans="1:25" x14ac:dyDescent="0.25">
      <c r="F874" s="18">
        <f t="shared" si="78"/>
        <v>0</v>
      </c>
      <c r="G874" s="1" t="str">
        <f t="shared" si="81"/>
        <v/>
      </c>
      <c r="M874" s="18">
        <f t="shared" si="79"/>
        <v>0</v>
      </c>
      <c r="N874" s="1" t="str">
        <f t="shared" si="82"/>
        <v/>
      </c>
      <c r="T874" s="18">
        <f t="shared" si="80"/>
        <v>0</v>
      </c>
      <c r="U874" s="1" t="str">
        <f t="shared" si="83"/>
        <v/>
      </c>
      <c r="W874" s="21" t="str">
        <f>IF(C874&gt;0,CONCATENATE("0x",(DEC2HEX(IF(B874&lt;&gt;"",VLOOKUP(B874,Notes!$A$2:$B$37,2,FALSE)*1024,0) + C874*16 + IF(D874="",7,D874)*2 + IF(E874&gt;0, 1, 0))),","),"")</f>
        <v/>
      </c>
      <c r="X874" s="21" t="str">
        <f>IF(J874&gt;0,CONCATENATE("0x",(DEC2HEX(IF(I874&lt;&gt;"",VLOOKUP(I874,Notes!$A$2:$B$37,2,FALSE)*1024,0) + J874*16 + IF(K874="",7,K874)*2 + IF(L874&gt;0, 1, 0))),","),"")</f>
        <v/>
      </c>
      <c r="Y874" s="21" t="str">
        <f>IF(Q874&gt;0,CONCATENATE("0x",(DEC2HEX(IF(P874&lt;&gt;"",VLOOKUP(P874,Notes!$A$2:$B$37,2,FALSE)*1024,0) + Q874*16 + IF(R874="",7,R874)*2 + IF(S874&gt;0, 1, 0))),","),"")</f>
        <v/>
      </c>
    </row>
    <row r="875" spans="1:25" x14ac:dyDescent="0.25">
      <c r="F875" s="18">
        <f t="shared" si="78"/>
        <v>0</v>
      </c>
      <c r="G875" s="1" t="str">
        <f t="shared" si="81"/>
        <v/>
      </c>
      <c r="M875" s="18">
        <f t="shared" si="79"/>
        <v>0</v>
      </c>
      <c r="N875" s="1" t="str">
        <f t="shared" si="82"/>
        <v/>
      </c>
      <c r="T875" s="18">
        <f t="shared" si="80"/>
        <v>0</v>
      </c>
      <c r="U875" s="1" t="str">
        <f t="shared" si="83"/>
        <v/>
      </c>
      <c r="W875" s="21" t="str">
        <f>IF(C875&gt;0,CONCATENATE("0x",(DEC2HEX(IF(B875&lt;&gt;"",VLOOKUP(B875,Notes!$A$2:$B$37,2,FALSE)*1024,0) + C875*16 + IF(D875="",7,D875)*2 + IF(E875&gt;0, 1, 0))),","),"")</f>
        <v/>
      </c>
      <c r="X875" s="21" t="str">
        <f>IF(J875&gt;0,CONCATENATE("0x",(DEC2HEX(IF(I875&lt;&gt;"",VLOOKUP(I875,Notes!$A$2:$B$37,2,FALSE)*1024,0) + J875*16 + IF(K875="",7,K875)*2 + IF(L875&gt;0, 1, 0))),","),"")</f>
        <v/>
      </c>
      <c r="Y875" s="21" t="str">
        <f>IF(Q875&gt;0,CONCATENATE("0x",(DEC2HEX(IF(P875&lt;&gt;"",VLOOKUP(P875,Notes!$A$2:$B$37,2,FALSE)*1024,0) + Q875*16 + IF(R875="",7,R875)*2 + IF(S875&gt;0, 1, 0))),","),"")</f>
        <v/>
      </c>
    </row>
    <row r="876" spans="1:25" x14ac:dyDescent="0.25">
      <c r="F876" s="18">
        <f t="shared" si="78"/>
        <v>0</v>
      </c>
      <c r="G876" s="1" t="str">
        <f t="shared" si="81"/>
        <v/>
      </c>
      <c r="M876" s="18">
        <f t="shared" si="79"/>
        <v>0</v>
      </c>
      <c r="N876" s="1" t="str">
        <f t="shared" si="82"/>
        <v/>
      </c>
      <c r="T876" s="18">
        <f t="shared" si="80"/>
        <v>0</v>
      </c>
      <c r="U876" s="1" t="str">
        <f t="shared" si="83"/>
        <v/>
      </c>
      <c r="W876" s="21" t="str">
        <f>IF(C876&gt;0,CONCATENATE("0x",(DEC2HEX(IF(B876&lt;&gt;"",VLOOKUP(B876,Notes!$A$2:$B$37,2,FALSE)*1024,0) + C876*16 + IF(D876="",7,D876)*2 + IF(E876&gt;0, 1, 0))),","),"")</f>
        <v/>
      </c>
      <c r="X876" s="21" t="str">
        <f>IF(J876&gt;0,CONCATENATE("0x",(DEC2HEX(IF(I876&lt;&gt;"",VLOOKUP(I876,Notes!$A$2:$B$37,2,FALSE)*1024,0) + J876*16 + IF(K876="",7,K876)*2 + IF(L876&gt;0, 1, 0))),","),"")</f>
        <v/>
      </c>
      <c r="Y876" s="21" t="str">
        <f>IF(Q876&gt;0,CONCATENATE("0x",(DEC2HEX(IF(P876&lt;&gt;"",VLOOKUP(P876,Notes!$A$2:$B$37,2,FALSE)*1024,0) + Q876*16 + IF(R876="",7,R876)*2 + IF(S876&gt;0, 1, 0))),","),"")</f>
        <v/>
      </c>
    </row>
    <row r="877" spans="1:25" x14ac:dyDescent="0.25">
      <c r="F877" s="18">
        <f t="shared" si="78"/>
        <v>0</v>
      </c>
      <c r="G877" s="1" t="str">
        <f t="shared" si="81"/>
        <v/>
      </c>
      <c r="M877" s="18">
        <f t="shared" si="79"/>
        <v>0</v>
      </c>
      <c r="N877" s="1" t="str">
        <f t="shared" si="82"/>
        <v/>
      </c>
      <c r="T877" s="18">
        <f t="shared" si="80"/>
        <v>0</v>
      </c>
      <c r="U877" s="1" t="str">
        <f t="shared" si="83"/>
        <v/>
      </c>
      <c r="W877" s="21" t="str">
        <f>IF(C877&gt;0,CONCATENATE("0x",(DEC2HEX(IF(B877&lt;&gt;"",VLOOKUP(B877,Notes!$A$2:$B$37,2,FALSE)*1024,0) + C877*16 + IF(D877="",7,D877)*2 + IF(E877&gt;0, 1, 0))),","),"")</f>
        <v/>
      </c>
      <c r="X877" s="21" t="str">
        <f>IF(J877&gt;0,CONCATENATE("0x",(DEC2HEX(IF(I877&lt;&gt;"",VLOOKUP(I877,Notes!$A$2:$B$37,2,FALSE)*1024,0) + J877*16 + IF(K877="",7,K877)*2 + IF(L877&gt;0, 1, 0))),","),"")</f>
        <v/>
      </c>
      <c r="Y877" s="21" t="str">
        <f>IF(Q877&gt;0,CONCATENATE("0x",(DEC2HEX(IF(P877&lt;&gt;"",VLOOKUP(P877,Notes!$A$2:$B$37,2,FALSE)*1024,0) + Q877*16 + IF(R877="",7,R877)*2 + IF(S877&gt;0, 1, 0))),","),"")</f>
        <v/>
      </c>
    </row>
    <row r="878" spans="1:25" x14ac:dyDescent="0.25">
      <c r="F878" s="18">
        <f t="shared" si="78"/>
        <v>0</v>
      </c>
      <c r="G878" s="1" t="str">
        <f t="shared" si="81"/>
        <v/>
      </c>
      <c r="M878" s="18">
        <f t="shared" si="79"/>
        <v>0</v>
      </c>
      <c r="N878" s="1" t="str">
        <f t="shared" si="82"/>
        <v/>
      </c>
      <c r="T878" s="18">
        <f t="shared" si="80"/>
        <v>0</v>
      </c>
      <c r="U878" s="1" t="str">
        <f t="shared" si="83"/>
        <v/>
      </c>
      <c r="W878" s="21" t="str">
        <f>IF(C878&gt;0,CONCATENATE("0x",(DEC2HEX(IF(B878&lt;&gt;"",VLOOKUP(B878,Notes!$A$2:$B$37,2,FALSE)*1024,0) + C878*16 + IF(D878="",7,D878)*2 + IF(E878&gt;0, 1, 0))),","),"")</f>
        <v/>
      </c>
      <c r="X878" s="21" t="str">
        <f>IF(J878&gt;0,CONCATENATE("0x",(DEC2HEX(IF(I878&lt;&gt;"",VLOOKUP(I878,Notes!$A$2:$B$37,2,FALSE)*1024,0) + J878*16 + IF(K878="",7,K878)*2 + IF(L878&gt;0, 1, 0))),","),"")</f>
        <v/>
      </c>
      <c r="Y878" s="21" t="str">
        <f>IF(Q878&gt;0,CONCATENATE("0x",(DEC2HEX(IF(P878&lt;&gt;"",VLOOKUP(P878,Notes!$A$2:$B$37,2,FALSE)*1024,0) + Q878*16 + IF(R878="",7,R878)*2 + IF(S878&gt;0, 1, 0))),","),"")</f>
        <v/>
      </c>
    </row>
    <row r="879" spans="1:25" x14ac:dyDescent="0.25">
      <c r="F879" s="18">
        <f t="shared" si="78"/>
        <v>0</v>
      </c>
      <c r="G879" s="1" t="str">
        <f t="shared" si="81"/>
        <v/>
      </c>
      <c r="M879" s="18">
        <f t="shared" si="79"/>
        <v>0</v>
      </c>
      <c r="N879" s="1" t="str">
        <f t="shared" si="82"/>
        <v/>
      </c>
      <c r="T879" s="18">
        <f t="shared" si="80"/>
        <v>0</v>
      </c>
      <c r="U879" s="1" t="str">
        <f t="shared" si="83"/>
        <v/>
      </c>
      <c r="W879" s="21" t="str">
        <f>IF(C879&gt;0,CONCATENATE("0x",(DEC2HEX(IF(B879&lt;&gt;"",VLOOKUP(B879,Notes!$A$2:$B$37,2,FALSE)*1024,0) + C879*16 + IF(D879="",7,D879)*2 + IF(E879&gt;0, 1, 0))),","),"")</f>
        <v/>
      </c>
      <c r="X879" s="21" t="str">
        <f>IF(J879&gt;0,CONCATENATE("0x",(DEC2HEX(IF(I879&lt;&gt;"",VLOOKUP(I879,Notes!$A$2:$B$37,2,FALSE)*1024,0) + J879*16 + IF(K879="",7,K879)*2 + IF(L879&gt;0, 1, 0))),","),"")</f>
        <v/>
      </c>
      <c r="Y879" s="21" t="str">
        <f>IF(Q879&gt;0,CONCATENATE("0x",(DEC2HEX(IF(P879&lt;&gt;"",VLOOKUP(P879,Notes!$A$2:$B$37,2,FALSE)*1024,0) + Q879*16 + IF(R879="",7,R879)*2 + IF(S879&gt;0, 1, 0))),","),"")</f>
        <v/>
      </c>
    </row>
    <row r="880" spans="1:25" x14ac:dyDescent="0.25">
      <c r="F880" s="18">
        <f t="shared" si="78"/>
        <v>0</v>
      </c>
      <c r="G880" s="1" t="str">
        <f t="shared" si="81"/>
        <v/>
      </c>
      <c r="M880" s="18">
        <f t="shared" si="79"/>
        <v>0</v>
      </c>
      <c r="N880" s="1" t="str">
        <f t="shared" si="82"/>
        <v/>
      </c>
      <c r="T880" s="18">
        <f t="shared" si="80"/>
        <v>0</v>
      </c>
      <c r="U880" s="1" t="str">
        <f t="shared" si="83"/>
        <v/>
      </c>
      <c r="W880" s="21" t="str">
        <f>IF(C880&gt;0,CONCATENATE("0x",(DEC2HEX(IF(B880&lt;&gt;"",VLOOKUP(B880,Notes!$A$2:$B$37,2,FALSE)*1024,0) + C880*16 + IF(D880="",7,D880)*2 + IF(E880&gt;0, 1, 0))),","),"")</f>
        <v/>
      </c>
      <c r="X880" s="21" t="str">
        <f>IF(J880&gt;0,CONCATENATE("0x",(DEC2HEX(IF(I880&lt;&gt;"",VLOOKUP(I880,Notes!$A$2:$B$37,2,FALSE)*1024,0) + J880*16 + IF(K880="",7,K880)*2 + IF(L880&gt;0, 1, 0))),","),"")</f>
        <v/>
      </c>
      <c r="Y880" s="21" t="str">
        <f>IF(Q880&gt;0,CONCATENATE("0x",(DEC2HEX(IF(P880&lt;&gt;"",VLOOKUP(P880,Notes!$A$2:$B$37,2,FALSE)*1024,0) + Q880*16 + IF(R880="",7,R880)*2 + IF(S880&gt;0, 1, 0))),","),"")</f>
        <v/>
      </c>
    </row>
    <row r="881" spans="2:25" x14ac:dyDescent="0.25">
      <c r="B881" s="12"/>
      <c r="C881" s="13"/>
      <c r="D881" s="13"/>
      <c r="E881" s="14"/>
      <c r="F881" s="18">
        <f t="shared" si="78"/>
        <v>0</v>
      </c>
      <c r="G881" s="1" t="str">
        <f t="shared" si="81"/>
        <v/>
      </c>
      <c r="I881" s="12"/>
      <c r="J881" s="13"/>
      <c r="K881" s="13"/>
      <c r="L881" s="14"/>
      <c r="M881" s="18">
        <f t="shared" si="79"/>
        <v>0</v>
      </c>
      <c r="N881" s="1" t="str">
        <f t="shared" si="82"/>
        <v/>
      </c>
      <c r="P881" s="12"/>
      <c r="Q881" s="13"/>
      <c r="R881" s="13"/>
      <c r="S881" s="14"/>
      <c r="T881" s="18">
        <f t="shared" si="80"/>
        <v>0</v>
      </c>
      <c r="U881" s="1" t="str">
        <f t="shared" si="83"/>
        <v/>
      </c>
      <c r="W881" s="21" t="str">
        <f>IF(C881&gt;0,CONCATENATE("0x",(DEC2HEX(IF(B881&lt;&gt;"",VLOOKUP(B881,Notes!$A$2:$B$37,2,FALSE)*1024,0) + C881*16 + IF(D881="",7,D881)*2 + IF(E881&gt;0, 1, 0))),","),"")</f>
        <v/>
      </c>
      <c r="X881" s="21" t="str">
        <f>IF(J881&gt;0,CONCATENATE("0x",(DEC2HEX(IF(I881&lt;&gt;"",VLOOKUP(I881,Notes!$A$2:$B$37,2,FALSE)*1024,0) + J881*16 + IF(K881="",7,K881)*2 + IF(L881&gt;0, 1, 0))),","),"")</f>
        <v/>
      </c>
      <c r="Y881" s="21" t="str">
        <f>IF(Q881&gt;0,CONCATENATE("0x",(DEC2HEX(IF(P881&lt;&gt;"",VLOOKUP(P881,Notes!$A$2:$B$37,2,FALSE)*1024,0) + Q881*16 + IF(R881="",7,R881)*2 + IF(S881&gt;0, 1, 0))),","),"")</f>
        <v/>
      </c>
    </row>
    <row r="882" spans="2:25" x14ac:dyDescent="0.25">
      <c r="F882" s="18">
        <f t="shared" si="78"/>
        <v>0</v>
      </c>
      <c r="G882" s="1" t="str">
        <f t="shared" si="81"/>
        <v/>
      </c>
      <c r="M882" s="18">
        <f t="shared" si="79"/>
        <v>0</v>
      </c>
      <c r="N882" s="1" t="str">
        <f t="shared" si="82"/>
        <v/>
      </c>
      <c r="T882" s="18">
        <f t="shared" si="80"/>
        <v>0</v>
      </c>
      <c r="U882" s="1" t="str">
        <f t="shared" si="83"/>
        <v/>
      </c>
      <c r="W882" s="21" t="str">
        <f>IF(C882&gt;0,CONCATENATE("0x",(DEC2HEX(IF(B882&lt;&gt;"",VLOOKUP(B882,Notes!$A$2:$B$37,2,FALSE)*1024,0) + C882*16 + IF(D882="",7,D882)*2 + IF(E882&gt;0, 1, 0))),","),"")</f>
        <v/>
      </c>
      <c r="X882" s="21" t="str">
        <f>IF(J882&gt;0,CONCATENATE("0x",(DEC2HEX(IF(I882&lt;&gt;"",VLOOKUP(I882,Notes!$A$2:$B$37,2,FALSE)*1024,0) + J882*16 + IF(K882="",7,K882)*2 + IF(L882&gt;0, 1, 0))),","),"")</f>
        <v/>
      </c>
      <c r="Y882" s="21" t="str">
        <f>IF(Q882&gt;0,CONCATENATE("0x",(DEC2HEX(IF(P882&lt;&gt;"",VLOOKUP(P882,Notes!$A$2:$B$37,2,FALSE)*1024,0) + Q882*16 + IF(R882="",7,R882)*2 + IF(S882&gt;0, 1, 0))),","),"")</f>
        <v/>
      </c>
    </row>
    <row r="883" spans="2:25" x14ac:dyDescent="0.25">
      <c r="F883" s="18">
        <f t="shared" si="78"/>
        <v>0</v>
      </c>
      <c r="G883" s="1" t="str">
        <f t="shared" si="81"/>
        <v/>
      </c>
      <c r="M883" s="18">
        <f t="shared" si="79"/>
        <v>0</v>
      </c>
      <c r="N883" s="1" t="str">
        <f t="shared" si="82"/>
        <v/>
      </c>
      <c r="T883" s="18">
        <f t="shared" si="80"/>
        <v>0</v>
      </c>
      <c r="U883" s="1" t="str">
        <f t="shared" si="83"/>
        <v/>
      </c>
      <c r="W883" s="21" t="str">
        <f>IF(C883&gt;0,CONCATENATE("0x",(DEC2HEX(IF(B883&lt;&gt;"",VLOOKUP(B883,Notes!$A$2:$B$37,2,FALSE)*1024,0) + C883*16 + IF(D883="",7,D883)*2 + IF(E883&gt;0, 1, 0))),","),"")</f>
        <v/>
      </c>
      <c r="X883" s="21" t="str">
        <f>IF(J883&gt;0,CONCATENATE("0x",(DEC2HEX(IF(I883&lt;&gt;"",VLOOKUP(I883,Notes!$A$2:$B$37,2,FALSE)*1024,0) + J883*16 + IF(K883="",7,K883)*2 + IF(L883&gt;0, 1, 0))),","),"")</f>
        <v/>
      </c>
      <c r="Y883" s="21" t="str">
        <f>IF(Q883&gt;0,CONCATENATE("0x",(DEC2HEX(IF(P883&lt;&gt;"",VLOOKUP(P883,Notes!$A$2:$B$37,2,FALSE)*1024,0) + Q883*16 + IF(R883="",7,R883)*2 + IF(S883&gt;0, 1, 0))),","),"")</f>
        <v/>
      </c>
    </row>
    <row r="884" spans="2:25" x14ac:dyDescent="0.25">
      <c r="F884" s="18">
        <f t="shared" si="78"/>
        <v>0</v>
      </c>
      <c r="G884" s="1" t="str">
        <f t="shared" si="81"/>
        <v/>
      </c>
      <c r="M884" s="18">
        <f t="shared" si="79"/>
        <v>0</v>
      </c>
      <c r="N884" s="1" t="str">
        <f t="shared" si="82"/>
        <v/>
      </c>
      <c r="T884" s="18">
        <f t="shared" si="80"/>
        <v>0</v>
      </c>
      <c r="U884" s="1" t="str">
        <f t="shared" si="83"/>
        <v/>
      </c>
      <c r="W884" s="21" t="str">
        <f>IF(C884&gt;0,CONCATENATE("0x",(DEC2HEX(IF(B884&lt;&gt;"",VLOOKUP(B884,Notes!$A$2:$B$37,2,FALSE)*1024,0) + C884*16 + IF(D884="",7,D884)*2 + IF(E884&gt;0, 1, 0))),","),"")</f>
        <v/>
      </c>
      <c r="X884" s="21" t="str">
        <f>IF(J884&gt;0,CONCATENATE("0x",(DEC2HEX(IF(I884&lt;&gt;"",VLOOKUP(I884,Notes!$A$2:$B$37,2,FALSE)*1024,0) + J884*16 + IF(K884="",7,K884)*2 + IF(L884&gt;0, 1, 0))),","),"")</f>
        <v/>
      </c>
      <c r="Y884" s="21" t="str">
        <f>IF(Q884&gt;0,CONCATENATE("0x",(DEC2HEX(IF(P884&lt;&gt;"",VLOOKUP(P884,Notes!$A$2:$B$37,2,FALSE)*1024,0) + Q884*16 + IF(R884="",7,R884)*2 + IF(S884&gt;0, 1, 0))),","),"")</f>
        <v/>
      </c>
    </row>
    <row r="885" spans="2:25" x14ac:dyDescent="0.25">
      <c r="F885" s="18">
        <f t="shared" si="78"/>
        <v>0</v>
      </c>
      <c r="G885" s="1" t="str">
        <f t="shared" si="81"/>
        <v/>
      </c>
      <c r="M885" s="18">
        <f t="shared" si="79"/>
        <v>0</v>
      </c>
      <c r="N885" s="1" t="str">
        <f t="shared" si="82"/>
        <v/>
      </c>
      <c r="T885" s="18">
        <f t="shared" si="80"/>
        <v>0</v>
      </c>
      <c r="U885" s="1" t="str">
        <f t="shared" si="83"/>
        <v/>
      </c>
      <c r="W885" s="21" t="str">
        <f>IF(C885&gt;0,CONCATENATE("0x",(DEC2HEX(IF(B885&lt;&gt;"",VLOOKUP(B885,Notes!$A$2:$B$37,2,FALSE)*1024,0) + C885*16 + IF(D885="",7,D885)*2 + IF(E885&gt;0, 1, 0))),","),"")</f>
        <v/>
      </c>
      <c r="X885" s="21" t="str">
        <f>IF(J885&gt;0,CONCATENATE("0x",(DEC2HEX(IF(I885&lt;&gt;"",VLOOKUP(I885,Notes!$A$2:$B$37,2,FALSE)*1024,0) + J885*16 + IF(K885="",7,K885)*2 + IF(L885&gt;0, 1, 0))),","),"")</f>
        <v/>
      </c>
      <c r="Y885" s="21" t="str">
        <f>IF(Q885&gt;0,CONCATENATE("0x",(DEC2HEX(IF(P885&lt;&gt;"",VLOOKUP(P885,Notes!$A$2:$B$37,2,FALSE)*1024,0) + Q885*16 + IF(R885="",7,R885)*2 + IF(S885&gt;0, 1, 0))),","),"")</f>
        <v/>
      </c>
    </row>
    <row r="886" spans="2:25" x14ac:dyDescent="0.25">
      <c r="F886" s="18">
        <f t="shared" si="78"/>
        <v>0</v>
      </c>
      <c r="G886" s="1" t="str">
        <f t="shared" si="81"/>
        <v/>
      </c>
      <c r="M886" s="18">
        <f t="shared" si="79"/>
        <v>0</v>
      </c>
      <c r="N886" s="1" t="str">
        <f t="shared" si="82"/>
        <v/>
      </c>
      <c r="T886" s="18">
        <f t="shared" si="80"/>
        <v>0</v>
      </c>
      <c r="U886" s="1" t="str">
        <f t="shared" si="83"/>
        <v/>
      </c>
      <c r="W886" s="21" t="str">
        <f>IF(C886&gt;0,CONCATENATE("0x",(DEC2HEX(IF(B886&lt;&gt;"",VLOOKUP(B886,Notes!$A$2:$B$37,2,FALSE)*1024,0) + C886*16 + IF(D886="",7,D886)*2 + IF(E886&gt;0, 1, 0))),","),"")</f>
        <v/>
      </c>
      <c r="X886" s="21" t="str">
        <f>IF(J886&gt;0,CONCATENATE("0x",(DEC2HEX(IF(I886&lt;&gt;"",VLOOKUP(I886,Notes!$A$2:$B$37,2,FALSE)*1024,0) + J886*16 + IF(K886="",7,K886)*2 + IF(L886&gt;0, 1, 0))),","),"")</f>
        <v/>
      </c>
      <c r="Y886" s="21" t="str">
        <f>IF(Q886&gt;0,CONCATENATE("0x",(DEC2HEX(IF(P886&lt;&gt;"",VLOOKUP(P886,Notes!$A$2:$B$37,2,FALSE)*1024,0) + Q886*16 + IF(R886="",7,R886)*2 + IF(S886&gt;0, 1, 0))),","),"")</f>
        <v/>
      </c>
    </row>
    <row r="887" spans="2:25" x14ac:dyDescent="0.25">
      <c r="F887" s="18">
        <f t="shared" si="78"/>
        <v>0</v>
      </c>
      <c r="G887" s="1" t="str">
        <f t="shared" si="81"/>
        <v/>
      </c>
      <c r="M887" s="18">
        <f t="shared" si="79"/>
        <v>0</v>
      </c>
      <c r="N887" s="1" t="str">
        <f t="shared" si="82"/>
        <v/>
      </c>
      <c r="T887" s="18">
        <f t="shared" si="80"/>
        <v>0</v>
      </c>
      <c r="U887" s="1" t="str">
        <f t="shared" si="83"/>
        <v/>
      </c>
      <c r="W887" s="21" t="str">
        <f>IF(C887&gt;0,CONCATENATE("0x",(DEC2HEX(IF(B887&lt;&gt;"",VLOOKUP(B887,Notes!$A$2:$B$37,2,FALSE)*1024,0) + C887*16 + IF(D887="",7,D887)*2 + IF(E887&gt;0, 1, 0))),","),"")</f>
        <v/>
      </c>
      <c r="X887" s="21" t="str">
        <f>IF(J887&gt;0,CONCATENATE("0x",(DEC2HEX(IF(I887&lt;&gt;"",VLOOKUP(I887,Notes!$A$2:$B$37,2,FALSE)*1024,0) + J887*16 + IF(K887="",7,K887)*2 + IF(L887&gt;0, 1, 0))),","),"")</f>
        <v/>
      </c>
      <c r="Y887" s="21" t="str">
        <f>IF(Q887&gt;0,CONCATENATE("0x",(DEC2HEX(IF(P887&lt;&gt;"",VLOOKUP(P887,Notes!$A$2:$B$37,2,FALSE)*1024,0) + Q887*16 + IF(R887="",7,R887)*2 + IF(S887&gt;0, 1, 0))),","),"")</f>
        <v/>
      </c>
    </row>
    <row r="888" spans="2:25" x14ac:dyDescent="0.25">
      <c r="F888" s="18">
        <f t="shared" si="78"/>
        <v>0</v>
      </c>
      <c r="G888" s="1" t="str">
        <f t="shared" si="81"/>
        <v/>
      </c>
      <c r="M888" s="18">
        <f t="shared" si="79"/>
        <v>0</v>
      </c>
      <c r="N888" s="1" t="str">
        <f t="shared" si="82"/>
        <v/>
      </c>
      <c r="T888" s="18">
        <f t="shared" si="80"/>
        <v>0</v>
      </c>
      <c r="U888" s="1" t="str">
        <f t="shared" si="83"/>
        <v/>
      </c>
      <c r="W888" s="21" t="str">
        <f>IF(C888&gt;0,CONCATENATE("0x",(DEC2HEX(IF(B888&lt;&gt;"",VLOOKUP(B888,Notes!$A$2:$B$37,2,FALSE)*1024,0) + C888*16 + IF(D888="",7,D888)*2 + IF(E888&gt;0, 1, 0))),","),"")</f>
        <v/>
      </c>
      <c r="X888" s="21" t="str">
        <f>IF(J888&gt;0,CONCATENATE("0x",(DEC2HEX(IF(I888&lt;&gt;"",VLOOKUP(I888,Notes!$A$2:$B$37,2,FALSE)*1024,0) + J888*16 + IF(K888="",7,K888)*2 + IF(L888&gt;0, 1, 0))),","),"")</f>
        <v/>
      </c>
      <c r="Y888" s="21" t="str">
        <f>IF(Q888&gt;0,CONCATENATE("0x",(DEC2HEX(IF(P888&lt;&gt;"",VLOOKUP(P888,Notes!$A$2:$B$37,2,FALSE)*1024,0) + Q888*16 + IF(R888="",7,R888)*2 + IF(S888&gt;0, 1, 0))),","),"")</f>
        <v/>
      </c>
    </row>
    <row r="889" spans="2:25" x14ac:dyDescent="0.25">
      <c r="B889" s="12"/>
      <c r="C889" s="13"/>
      <c r="D889" s="13"/>
      <c r="E889" s="14"/>
      <c r="F889" s="18">
        <f t="shared" si="78"/>
        <v>0</v>
      </c>
      <c r="G889" s="1" t="str">
        <f t="shared" si="81"/>
        <v/>
      </c>
      <c r="I889" s="12"/>
      <c r="J889" s="13"/>
      <c r="K889" s="13"/>
      <c r="L889" s="14"/>
      <c r="M889" s="18">
        <f t="shared" si="79"/>
        <v>0</v>
      </c>
      <c r="N889" s="1" t="str">
        <f t="shared" si="82"/>
        <v/>
      </c>
      <c r="P889" s="12"/>
      <c r="Q889" s="13"/>
      <c r="R889" s="13"/>
      <c r="S889" s="14"/>
      <c r="T889" s="18">
        <f t="shared" si="80"/>
        <v>0</v>
      </c>
      <c r="U889" s="1" t="str">
        <f t="shared" si="83"/>
        <v/>
      </c>
      <c r="W889" s="21" t="str">
        <f>IF(C889&gt;0,CONCATENATE("0x",(DEC2HEX(IF(B889&lt;&gt;"",VLOOKUP(B889,Notes!$A$2:$B$37,2,FALSE)*1024,0) + C889*16 + IF(D889="",7,D889)*2 + IF(E889&gt;0, 1, 0))),","),"")</f>
        <v/>
      </c>
      <c r="X889" s="21" t="str">
        <f>IF(J889&gt;0,CONCATENATE("0x",(DEC2HEX(IF(I889&lt;&gt;"",VLOOKUP(I889,Notes!$A$2:$B$37,2,FALSE)*1024,0) + J889*16 + IF(K889="",7,K889)*2 + IF(L889&gt;0, 1, 0))),","),"")</f>
        <v/>
      </c>
      <c r="Y889" s="21" t="str">
        <f>IF(Q889&gt;0,CONCATENATE("0x",(DEC2HEX(IF(P889&lt;&gt;"",VLOOKUP(P889,Notes!$A$2:$B$37,2,FALSE)*1024,0) + Q889*16 + IF(R889="",7,R889)*2 + IF(S889&gt;0, 1, 0))),","),"")</f>
        <v/>
      </c>
    </row>
    <row r="890" spans="2:25" x14ac:dyDescent="0.25">
      <c r="F890" s="18">
        <f t="shared" si="78"/>
        <v>0</v>
      </c>
      <c r="G890" s="1" t="str">
        <f t="shared" si="81"/>
        <v/>
      </c>
      <c r="M890" s="18">
        <f t="shared" si="79"/>
        <v>0</v>
      </c>
      <c r="N890" s="1" t="str">
        <f t="shared" si="82"/>
        <v/>
      </c>
      <c r="T890" s="18">
        <f t="shared" si="80"/>
        <v>0</v>
      </c>
      <c r="U890" s="1" t="str">
        <f t="shared" si="83"/>
        <v/>
      </c>
      <c r="W890" s="21" t="str">
        <f>IF(C890&gt;0,CONCATENATE("0x",(DEC2HEX(IF(B890&lt;&gt;"",VLOOKUP(B890,Notes!$A$2:$B$37,2,FALSE)*1024,0) + C890*16 + IF(D890="",7,D890)*2 + IF(E890&gt;0, 1, 0))),","),"")</f>
        <v/>
      </c>
      <c r="X890" s="21" t="str">
        <f>IF(J890&gt;0,CONCATENATE("0x",(DEC2HEX(IF(I890&lt;&gt;"",VLOOKUP(I890,Notes!$A$2:$B$37,2,FALSE)*1024,0) + J890*16 + IF(K890="",7,K890)*2 + IF(L890&gt;0, 1, 0))),","),"")</f>
        <v/>
      </c>
      <c r="Y890" s="21" t="str">
        <f>IF(Q890&gt;0,CONCATENATE("0x",(DEC2HEX(IF(P890&lt;&gt;"",VLOOKUP(P890,Notes!$A$2:$B$37,2,FALSE)*1024,0) + Q890*16 + IF(R890="",7,R890)*2 + IF(S890&gt;0, 1, 0))),","),"")</f>
        <v/>
      </c>
    </row>
    <row r="891" spans="2:25" x14ac:dyDescent="0.25">
      <c r="F891" s="18">
        <f t="shared" si="78"/>
        <v>0</v>
      </c>
      <c r="G891" s="1" t="str">
        <f t="shared" si="81"/>
        <v/>
      </c>
      <c r="M891" s="18">
        <f t="shared" si="79"/>
        <v>0</v>
      </c>
      <c r="N891" s="1" t="str">
        <f t="shared" si="82"/>
        <v/>
      </c>
      <c r="T891" s="18">
        <f t="shared" si="80"/>
        <v>0</v>
      </c>
      <c r="U891" s="1" t="str">
        <f t="shared" si="83"/>
        <v/>
      </c>
      <c r="W891" s="21" t="str">
        <f>IF(C891&gt;0,CONCATENATE("0x",(DEC2HEX(IF(B891&lt;&gt;"",VLOOKUP(B891,Notes!$A$2:$B$37,2,FALSE)*1024,0) + C891*16 + IF(D891="",7,D891)*2 + IF(E891&gt;0, 1, 0))),","),"")</f>
        <v/>
      </c>
      <c r="X891" s="21" t="str">
        <f>IF(J891&gt;0,CONCATENATE("0x",(DEC2HEX(IF(I891&lt;&gt;"",VLOOKUP(I891,Notes!$A$2:$B$37,2,FALSE)*1024,0) + J891*16 + IF(K891="",7,K891)*2 + IF(L891&gt;0, 1, 0))),","),"")</f>
        <v/>
      </c>
      <c r="Y891" s="21" t="str">
        <f>IF(Q891&gt;0,CONCATENATE("0x",(DEC2HEX(IF(P891&lt;&gt;"",VLOOKUP(P891,Notes!$A$2:$B$37,2,FALSE)*1024,0) + Q891*16 + IF(R891="",7,R891)*2 + IF(S891&gt;0, 1, 0))),","),"")</f>
        <v/>
      </c>
    </row>
    <row r="892" spans="2:25" x14ac:dyDescent="0.25">
      <c r="F892" s="18">
        <f t="shared" si="78"/>
        <v>0</v>
      </c>
      <c r="G892" s="1" t="str">
        <f t="shared" si="81"/>
        <v/>
      </c>
      <c r="M892" s="18">
        <f t="shared" si="79"/>
        <v>0</v>
      </c>
      <c r="N892" s="1" t="str">
        <f t="shared" si="82"/>
        <v/>
      </c>
      <c r="T892" s="18">
        <f t="shared" si="80"/>
        <v>0</v>
      </c>
      <c r="U892" s="1" t="str">
        <f t="shared" si="83"/>
        <v/>
      </c>
      <c r="W892" s="21" t="str">
        <f>IF(C892&gt;0,CONCATENATE("0x",(DEC2HEX(IF(B892&lt;&gt;"",VLOOKUP(B892,Notes!$A$2:$B$37,2,FALSE)*1024,0) + C892*16 + IF(D892="",7,D892)*2 + IF(E892&gt;0, 1, 0))),","),"")</f>
        <v/>
      </c>
      <c r="X892" s="21" t="str">
        <f>IF(J892&gt;0,CONCATENATE("0x",(DEC2HEX(IF(I892&lt;&gt;"",VLOOKUP(I892,Notes!$A$2:$B$37,2,FALSE)*1024,0) + J892*16 + IF(K892="",7,K892)*2 + IF(L892&gt;0, 1, 0))),","),"")</f>
        <v/>
      </c>
      <c r="Y892" s="21" t="str">
        <f>IF(Q892&gt;0,CONCATENATE("0x",(DEC2HEX(IF(P892&lt;&gt;"",VLOOKUP(P892,Notes!$A$2:$B$37,2,FALSE)*1024,0) + Q892*16 + IF(R892="",7,R892)*2 + IF(S892&gt;0, 1, 0))),","),"")</f>
        <v/>
      </c>
    </row>
    <row r="893" spans="2:25" x14ac:dyDescent="0.25">
      <c r="F893" s="18">
        <f t="shared" si="78"/>
        <v>0</v>
      </c>
      <c r="G893" s="1" t="str">
        <f t="shared" si="81"/>
        <v/>
      </c>
      <c r="M893" s="18">
        <f t="shared" si="79"/>
        <v>0</v>
      </c>
      <c r="N893" s="1" t="str">
        <f t="shared" si="82"/>
        <v/>
      </c>
      <c r="T893" s="18">
        <f t="shared" si="80"/>
        <v>0</v>
      </c>
      <c r="U893" s="1" t="str">
        <f t="shared" si="83"/>
        <v/>
      </c>
      <c r="W893" s="21" t="str">
        <f>IF(C893&gt;0,CONCATENATE("0x",(DEC2HEX(IF(B893&lt;&gt;"",VLOOKUP(B893,Notes!$A$2:$B$37,2,FALSE)*1024,0) + C893*16 + IF(D893="",7,D893)*2 + IF(E893&gt;0, 1, 0))),","),"")</f>
        <v/>
      </c>
      <c r="X893" s="21" t="str">
        <f>IF(J893&gt;0,CONCATENATE("0x",(DEC2HEX(IF(I893&lt;&gt;"",VLOOKUP(I893,Notes!$A$2:$B$37,2,FALSE)*1024,0) + J893*16 + IF(K893="",7,K893)*2 + IF(L893&gt;0, 1, 0))),","),"")</f>
        <v/>
      </c>
      <c r="Y893" s="21" t="str">
        <f>IF(Q893&gt;0,CONCATENATE("0x",(DEC2HEX(IF(P893&lt;&gt;"",VLOOKUP(P893,Notes!$A$2:$B$37,2,FALSE)*1024,0) + Q893*16 + IF(R893="",7,R893)*2 + IF(S893&gt;0, 1, 0))),","),"")</f>
        <v/>
      </c>
    </row>
    <row r="894" spans="2:25" x14ac:dyDescent="0.25">
      <c r="F894" s="18">
        <f t="shared" si="78"/>
        <v>0</v>
      </c>
      <c r="G894" s="1" t="str">
        <f t="shared" si="81"/>
        <v/>
      </c>
      <c r="M894" s="18">
        <f t="shared" si="79"/>
        <v>0</v>
      </c>
      <c r="N894" s="1" t="str">
        <f t="shared" si="82"/>
        <v/>
      </c>
      <c r="T894" s="18">
        <f t="shared" si="80"/>
        <v>0</v>
      </c>
      <c r="U894" s="1" t="str">
        <f t="shared" si="83"/>
        <v/>
      </c>
      <c r="W894" s="21" t="str">
        <f>IF(C894&gt;0,CONCATENATE("0x",(DEC2HEX(IF(B894&lt;&gt;"",VLOOKUP(B894,Notes!$A$2:$B$37,2,FALSE)*1024,0) + C894*16 + IF(D894="",7,D894)*2 + IF(E894&gt;0, 1, 0))),","),"")</f>
        <v/>
      </c>
      <c r="X894" s="21" t="str">
        <f>IF(J894&gt;0,CONCATENATE("0x",(DEC2HEX(IF(I894&lt;&gt;"",VLOOKUP(I894,Notes!$A$2:$B$37,2,FALSE)*1024,0) + J894*16 + IF(K894="",7,K894)*2 + IF(L894&gt;0, 1, 0))),","),"")</f>
        <v/>
      </c>
      <c r="Y894" s="21" t="str">
        <f>IF(Q894&gt;0,CONCATENATE("0x",(DEC2HEX(IF(P894&lt;&gt;"",VLOOKUP(P894,Notes!$A$2:$B$37,2,FALSE)*1024,0) + Q894*16 + IF(R894="",7,R894)*2 + IF(S894&gt;0, 1, 0))),","),"")</f>
        <v/>
      </c>
    </row>
    <row r="895" spans="2:25" x14ac:dyDescent="0.25">
      <c r="F895" s="18">
        <f t="shared" si="78"/>
        <v>0</v>
      </c>
      <c r="G895" s="1" t="str">
        <f t="shared" si="81"/>
        <v/>
      </c>
      <c r="M895" s="18">
        <f t="shared" si="79"/>
        <v>0</v>
      </c>
      <c r="N895" s="1" t="str">
        <f t="shared" si="82"/>
        <v/>
      </c>
      <c r="T895" s="18">
        <f t="shared" si="80"/>
        <v>0</v>
      </c>
      <c r="U895" s="1" t="str">
        <f t="shared" si="83"/>
        <v/>
      </c>
      <c r="W895" s="21" t="str">
        <f>IF(C895&gt;0,CONCATENATE("0x",(DEC2HEX(IF(B895&lt;&gt;"",VLOOKUP(B895,Notes!$A$2:$B$37,2,FALSE)*1024,0) + C895*16 + IF(D895="",7,D895)*2 + IF(E895&gt;0, 1, 0))),","),"")</f>
        <v/>
      </c>
      <c r="X895" s="21" t="str">
        <f>IF(J895&gt;0,CONCATENATE("0x",(DEC2HEX(IF(I895&lt;&gt;"",VLOOKUP(I895,Notes!$A$2:$B$37,2,FALSE)*1024,0) + J895*16 + IF(K895="",7,K895)*2 + IF(L895&gt;0, 1, 0))),","),"")</f>
        <v/>
      </c>
      <c r="Y895" s="21" t="str">
        <f>IF(Q895&gt;0,CONCATENATE("0x",(DEC2HEX(IF(P895&lt;&gt;"",VLOOKUP(P895,Notes!$A$2:$B$37,2,FALSE)*1024,0) + Q895*16 + IF(R895="",7,R895)*2 + IF(S895&gt;0, 1, 0))),","),"")</f>
        <v/>
      </c>
    </row>
    <row r="896" spans="2:25" x14ac:dyDescent="0.25">
      <c r="F896" s="18">
        <f t="shared" si="78"/>
        <v>0</v>
      </c>
      <c r="G896" s="1" t="str">
        <f t="shared" si="81"/>
        <v/>
      </c>
      <c r="M896" s="18">
        <f t="shared" si="79"/>
        <v>0</v>
      </c>
      <c r="N896" s="1" t="str">
        <f t="shared" si="82"/>
        <v/>
      </c>
      <c r="T896" s="18">
        <f t="shared" si="80"/>
        <v>0</v>
      </c>
      <c r="U896" s="1" t="str">
        <f t="shared" si="83"/>
        <v/>
      </c>
      <c r="W896" s="21" t="str">
        <f>IF(C896&gt;0,CONCATENATE("0x",(DEC2HEX(IF(B896&lt;&gt;"",VLOOKUP(B896,Notes!$A$2:$B$37,2,FALSE)*1024,0) + C896*16 + IF(D896="",7,D896)*2 + IF(E896&gt;0, 1, 0))),","),"")</f>
        <v/>
      </c>
      <c r="X896" s="21" t="str">
        <f>IF(J896&gt;0,CONCATENATE("0x",(DEC2HEX(IF(I896&lt;&gt;"",VLOOKUP(I896,Notes!$A$2:$B$37,2,FALSE)*1024,0) + J896*16 + IF(K896="",7,K896)*2 + IF(L896&gt;0, 1, 0))),","),"")</f>
        <v/>
      </c>
      <c r="Y896" s="21" t="str">
        <f>IF(Q896&gt;0,CONCATENATE("0x",(DEC2HEX(IF(P896&lt;&gt;"",VLOOKUP(P896,Notes!$A$2:$B$37,2,FALSE)*1024,0) + Q896*16 + IF(R896="",7,R896)*2 + IF(S896&gt;0, 1, 0))),","),"")</f>
        <v/>
      </c>
    </row>
    <row r="897" spans="1:25" ht="16.5" thickBot="1" x14ac:dyDescent="0.3">
      <c r="B897" s="15"/>
      <c r="C897" s="16"/>
      <c r="D897" s="16"/>
      <c r="E897" s="17"/>
      <c r="F897" s="18">
        <f t="shared" si="78"/>
        <v>0</v>
      </c>
      <c r="G897" s="1" t="str">
        <f t="shared" si="81"/>
        <v/>
      </c>
      <c r="I897" s="15"/>
      <c r="J897" s="16"/>
      <c r="K897" s="16"/>
      <c r="L897" s="17"/>
      <c r="M897" s="18">
        <f t="shared" si="79"/>
        <v>0</v>
      </c>
      <c r="N897" s="1" t="str">
        <f t="shared" si="82"/>
        <v/>
      </c>
      <c r="P897" s="15"/>
      <c r="Q897" s="16"/>
      <c r="R897" s="16"/>
      <c r="S897" s="17"/>
      <c r="T897" s="18">
        <f t="shared" si="80"/>
        <v>0</v>
      </c>
      <c r="U897" s="1" t="str">
        <f t="shared" si="83"/>
        <v/>
      </c>
      <c r="W897" s="21" t="str">
        <f>IF(C897&gt;0,CONCATENATE("0x",(DEC2HEX(IF(B897&lt;&gt;"",VLOOKUP(B897,Notes!$A$2:$B$37,2,FALSE)*1024,0) + C897*16 + IF(D897="",7,D897)*2 + IF(E897&gt;0, 1, 0))),","),"")</f>
        <v/>
      </c>
      <c r="X897" s="21" t="str">
        <f>IF(J897&gt;0,CONCATENATE("0x",(DEC2HEX(IF(I897&lt;&gt;"",VLOOKUP(I897,Notes!$A$2:$B$37,2,FALSE)*1024,0) + J897*16 + IF(K897="",7,K897)*2 + IF(L897&gt;0, 1, 0))),","),"")</f>
        <v/>
      </c>
      <c r="Y897" s="21" t="str">
        <f>IF(Q897&gt;0,CONCATENATE("0x",(DEC2HEX(IF(P897&lt;&gt;"",VLOOKUP(P897,Notes!$A$2:$B$37,2,FALSE)*1024,0) + Q897*16 + IF(R897="",7,R897)*2 + IF(S897&gt;0, 1, 0))),","),"")</f>
        <v/>
      </c>
    </row>
    <row r="898" spans="1:25" ht="16.5" thickTop="1" x14ac:dyDescent="0.25">
      <c r="A898" s="1">
        <v>29</v>
      </c>
      <c r="F898" s="18">
        <f t="shared" si="78"/>
        <v>0</v>
      </c>
      <c r="G898" s="1" t="str">
        <f t="shared" si="81"/>
        <v/>
      </c>
      <c r="M898" s="18">
        <f t="shared" si="79"/>
        <v>0</v>
      </c>
      <c r="N898" s="1" t="str">
        <f t="shared" si="82"/>
        <v/>
      </c>
      <c r="T898" s="18">
        <f t="shared" si="80"/>
        <v>0</v>
      </c>
      <c r="U898" s="1" t="str">
        <f t="shared" si="83"/>
        <v/>
      </c>
      <c r="W898" s="21" t="str">
        <f>IF(C898&gt;0,CONCATENATE("0x",(DEC2HEX(IF(B898&lt;&gt;"",VLOOKUP(B898,Notes!$A$2:$B$37,2,FALSE)*1024,0) + C898*16 + IF(D898="",7,D898)*2 + IF(E898&gt;0, 1, 0))),","),"")</f>
        <v/>
      </c>
      <c r="X898" s="21" t="str">
        <f>IF(J898&gt;0,CONCATENATE("0x",(DEC2HEX(IF(I898&lt;&gt;"",VLOOKUP(I898,Notes!$A$2:$B$37,2,FALSE)*1024,0) + J898*16 + IF(K898="",7,K898)*2 + IF(L898&gt;0, 1, 0))),","),"")</f>
        <v/>
      </c>
      <c r="Y898" s="21" t="str">
        <f>IF(Q898&gt;0,CONCATENATE("0x",(DEC2HEX(IF(P898&lt;&gt;"",VLOOKUP(P898,Notes!$A$2:$B$37,2,FALSE)*1024,0) + Q898*16 + IF(R898="",7,R898)*2 + IF(S898&gt;0, 1, 0))),","),"")</f>
        <v/>
      </c>
    </row>
    <row r="899" spans="1:25" x14ac:dyDescent="0.25">
      <c r="F899" s="18">
        <f t="shared" ref="F899:F962" si="84">IF(C899&gt;0, C899, MAX(F898-1,0))</f>
        <v>0</v>
      </c>
      <c r="G899" s="1" t="str">
        <f t="shared" si="81"/>
        <v/>
      </c>
      <c r="M899" s="18">
        <f t="shared" ref="M899:M962" si="85">IF(J899&gt;0, J899, MAX(M898-1,0))</f>
        <v>0</v>
      </c>
      <c r="N899" s="1" t="str">
        <f t="shared" si="82"/>
        <v/>
      </c>
      <c r="T899" s="18">
        <f t="shared" ref="T899:T962" si="86">IF(Q899&gt;0, Q899, MAX(T898-1,0))</f>
        <v>0</v>
      </c>
      <c r="U899" s="1" t="str">
        <f t="shared" si="83"/>
        <v/>
      </c>
      <c r="W899" s="21" t="str">
        <f>IF(C899&gt;0,CONCATENATE("0x",(DEC2HEX(IF(B899&lt;&gt;"",VLOOKUP(B899,Notes!$A$2:$B$37,2,FALSE)*1024,0) + C899*16 + IF(D899="",7,D899)*2 + IF(E899&gt;0, 1, 0))),","),"")</f>
        <v/>
      </c>
      <c r="X899" s="21" t="str">
        <f>IF(J899&gt;0,CONCATENATE("0x",(DEC2HEX(IF(I899&lt;&gt;"",VLOOKUP(I899,Notes!$A$2:$B$37,2,FALSE)*1024,0) + J899*16 + IF(K899="",7,K899)*2 + IF(L899&gt;0, 1, 0))),","),"")</f>
        <v/>
      </c>
      <c r="Y899" s="21" t="str">
        <f>IF(Q899&gt;0,CONCATENATE("0x",(DEC2HEX(IF(P899&lt;&gt;"",VLOOKUP(P899,Notes!$A$2:$B$37,2,FALSE)*1024,0) + Q899*16 + IF(R899="",7,R899)*2 + IF(S899&gt;0, 1, 0))),","),"")</f>
        <v/>
      </c>
    </row>
    <row r="900" spans="1:25" x14ac:dyDescent="0.25">
      <c r="F900" s="18">
        <f t="shared" si="84"/>
        <v>0</v>
      </c>
      <c r="G900" s="1" t="str">
        <f t="shared" ref="G900:G963" si="87">IF(AND(F899&gt;1,C900&gt;0), "OVERLAPPING","")</f>
        <v/>
      </c>
      <c r="M900" s="18">
        <f t="shared" si="85"/>
        <v>0</v>
      </c>
      <c r="N900" s="1" t="str">
        <f t="shared" ref="N900:N963" si="88">IF(AND(M899&gt;1,J900&gt;0), "OVERLAPPING","")</f>
        <v/>
      </c>
      <c r="T900" s="18">
        <f t="shared" si="86"/>
        <v>0</v>
      </c>
      <c r="U900" s="1" t="str">
        <f t="shared" ref="U900:U963" si="89">IF(AND(T899&gt;1,Q900&gt;0), "OVERLAPPING","")</f>
        <v/>
      </c>
      <c r="W900" s="21" t="str">
        <f>IF(C900&gt;0,CONCATENATE("0x",(DEC2HEX(IF(B900&lt;&gt;"",VLOOKUP(B900,Notes!$A$2:$B$37,2,FALSE)*1024,0) + C900*16 + IF(D900="",7,D900)*2 + IF(E900&gt;0, 1, 0))),","),"")</f>
        <v/>
      </c>
      <c r="X900" s="21" t="str">
        <f>IF(J900&gt;0,CONCATENATE("0x",(DEC2HEX(IF(I900&lt;&gt;"",VLOOKUP(I900,Notes!$A$2:$B$37,2,FALSE)*1024,0) + J900*16 + IF(K900="",7,K900)*2 + IF(L900&gt;0, 1, 0))),","),"")</f>
        <v/>
      </c>
      <c r="Y900" s="21" t="str">
        <f>IF(Q900&gt;0,CONCATENATE("0x",(DEC2HEX(IF(P900&lt;&gt;"",VLOOKUP(P900,Notes!$A$2:$B$37,2,FALSE)*1024,0) + Q900*16 + IF(R900="",7,R900)*2 + IF(S900&gt;0, 1, 0))),","),"")</f>
        <v/>
      </c>
    </row>
    <row r="901" spans="1:25" x14ac:dyDescent="0.25">
      <c r="F901" s="18">
        <f t="shared" si="84"/>
        <v>0</v>
      </c>
      <c r="G901" s="1" t="str">
        <f t="shared" si="87"/>
        <v/>
      </c>
      <c r="M901" s="18">
        <f t="shared" si="85"/>
        <v>0</v>
      </c>
      <c r="N901" s="1" t="str">
        <f t="shared" si="88"/>
        <v/>
      </c>
      <c r="T901" s="18">
        <f t="shared" si="86"/>
        <v>0</v>
      </c>
      <c r="U901" s="1" t="str">
        <f t="shared" si="89"/>
        <v/>
      </c>
      <c r="W901" s="21" t="str">
        <f>IF(C901&gt;0,CONCATENATE("0x",(DEC2HEX(IF(B901&lt;&gt;"",VLOOKUP(B901,Notes!$A$2:$B$37,2,FALSE)*1024,0) + C901*16 + IF(D901="",7,D901)*2 + IF(E901&gt;0, 1, 0))),","),"")</f>
        <v/>
      </c>
      <c r="X901" s="21" t="str">
        <f>IF(J901&gt;0,CONCATENATE("0x",(DEC2HEX(IF(I901&lt;&gt;"",VLOOKUP(I901,Notes!$A$2:$B$37,2,FALSE)*1024,0) + J901*16 + IF(K901="",7,K901)*2 + IF(L901&gt;0, 1, 0))),","),"")</f>
        <v/>
      </c>
      <c r="Y901" s="21" t="str">
        <f>IF(Q901&gt;0,CONCATENATE("0x",(DEC2HEX(IF(P901&lt;&gt;"",VLOOKUP(P901,Notes!$A$2:$B$37,2,FALSE)*1024,0) + Q901*16 + IF(R901="",7,R901)*2 + IF(S901&gt;0, 1, 0))),","),"")</f>
        <v/>
      </c>
    </row>
    <row r="902" spans="1:25" x14ac:dyDescent="0.25">
      <c r="F902" s="18">
        <f t="shared" si="84"/>
        <v>0</v>
      </c>
      <c r="G902" s="1" t="str">
        <f t="shared" si="87"/>
        <v/>
      </c>
      <c r="M902" s="18">
        <f t="shared" si="85"/>
        <v>0</v>
      </c>
      <c r="N902" s="1" t="str">
        <f t="shared" si="88"/>
        <v/>
      </c>
      <c r="T902" s="18">
        <f t="shared" si="86"/>
        <v>0</v>
      </c>
      <c r="U902" s="1" t="str">
        <f t="shared" si="89"/>
        <v/>
      </c>
      <c r="W902" s="21" t="str">
        <f>IF(C902&gt;0,CONCATENATE("0x",(DEC2HEX(IF(B902&lt;&gt;"",VLOOKUP(B902,Notes!$A$2:$B$37,2,FALSE)*1024,0) + C902*16 + IF(D902="",7,D902)*2 + IF(E902&gt;0, 1, 0))),","),"")</f>
        <v/>
      </c>
      <c r="X902" s="21" t="str">
        <f>IF(J902&gt;0,CONCATENATE("0x",(DEC2HEX(IF(I902&lt;&gt;"",VLOOKUP(I902,Notes!$A$2:$B$37,2,FALSE)*1024,0) + J902*16 + IF(K902="",7,K902)*2 + IF(L902&gt;0, 1, 0))),","),"")</f>
        <v/>
      </c>
      <c r="Y902" s="21" t="str">
        <f>IF(Q902&gt;0,CONCATENATE("0x",(DEC2HEX(IF(P902&lt;&gt;"",VLOOKUP(P902,Notes!$A$2:$B$37,2,FALSE)*1024,0) + Q902*16 + IF(R902="",7,R902)*2 + IF(S902&gt;0, 1, 0))),","),"")</f>
        <v/>
      </c>
    </row>
    <row r="903" spans="1:25" x14ac:dyDescent="0.25">
      <c r="F903" s="18">
        <f t="shared" si="84"/>
        <v>0</v>
      </c>
      <c r="G903" s="1" t="str">
        <f t="shared" si="87"/>
        <v/>
      </c>
      <c r="M903" s="18">
        <f t="shared" si="85"/>
        <v>0</v>
      </c>
      <c r="N903" s="1" t="str">
        <f t="shared" si="88"/>
        <v/>
      </c>
      <c r="T903" s="18">
        <f t="shared" si="86"/>
        <v>0</v>
      </c>
      <c r="U903" s="1" t="str">
        <f t="shared" si="89"/>
        <v/>
      </c>
      <c r="W903" s="21" t="str">
        <f>IF(C903&gt;0,CONCATENATE("0x",(DEC2HEX(IF(B903&lt;&gt;"",VLOOKUP(B903,Notes!$A$2:$B$37,2,FALSE)*1024,0) + C903*16 + IF(D903="",7,D903)*2 + IF(E903&gt;0, 1, 0))),","),"")</f>
        <v/>
      </c>
      <c r="X903" s="21" t="str">
        <f>IF(J903&gt;0,CONCATENATE("0x",(DEC2HEX(IF(I903&lt;&gt;"",VLOOKUP(I903,Notes!$A$2:$B$37,2,FALSE)*1024,0) + J903*16 + IF(K903="",7,K903)*2 + IF(L903&gt;0, 1, 0))),","),"")</f>
        <v/>
      </c>
      <c r="Y903" s="21" t="str">
        <f>IF(Q903&gt;0,CONCATENATE("0x",(DEC2HEX(IF(P903&lt;&gt;"",VLOOKUP(P903,Notes!$A$2:$B$37,2,FALSE)*1024,0) + Q903*16 + IF(R903="",7,R903)*2 + IF(S903&gt;0, 1, 0))),","),"")</f>
        <v/>
      </c>
    </row>
    <row r="904" spans="1:25" x14ac:dyDescent="0.25">
      <c r="F904" s="18">
        <f t="shared" si="84"/>
        <v>0</v>
      </c>
      <c r="G904" s="1" t="str">
        <f t="shared" si="87"/>
        <v/>
      </c>
      <c r="M904" s="18">
        <f t="shared" si="85"/>
        <v>0</v>
      </c>
      <c r="N904" s="1" t="str">
        <f t="shared" si="88"/>
        <v/>
      </c>
      <c r="T904" s="18">
        <f t="shared" si="86"/>
        <v>0</v>
      </c>
      <c r="U904" s="1" t="str">
        <f t="shared" si="89"/>
        <v/>
      </c>
      <c r="W904" s="21" t="str">
        <f>IF(C904&gt;0,CONCATENATE("0x",(DEC2HEX(IF(B904&lt;&gt;"",VLOOKUP(B904,Notes!$A$2:$B$37,2,FALSE)*1024,0) + C904*16 + IF(D904="",7,D904)*2 + IF(E904&gt;0, 1, 0))),","),"")</f>
        <v/>
      </c>
      <c r="X904" s="21" t="str">
        <f>IF(J904&gt;0,CONCATENATE("0x",(DEC2HEX(IF(I904&lt;&gt;"",VLOOKUP(I904,Notes!$A$2:$B$37,2,FALSE)*1024,0) + J904*16 + IF(K904="",7,K904)*2 + IF(L904&gt;0, 1, 0))),","),"")</f>
        <v/>
      </c>
      <c r="Y904" s="21" t="str">
        <f>IF(Q904&gt;0,CONCATENATE("0x",(DEC2HEX(IF(P904&lt;&gt;"",VLOOKUP(P904,Notes!$A$2:$B$37,2,FALSE)*1024,0) + Q904*16 + IF(R904="",7,R904)*2 + IF(S904&gt;0, 1, 0))),","),"")</f>
        <v/>
      </c>
    </row>
    <row r="905" spans="1:25" x14ac:dyDescent="0.25">
      <c r="B905" s="12"/>
      <c r="C905" s="13"/>
      <c r="D905" s="13"/>
      <c r="E905" s="14"/>
      <c r="F905" s="18">
        <f t="shared" si="84"/>
        <v>0</v>
      </c>
      <c r="G905" s="1" t="str">
        <f t="shared" si="87"/>
        <v/>
      </c>
      <c r="I905" s="12"/>
      <c r="J905" s="13"/>
      <c r="K905" s="13"/>
      <c r="L905" s="14"/>
      <c r="M905" s="18">
        <f t="shared" si="85"/>
        <v>0</v>
      </c>
      <c r="N905" s="1" t="str">
        <f t="shared" si="88"/>
        <v/>
      </c>
      <c r="P905" s="12"/>
      <c r="Q905" s="13"/>
      <c r="R905" s="13"/>
      <c r="S905" s="14"/>
      <c r="T905" s="18">
        <f t="shared" si="86"/>
        <v>0</v>
      </c>
      <c r="U905" s="1" t="str">
        <f t="shared" si="89"/>
        <v/>
      </c>
      <c r="W905" s="21" t="str">
        <f>IF(C905&gt;0,CONCATENATE("0x",(DEC2HEX(IF(B905&lt;&gt;"",VLOOKUP(B905,Notes!$A$2:$B$37,2,FALSE)*1024,0) + C905*16 + IF(D905="",7,D905)*2 + IF(E905&gt;0, 1, 0))),","),"")</f>
        <v/>
      </c>
      <c r="X905" s="21" t="str">
        <f>IF(J905&gt;0,CONCATENATE("0x",(DEC2HEX(IF(I905&lt;&gt;"",VLOOKUP(I905,Notes!$A$2:$B$37,2,FALSE)*1024,0) + J905*16 + IF(K905="",7,K905)*2 + IF(L905&gt;0, 1, 0))),","),"")</f>
        <v/>
      </c>
      <c r="Y905" s="21" t="str">
        <f>IF(Q905&gt;0,CONCATENATE("0x",(DEC2HEX(IF(P905&lt;&gt;"",VLOOKUP(P905,Notes!$A$2:$B$37,2,FALSE)*1024,0) + Q905*16 + IF(R905="",7,R905)*2 + IF(S905&gt;0, 1, 0))),","),"")</f>
        <v/>
      </c>
    </row>
    <row r="906" spans="1:25" x14ac:dyDescent="0.25">
      <c r="F906" s="18">
        <f t="shared" si="84"/>
        <v>0</v>
      </c>
      <c r="G906" s="1" t="str">
        <f t="shared" si="87"/>
        <v/>
      </c>
      <c r="M906" s="18">
        <f t="shared" si="85"/>
        <v>0</v>
      </c>
      <c r="N906" s="1" t="str">
        <f t="shared" si="88"/>
        <v/>
      </c>
      <c r="T906" s="18">
        <f t="shared" si="86"/>
        <v>0</v>
      </c>
      <c r="U906" s="1" t="str">
        <f t="shared" si="89"/>
        <v/>
      </c>
      <c r="W906" s="21" t="str">
        <f>IF(C906&gt;0,CONCATENATE("0x",(DEC2HEX(IF(B906&lt;&gt;"",VLOOKUP(B906,Notes!$A$2:$B$37,2,FALSE)*1024,0) + C906*16 + IF(D906="",7,D906)*2 + IF(E906&gt;0, 1, 0))),","),"")</f>
        <v/>
      </c>
      <c r="X906" s="21" t="str">
        <f>IF(J906&gt;0,CONCATENATE("0x",(DEC2HEX(IF(I906&lt;&gt;"",VLOOKUP(I906,Notes!$A$2:$B$37,2,FALSE)*1024,0) + J906*16 + IF(K906="",7,K906)*2 + IF(L906&gt;0, 1, 0))),","),"")</f>
        <v/>
      </c>
      <c r="Y906" s="21" t="str">
        <f>IF(Q906&gt;0,CONCATENATE("0x",(DEC2HEX(IF(P906&lt;&gt;"",VLOOKUP(P906,Notes!$A$2:$B$37,2,FALSE)*1024,0) + Q906*16 + IF(R906="",7,R906)*2 + IF(S906&gt;0, 1, 0))),","),"")</f>
        <v/>
      </c>
    </row>
    <row r="907" spans="1:25" x14ac:dyDescent="0.25">
      <c r="F907" s="18">
        <f t="shared" si="84"/>
        <v>0</v>
      </c>
      <c r="G907" s="1" t="str">
        <f t="shared" si="87"/>
        <v/>
      </c>
      <c r="M907" s="18">
        <f t="shared" si="85"/>
        <v>0</v>
      </c>
      <c r="N907" s="1" t="str">
        <f t="shared" si="88"/>
        <v/>
      </c>
      <c r="T907" s="18">
        <f t="shared" si="86"/>
        <v>0</v>
      </c>
      <c r="U907" s="1" t="str">
        <f t="shared" si="89"/>
        <v/>
      </c>
      <c r="W907" s="21" t="str">
        <f>IF(C907&gt;0,CONCATENATE("0x",(DEC2HEX(IF(B907&lt;&gt;"",VLOOKUP(B907,Notes!$A$2:$B$37,2,FALSE)*1024,0) + C907*16 + IF(D907="",7,D907)*2 + IF(E907&gt;0, 1, 0))),","),"")</f>
        <v/>
      </c>
      <c r="X907" s="21" t="str">
        <f>IF(J907&gt;0,CONCATENATE("0x",(DEC2HEX(IF(I907&lt;&gt;"",VLOOKUP(I907,Notes!$A$2:$B$37,2,FALSE)*1024,0) + J907*16 + IF(K907="",7,K907)*2 + IF(L907&gt;0, 1, 0))),","),"")</f>
        <v/>
      </c>
      <c r="Y907" s="21" t="str">
        <f>IF(Q907&gt;0,CONCATENATE("0x",(DEC2HEX(IF(P907&lt;&gt;"",VLOOKUP(P907,Notes!$A$2:$B$37,2,FALSE)*1024,0) + Q907*16 + IF(R907="",7,R907)*2 + IF(S907&gt;0, 1, 0))),","),"")</f>
        <v/>
      </c>
    </row>
    <row r="908" spans="1:25" x14ac:dyDescent="0.25">
      <c r="F908" s="18">
        <f t="shared" si="84"/>
        <v>0</v>
      </c>
      <c r="G908" s="1" t="str">
        <f t="shared" si="87"/>
        <v/>
      </c>
      <c r="M908" s="18">
        <f t="shared" si="85"/>
        <v>0</v>
      </c>
      <c r="N908" s="1" t="str">
        <f t="shared" si="88"/>
        <v/>
      </c>
      <c r="T908" s="18">
        <f t="shared" si="86"/>
        <v>0</v>
      </c>
      <c r="U908" s="1" t="str">
        <f t="shared" si="89"/>
        <v/>
      </c>
      <c r="W908" s="21" t="str">
        <f>IF(C908&gt;0,CONCATENATE("0x",(DEC2HEX(IF(B908&lt;&gt;"",VLOOKUP(B908,Notes!$A$2:$B$37,2,FALSE)*1024,0) + C908*16 + IF(D908="",7,D908)*2 + IF(E908&gt;0, 1, 0))),","),"")</f>
        <v/>
      </c>
      <c r="X908" s="21" t="str">
        <f>IF(J908&gt;0,CONCATENATE("0x",(DEC2HEX(IF(I908&lt;&gt;"",VLOOKUP(I908,Notes!$A$2:$B$37,2,FALSE)*1024,0) + J908*16 + IF(K908="",7,K908)*2 + IF(L908&gt;0, 1, 0))),","),"")</f>
        <v/>
      </c>
      <c r="Y908" s="21" t="str">
        <f>IF(Q908&gt;0,CONCATENATE("0x",(DEC2HEX(IF(P908&lt;&gt;"",VLOOKUP(P908,Notes!$A$2:$B$37,2,FALSE)*1024,0) + Q908*16 + IF(R908="",7,R908)*2 + IF(S908&gt;0, 1, 0))),","),"")</f>
        <v/>
      </c>
    </row>
    <row r="909" spans="1:25" x14ac:dyDescent="0.25">
      <c r="F909" s="18">
        <f t="shared" si="84"/>
        <v>0</v>
      </c>
      <c r="G909" s="1" t="str">
        <f t="shared" si="87"/>
        <v/>
      </c>
      <c r="M909" s="18">
        <f t="shared" si="85"/>
        <v>0</v>
      </c>
      <c r="N909" s="1" t="str">
        <f t="shared" si="88"/>
        <v/>
      </c>
      <c r="T909" s="18">
        <f t="shared" si="86"/>
        <v>0</v>
      </c>
      <c r="U909" s="1" t="str">
        <f t="shared" si="89"/>
        <v/>
      </c>
      <c r="W909" s="21" t="str">
        <f>IF(C909&gt;0,CONCATENATE("0x",(DEC2HEX(IF(B909&lt;&gt;"",VLOOKUP(B909,Notes!$A$2:$B$37,2,FALSE)*1024,0) + C909*16 + IF(D909="",7,D909)*2 + IF(E909&gt;0, 1, 0))),","),"")</f>
        <v/>
      </c>
      <c r="X909" s="21" t="str">
        <f>IF(J909&gt;0,CONCATENATE("0x",(DEC2HEX(IF(I909&lt;&gt;"",VLOOKUP(I909,Notes!$A$2:$B$37,2,FALSE)*1024,0) + J909*16 + IF(K909="",7,K909)*2 + IF(L909&gt;0, 1, 0))),","),"")</f>
        <v/>
      </c>
      <c r="Y909" s="21" t="str">
        <f>IF(Q909&gt;0,CONCATENATE("0x",(DEC2HEX(IF(P909&lt;&gt;"",VLOOKUP(P909,Notes!$A$2:$B$37,2,FALSE)*1024,0) + Q909*16 + IF(R909="",7,R909)*2 + IF(S909&gt;0, 1, 0))),","),"")</f>
        <v/>
      </c>
    </row>
    <row r="910" spans="1:25" x14ac:dyDescent="0.25">
      <c r="F910" s="18">
        <f t="shared" si="84"/>
        <v>0</v>
      </c>
      <c r="G910" s="1" t="str">
        <f t="shared" si="87"/>
        <v/>
      </c>
      <c r="M910" s="18">
        <f t="shared" si="85"/>
        <v>0</v>
      </c>
      <c r="N910" s="1" t="str">
        <f t="shared" si="88"/>
        <v/>
      </c>
      <c r="T910" s="18">
        <f t="shared" si="86"/>
        <v>0</v>
      </c>
      <c r="U910" s="1" t="str">
        <f t="shared" si="89"/>
        <v/>
      </c>
      <c r="W910" s="21" t="str">
        <f>IF(C910&gt;0,CONCATENATE("0x",(DEC2HEX(IF(B910&lt;&gt;"",VLOOKUP(B910,Notes!$A$2:$B$37,2,FALSE)*1024,0) + C910*16 + IF(D910="",7,D910)*2 + IF(E910&gt;0, 1, 0))),","),"")</f>
        <v/>
      </c>
      <c r="X910" s="21" t="str">
        <f>IF(J910&gt;0,CONCATENATE("0x",(DEC2HEX(IF(I910&lt;&gt;"",VLOOKUP(I910,Notes!$A$2:$B$37,2,FALSE)*1024,0) + J910*16 + IF(K910="",7,K910)*2 + IF(L910&gt;0, 1, 0))),","),"")</f>
        <v/>
      </c>
      <c r="Y910" s="21" t="str">
        <f>IF(Q910&gt;0,CONCATENATE("0x",(DEC2HEX(IF(P910&lt;&gt;"",VLOOKUP(P910,Notes!$A$2:$B$37,2,FALSE)*1024,0) + Q910*16 + IF(R910="",7,R910)*2 + IF(S910&gt;0, 1, 0))),","),"")</f>
        <v/>
      </c>
    </row>
    <row r="911" spans="1:25" x14ac:dyDescent="0.25">
      <c r="F911" s="18">
        <f t="shared" si="84"/>
        <v>0</v>
      </c>
      <c r="G911" s="1" t="str">
        <f t="shared" si="87"/>
        <v/>
      </c>
      <c r="M911" s="18">
        <f t="shared" si="85"/>
        <v>0</v>
      </c>
      <c r="N911" s="1" t="str">
        <f t="shared" si="88"/>
        <v/>
      </c>
      <c r="T911" s="18">
        <f t="shared" si="86"/>
        <v>0</v>
      </c>
      <c r="U911" s="1" t="str">
        <f t="shared" si="89"/>
        <v/>
      </c>
      <c r="W911" s="21" t="str">
        <f>IF(C911&gt;0,CONCATENATE("0x",(DEC2HEX(IF(B911&lt;&gt;"",VLOOKUP(B911,Notes!$A$2:$B$37,2,FALSE)*1024,0) + C911*16 + IF(D911="",7,D911)*2 + IF(E911&gt;0, 1, 0))),","),"")</f>
        <v/>
      </c>
      <c r="X911" s="21" t="str">
        <f>IF(J911&gt;0,CONCATENATE("0x",(DEC2HEX(IF(I911&lt;&gt;"",VLOOKUP(I911,Notes!$A$2:$B$37,2,FALSE)*1024,0) + J911*16 + IF(K911="",7,K911)*2 + IF(L911&gt;0, 1, 0))),","),"")</f>
        <v/>
      </c>
      <c r="Y911" s="21" t="str">
        <f>IF(Q911&gt;0,CONCATENATE("0x",(DEC2HEX(IF(P911&lt;&gt;"",VLOOKUP(P911,Notes!$A$2:$B$37,2,FALSE)*1024,0) + Q911*16 + IF(R911="",7,R911)*2 + IF(S911&gt;0, 1, 0))),","),"")</f>
        <v/>
      </c>
    </row>
    <row r="912" spans="1:25" x14ac:dyDescent="0.25">
      <c r="F912" s="18">
        <f t="shared" si="84"/>
        <v>0</v>
      </c>
      <c r="G912" s="1" t="str">
        <f t="shared" si="87"/>
        <v/>
      </c>
      <c r="M912" s="18">
        <f t="shared" si="85"/>
        <v>0</v>
      </c>
      <c r="N912" s="1" t="str">
        <f t="shared" si="88"/>
        <v/>
      </c>
      <c r="T912" s="18">
        <f t="shared" si="86"/>
        <v>0</v>
      </c>
      <c r="U912" s="1" t="str">
        <f t="shared" si="89"/>
        <v/>
      </c>
      <c r="W912" s="21" t="str">
        <f>IF(C912&gt;0,CONCATENATE("0x",(DEC2HEX(IF(B912&lt;&gt;"",VLOOKUP(B912,Notes!$A$2:$B$37,2,FALSE)*1024,0) + C912*16 + IF(D912="",7,D912)*2 + IF(E912&gt;0, 1, 0))),","),"")</f>
        <v/>
      </c>
      <c r="X912" s="21" t="str">
        <f>IF(J912&gt;0,CONCATENATE("0x",(DEC2HEX(IF(I912&lt;&gt;"",VLOOKUP(I912,Notes!$A$2:$B$37,2,FALSE)*1024,0) + J912*16 + IF(K912="",7,K912)*2 + IF(L912&gt;0, 1, 0))),","),"")</f>
        <v/>
      </c>
      <c r="Y912" s="21" t="str">
        <f>IF(Q912&gt;0,CONCATENATE("0x",(DEC2HEX(IF(P912&lt;&gt;"",VLOOKUP(P912,Notes!$A$2:$B$37,2,FALSE)*1024,0) + Q912*16 + IF(R912="",7,R912)*2 + IF(S912&gt;0, 1, 0))),","),"")</f>
        <v/>
      </c>
    </row>
    <row r="913" spans="2:25" x14ac:dyDescent="0.25">
      <c r="B913" s="12"/>
      <c r="C913" s="13"/>
      <c r="D913" s="13"/>
      <c r="E913" s="14"/>
      <c r="F913" s="18">
        <f t="shared" si="84"/>
        <v>0</v>
      </c>
      <c r="G913" s="1" t="str">
        <f t="shared" si="87"/>
        <v/>
      </c>
      <c r="I913" s="12"/>
      <c r="J913" s="13"/>
      <c r="K913" s="13"/>
      <c r="L913" s="14"/>
      <c r="M913" s="18">
        <f t="shared" si="85"/>
        <v>0</v>
      </c>
      <c r="N913" s="1" t="str">
        <f t="shared" si="88"/>
        <v/>
      </c>
      <c r="P913" s="12"/>
      <c r="Q913" s="13"/>
      <c r="R913" s="13"/>
      <c r="S913" s="14"/>
      <c r="T913" s="18">
        <f t="shared" si="86"/>
        <v>0</v>
      </c>
      <c r="U913" s="1" t="str">
        <f t="shared" si="89"/>
        <v/>
      </c>
      <c r="W913" s="21" t="str">
        <f>IF(C913&gt;0,CONCATENATE("0x",(DEC2HEX(IF(B913&lt;&gt;"",VLOOKUP(B913,Notes!$A$2:$B$37,2,FALSE)*1024,0) + C913*16 + IF(D913="",7,D913)*2 + IF(E913&gt;0, 1, 0))),","),"")</f>
        <v/>
      </c>
      <c r="X913" s="21" t="str">
        <f>IF(J913&gt;0,CONCATENATE("0x",(DEC2HEX(IF(I913&lt;&gt;"",VLOOKUP(I913,Notes!$A$2:$B$37,2,FALSE)*1024,0) + J913*16 + IF(K913="",7,K913)*2 + IF(L913&gt;0, 1, 0))),","),"")</f>
        <v/>
      </c>
      <c r="Y913" s="21" t="str">
        <f>IF(Q913&gt;0,CONCATENATE("0x",(DEC2HEX(IF(P913&lt;&gt;"",VLOOKUP(P913,Notes!$A$2:$B$37,2,FALSE)*1024,0) + Q913*16 + IF(R913="",7,R913)*2 + IF(S913&gt;0, 1, 0))),","),"")</f>
        <v/>
      </c>
    </row>
    <row r="914" spans="2:25" x14ac:dyDescent="0.25">
      <c r="F914" s="18">
        <f t="shared" si="84"/>
        <v>0</v>
      </c>
      <c r="G914" s="1" t="str">
        <f t="shared" si="87"/>
        <v/>
      </c>
      <c r="M914" s="18">
        <f t="shared" si="85"/>
        <v>0</v>
      </c>
      <c r="N914" s="1" t="str">
        <f t="shared" si="88"/>
        <v/>
      </c>
      <c r="T914" s="18">
        <f t="shared" si="86"/>
        <v>0</v>
      </c>
      <c r="U914" s="1" t="str">
        <f t="shared" si="89"/>
        <v/>
      </c>
      <c r="W914" s="21" t="str">
        <f>IF(C914&gt;0,CONCATENATE("0x",(DEC2HEX(IF(B914&lt;&gt;"",VLOOKUP(B914,Notes!$A$2:$B$37,2,FALSE)*1024,0) + C914*16 + IF(D914="",7,D914)*2 + IF(E914&gt;0, 1, 0))),","),"")</f>
        <v/>
      </c>
      <c r="X914" s="21" t="str">
        <f>IF(J914&gt;0,CONCATENATE("0x",(DEC2HEX(IF(I914&lt;&gt;"",VLOOKUP(I914,Notes!$A$2:$B$37,2,FALSE)*1024,0) + J914*16 + IF(K914="",7,K914)*2 + IF(L914&gt;0, 1, 0))),","),"")</f>
        <v/>
      </c>
      <c r="Y914" s="21" t="str">
        <f>IF(Q914&gt;0,CONCATENATE("0x",(DEC2HEX(IF(P914&lt;&gt;"",VLOOKUP(P914,Notes!$A$2:$B$37,2,FALSE)*1024,0) + Q914*16 + IF(R914="",7,R914)*2 + IF(S914&gt;0, 1, 0))),","),"")</f>
        <v/>
      </c>
    </row>
    <row r="915" spans="2:25" x14ac:dyDescent="0.25">
      <c r="F915" s="18">
        <f t="shared" si="84"/>
        <v>0</v>
      </c>
      <c r="G915" s="1" t="str">
        <f t="shared" si="87"/>
        <v/>
      </c>
      <c r="M915" s="18">
        <f t="shared" si="85"/>
        <v>0</v>
      </c>
      <c r="N915" s="1" t="str">
        <f t="shared" si="88"/>
        <v/>
      </c>
      <c r="T915" s="18">
        <f t="shared" si="86"/>
        <v>0</v>
      </c>
      <c r="U915" s="1" t="str">
        <f t="shared" si="89"/>
        <v/>
      </c>
      <c r="W915" s="21" t="str">
        <f>IF(C915&gt;0,CONCATENATE("0x",(DEC2HEX(IF(B915&lt;&gt;"",VLOOKUP(B915,Notes!$A$2:$B$37,2,FALSE)*1024,0) + C915*16 + IF(D915="",7,D915)*2 + IF(E915&gt;0, 1, 0))),","),"")</f>
        <v/>
      </c>
      <c r="X915" s="21" t="str">
        <f>IF(J915&gt;0,CONCATENATE("0x",(DEC2HEX(IF(I915&lt;&gt;"",VLOOKUP(I915,Notes!$A$2:$B$37,2,FALSE)*1024,0) + J915*16 + IF(K915="",7,K915)*2 + IF(L915&gt;0, 1, 0))),","),"")</f>
        <v/>
      </c>
      <c r="Y915" s="21" t="str">
        <f>IF(Q915&gt;0,CONCATENATE("0x",(DEC2HEX(IF(P915&lt;&gt;"",VLOOKUP(P915,Notes!$A$2:$B$37,2,FALSE)*1024,0) + Q915*16 + IF(R915="",7,R915)*2 + IF(S915&gt;0, 1, 0))),","),"")</f>
        <v/>
      </c>
    </row>
    <row r="916" spans="2:25" x14ac:dyDescent="0.25">
      <c r="F916" s="18">
        <f t="shared" si="84"/>
        <v>0</v>
      </c>
      <c r="G916" s="1" t="str">
        <f t="shared" si="87"/>
        <v/>
      </c>
      <c r="M916" s="18">
        <f t="shared" si="85"/>
        <v>0</v>
      </c>
      <c r="N916" s="1" t="str">
        <f t="shared" si="88"/>
        <v/>
      </c>
      <c r="T916" s="18">
        <f t="shared" si="86"/>
        <v>0</v>
      </c>
      <c r="U916" s="1" t="str">
        <f t="shared" si="89"/>
        <v/>
      </c>
      <c r="W916" s="21" t="str">
        <f>IF(C916&gt;0,CONCATENATE("0x",(DEC2HEX(IF(B916&lt;&gt;"",VLOOKUP(B916,Notes!$A$2:$B$37,2,FALSE)*1024,0) + C916*16 + IF(D916="",7,D916)*2 + IF(E916&gt;0, 1, 0))),","),"")</f>
        <v/>
      </c>
      <c r="X916" s="21" t="str">
        <f>IF(J916&gt;0,CONCATENATE("0x",(DEC2HEX(IF(I916&lt;&gt;"",VLOOKUP(I916,Notes!$A$2:$B$37,2,FALSE)*1024,0) + J916*16 + IF(K916="",7,K916)*2 + IF(L916&gt;0, 1, 0))),","),"")</f>
        <v/>
      </c>
      <c r="Y916" s="21" t="str">
        <f>IF(Q916&gt;0,CONCATENATE("0x",(DEC2HEX(IF(P916&lt;&gt;"",VLOOKUP(P916,Notes!$A$2:$B$37,2,FALSE)*1024,0) + Q916*16 + IF(R916="",7,R916)*2 + IF(S916&gt;0, 1, 0))),","),"")</f>
        <v/>
      </c>
    </row>
    <row r="917" spans="2:25" x14ac:dyDescent="0.25">
      <c r="F917" s="18">
        <f t="shared" si="84"/>
        <v>0</v>
      </c>
      <c r="G917" s="1" t="str">
        <f t="shared" si="87"/>
        <v/>
      </c>
      <c r="M917" s="18">
        <f t="shared" si="85"/>
        <v>0</v>
      </c>
      <c r="N917" s="1" t="str">
        <f t="shared" si="88"/>
        <v/>
      </c>
      <c r="T917" s="18">
        <f t="shared" si="86"/>
        <v>0</v>
      </c>
      <c r="U917" s="1" t="str">
        <f t="shared" si="89"/>
        <v/>
      </c>
      <c r="W917" s="21" t="str">
        <f>IF(C917&gt;0,CONCATENATE("0x",(DEC2HEX(IF(B917&lt;&gt;"",VLOOKUP(B917,Notes!$A$2:$B$37,2,FALSE)*1024,0) + C917*16 + IF(D917="",7,D917)*2 + IF(E917&gt;0, 1, 0))),","),"")</f>
        <v/>
      </c>
      <c r="X917" s="21" t="str">
        <f>IF(J917&gt;0,CONCATENATE("0x",(DEC2HEX(IF(I917&lt;&gt;"",VLOOKUP(I917,Notes!$A$2:$B$37,2,FALSE)*1024,0) + J917*16 + IF(K917="",7,K917)*2 + IF(L917&gt;0, 1, 0))),","),"")</f>
        <v/>
      </c>
      <c r="Y917" s="21" t="str">
        <f>IF(Q917&gt;0,CONCATENATE("0x",(DEC2HEX(IF(P917&lt;&gt;"",VLOOKUP(P917,Notes!$A$2:$B$37,2,FALSE)*1024,0) + Q917*16 + IF(R917="",7,R917)*2 + IF(S917&gt;0, 1, 0))),","),"")</f>
        <v/>
      </c>
    </row>
    <row r="918" spans="2:25" x14ac:dyDescent="0.25">
      <c r="F918" s="18">
        <f t="shared" si="84"/>
        <v>0</v>
      </c>
      <c r="G918" s="1" t="str">
        <f t="shared" si="87"/>
        <v/>
      </c>
      <c r="M918" s="18">
        <f t="shared" si="85"/>
        <v>0</v>
      </c>
      <c r="N918" s="1" t="str">
        <f t="shared" si="88"/>
        <v/>
      </c>
      <c r="T918" s="18">
        <f t="shared" si="86"/>
        <v>0</v>
      </c>
      <c r="U918" s="1" t="str">
        <f t="shared" si="89"/>
        <v/>
      </c>
      <c r="W918" s="21" t="str">
        <f>IF(C918&gt;0,CONCATENATE("0x",(DEC2HEX(IF(B918&lt;&gt;"",VLOOKUP(B918,Notes!$A$2:$B$37,2,FALSE)*1024,0) + C918*16 + IF(D918="",7,D918)*2 + IF(E918&gt;0, 1, 0))),","),"")</f>
        <v/>
      </c>
      <c r="X918" s="21" t="str">
        <f>IF(J918&gt;0,CONCATENATE("0x",(DEC2HEX(IF(I918&lt;&gt;"",VLOOKUP(I918,Notes!$A$2:$B$37,2,FALSE)*1024,0) + J918*16 + IF(K918="",7,K918)*2 + IF(L918&gt;0, 1, 0))),","),"")</f>
        <v/>
      </c>
      <c r="Y918" s="21" t="str">
        <f>IF(Q918&gt;0,CONCATENATE("0x",(DEC2HEX(IF(P918&lt;&gt;"",VLOOKUP(P918,Notes!$A$2:$B$37,2,FALSE)*1024,0) + Q918*16 + IF(R918="",7,R918)*2 + IF(S918&gt;0, 1, 0))),","),"")</f>
        <v/>
      </c>
    </row>
    <row r="919" spans="2:25" x14ac:dyDescent="0.25">
      <c r="F919" s="18">
        <f t="shared" si="84"/>
        <v>0</v>
      </c>
      <c r="G919" s="1" t="str">
        <f t="shared" si="87"/>
        <v/>
      </c>
      <c r="M919" s="18">
        <f t="shared" si="85"/>
        <v>0</v>
      </c>
      <c r="N919" s="1" t="str">
        <f t="shared" si="88"/>
        <v/>
      </c>
      <c r="T919" s="18">
        <f t="shared" si="86"/>
        <v>0</v>
      </c>
      <c r="U919" s="1" t="str">
        <f t="shared" si="89"/>
        <v/>
      </c>
      <c r="W919" s="21" t="str">
        <f>IF(C919&gt;0,CONCATENATE("0x",(DEC2HEX(IF(B919&lt;&gt;"",VLOOKUP(B919,Notes!$A$2:$B$37,2,FALSE)*1024,0) + C919*16 + IF(D919="",7,D919)*2 + IF(E919&gt;0, 1, 0))),","),"")</f>
        <v/>
      </c>
      <c r="X919" s="21" t="str">
        <f>IF(J919&gt;0,CONCATENATE("0x",(DEC2HEX(IF(I919&lt;&gt;"",VLOOKUP(I919,Notes!$A$2:$B$37,2,FALSE)*1024,0) + J919*16 + IF(K919="",7,K919)*2 + IF(L919&gt;0, 1, 0))),","),"")</f>
        <v/>
      </c>
      <c r="Y919" s="21" t="str">
        <f>IF(Q919&gt;0,CONCATENATE("0x",(DEC2HEX(IF(P919&lt;&gt;"",VLOOKUP(P919,Notes!$A$2:$B$37,2,FALSE)*1024,0) + Q919*16 + IF(R919="",7,R919)*2 + IF(S919&gt;0, 1, 0))),","),"")</f>
        <v/>
      </c>
    </row>
    <row r="920" spans="2:25" x14ac:dyDescent="0.25">
      <c r="F920" s="18">
        <f t="shared" si="84"/>
        <v>0</v>
      </c>
      <c r="G920" s="1" t="str">
        <f t="shared" si="87"/>
        <v/>
      </c>
      <c r="M920" s="18">
        <f t="shared" si="85"/>
        <v>0</v>
      </c>
      <c r="N920" s="1" t="str">
        <f t="shared" si="88"/>
        <v/>
      </c>
      <c r="T920" s="18">
        <f t="shared" si="86"/>
        <v>0</v>
      </c>
      <c r="U920" s="1" t="str">
        <f t="shared" si="89"/>
        <v/>
      </c>
      <c r="W920" s="21" t="str">
        <f>IF(C920&gt;0,CONCATENATE("0x",(DEC2HEX(IF(B920&lt;&gt;"",VLOOKUP(B920,Notes!$A$2:$B$37,2,FALSE)*1024,0) + C920*16 + IF(D920="",7,D920)*2 + IF(E920&gt;0, 1, 0))),","),"")</f>
        <v/>
      </c>
      <c r="X920" s="21" t="str">
        <f>IF(J920&gt;0,CONCATENATE("0x",(DEC2HEX(IF(I920&lt;&gt;"",VLOOKUP(I920,Notes!$A$2:$B$37,2,FALSE)*1024,0) + J920*16 + IF(K920="",7,K920)*2 + IF(L920&gt;0, 1, 0))),","),"")</f>
        <v/>
      </c>
      <c r="Y920" s="21" t="str">
        <f>IF(Q920&gt;0,CONCATENATE("0x",(DEC2HEX(IF(P920&lt;&gt;"",VLOOKUP(P920,Notes!$A$2:$B$37,2,FALSE)*1024,0) + Q920*16 + IF(R920="",7,R920)*2 + IF(S920&gt;0, 1, 0))),","),"")</f>
        <v/>
      </c>
    </row>
    <row r="921" spans="2:25" x14ac:dyDescent="0.25">
      <c r="B921" s="12"/>
      <c r="C921" s="13"/>
      <c r="D921" s="13"/>
      <c r="E921" s="14"/>
      <c r="F921" s="18">
        <f t="shared" si="84"/>
        <v>0</v>
      </c>
      <c r="G921" s="1" t="str">
        <f t="shared" si="87"/>
        <v/>
      </c>
      <c r="I921" s="12"/>
      <c r="J921" s="13"/>
      <c r="K921" s="13"/>
      <c r="L921" s="14"/>
      <c r="M921" s="18">
        <f t="shared" si="85"/>
        <v>0</v>
      </c>
      <c r="N921" s="1" t="str">
        <f t="shared" si="88"/>
        <v/>
      </c>
      <c r="P921" s="12"/>
      <c r="Q921" s="13"/>
      <c r="R921" s="13"/>
      <c r="S921" s="14"/>
      <c r="T921" s="18">
        <f t="shared" si="86"/>
        <v>0</v>
      </c>
      <c r="U921" s="1" t="str">
        <f t="shared" si="89"/>
        <v/>
      </c>
      <c r="W921" s="21" t="str">
        <f>IF(C921&gt;0,CONCATENATE("0x",(DEC2HEX(IF(B921&lt;&gt;"",VLOOKUP(B921,Notes!$A$2:$B$37,2,FALSE)*1024,0) + C921*16 + IF(D921="",7,D921)*2 + IF(E921&gt;0, 1, 0))),","),"")</f>
        <v/>
      </c>
      <c r="X921" s="21" t="str">
        <f>IF(J921&gt;0,CONCATENATE("0x",(DEC2HEX(IF(I921&lt;&gt;"",VLOOKUP(I921,Notes!$A$2:$B$37,2,FALSE)*1024,0) + J921*16 + IF(K921="",7,K921)*2 + IF(L921&gt;0, 1, 0))),","),"")</f>
        <v/>
      </c>
      <c r="Y921" s="21" t="str">
        <f>IF(Q921&gt;0,CONCATENATE("0x",(DEC2HEX(IF(P921&lt;&gt;"",VLOOKUP(P921,Notes!$A$2:$B$37,2,FALSE)*1024,0) + Q921*16 + IF(R921="",7,R921)*2 + IF(S921&gt;0, 1, 0))),","),"")</f>
        <v/>
      </c>
    </row>
    <row r="922" spans="2:25" x14ac:dyDescent="0.25">
      <c r="F922" s="18">
        <f t="shared" si="84"/>
        <v>0</v>
      </c>
      <c r="G922" s="1" t="str">
        <f t="shared" si="87"/>
        <v/>
      </c>
      <c r="M922" s="18">
        <f t="shared" si="85"/>
        <v>0</v>
      </c>
      <c r="N922" s="1" t="str">
        <f t="shared" si="88"/>
        <v/>
      </c>
      <c r="T922" s="18">
        <f t="shared" si="86"/>
        <v>0</v>
      </c>
      <c r="U922" s="1" t="str">
        <f t="shared" si="89"/>
        <v/>
      </c>
      <c r="W922" s="21" t="str">
        <f>IF(C922&gt;0,CONCATENATE("0x",(DEC2HEX(IF(B922&lt;&gt;"",VLOOKUP(B922,Notes!$A$2:$B$37,2,FALSE)*1024,0) + C922*16 + IF(D922="",7,D922)*2 + IF(E922&gt;0, 1, 0))),","),"")</f>
        <v/>
      </c>
      <c r="X922" s="21" t="str">
        <f>IF(J922&gt;0,CONCATENATE("0x",(DEC2HEX(IF(I922&lt;&gt;"",VLOOKUP(I922,Notes!$A$2:$B$37,2,FALSE)*1024,0) + J922*16 + IF(K922="",7,K922)*2 + IF(L922&gt;0, 1, 0))),","),"")</f>
        <v/>
      </c>
      <c r="Y922" s="21" t="str">
        <f>IF(Q922&gt;0,CONCATENATE("0x",(DEC2HEX(IF(P922&lt;&gt;"",VLOOKUP(P922,Notes!$A$2:$B$37,2,FALSE)*1024,0) + Q922*16 + IF(R922="",7,R922)*2 + IF(S922&gt;0, 1, 0))),","),"")</f>
        <v/>
      </c>
    </row>
    <row r="923" spans="2:25" x14ac:dyDescent="0.25">
      <c r="F923" s="18">
        <f t="shared" si="84"/>
        <v>0</v>
      </c>
      <c r="G923" s="1" t="str">
        <f t="shared" si="87"/>
        <v/>
      </c>
      <c r="M923" s="18">
        <f t="shared" si="85"/>
        <v>0</v>
      </c>
      <c r="N923" s="1" t="str">
        <f t="shared" si="88"/>
        <v/>
      </c>
      <c r="T923" s="18">
        <f t="shared" si="86"/>
        <v>0</v>
      </c>
      <c r="U923" s="1" t="str">
        <f t="shared" si="89"/>
        <v/>
      </c>
      <c r="W923" s="21" t="str">
        <f>IF(C923&gt;0,CONCATENATE("0x",(DEC2HEX(IF(B923&lt;&gt;"",VLOOKUP(B923,Notes!$A$2:$B$37,2,FALSE)*1024,0) + C923*16 + IF(D923="",7,D923)*2 + IF(E923&gt;0, 1, 0))),","),"")</f>
        <v/>
      </c>
      <c r="X923" s="21" t="str">
        <f>IF(J923&gt;0,CONCATENATE("0x",(DEC2HEX(IF(I923&lt;&gt;"",VLOOKUP(I923,Notes!$A$2:$B$37,2,FALSE)*1024,0) + J923*16 + IF(K923="",7,K923)*2 + IF(L923&gt;0, 1, 0))),","),"")</f>
        <v/>
      </c>
      <c r="Y923" s="21" t="str">
        <f>IF(Q923&gt;0,CONCATENATE("0x",(DEC2HEX(IF(P923&lt;&gt;"",VLOOKUP(P923,Notes!$A$2:$B$37,2,FALSE)*1024,0) + Q923*16 + IF(R923="",7,R923)*2 + IF(S923&gt;0, 1, 0))),","),"")</f>
        <v/>
      </c>
    </row>
    <row r="924" spans="2:25" x14ac:dyDescent="0.25">
      <c r="F924" s="18">
        <f t="shared" si="84"/>
        <v>0</v>
      </c>
      <c r="G924" s="1" t="str">
        <f t="shared" si="87"/>
        <v/>
      </c>
      <c r="M924" s="18">
        <f t="shared" si="85"/>
        <v>0</v>
      </c>
      <c r="N924" s="1" t="str">
        <f t="shared" si="88"/>
        <v/>
      </c>
      <c r="T924" s="18">
        <f t="shared" si="86"/>
        <v>0</v>
      </c>
      <c r="U924" s="1" t="str">
        <f t="shared" si="89"/>
        <v/>
      </c>
      <c r="W924" s="21" t="str">
        <f>IF(C924&gt;0,CONCATENATE("0x",(DEC2HEX(IF(B924&lt;&gt;"",VLOOKUP(B924,Notes!$A$2:$B$37,2,FALSE)*1024,0) + C924*16 + IF(D924="",7,D924)*2 + IF(E924&gt;0, 1, 0))),","),"")</f>
        <v/>
      </c>
      <c r="X924" s="21" t="str">
        <f>IF(J924&gt;0,CONCATENATE("0x",(DEC2HEX(IF(I924&lt;&gt;"",VLOOKUP(I924,Notes!$A$2:$B$37,2,FALSE)*1024,0) + J924*16 + IF(K924="",7,K924)*2 + IF(L924&gt;0, 1, 0))),","),"")</f>
        <v/>
      </c>
      <c r="Y924" s="21" t="str">
        <f>IF(Q924&gt;0,CONCATENATE("0x",(DEC2HEX(IF(P924&lt;&gt;"",VLOOKUP(P924,Notes!$A$2:$B$37,2,FALSE)*1024,0) + Q924*16 + IF(R924="",7,R924)*2 + IF(S924&gt;0, 1, 0))),","),"")</f>
        <v/>
      </c>
    </row>
    <row r="925" spans="2:25" x14ac:dyDescent="0.25">
      <c r="F925" s="18">
        <f t="shared" si="84"/>
        <v>0</v>
      </c>
      <c r="G925" s="1" t="str">
        <f t="shared" si="87"/>
        <v/>
      </c>
      <c r="M925" s="18">
        <f t="shared" si="85"/>
        <v>0</v>
      </c>
      <c r="N925" s="1" t="str">
        <f t="shared" si="88"/>
        <v/>
      </c>
      <c r="T925" s="18">
        <f t="shared" si="86"/>
        <v>0</v>
      </c>
      <c r="U925" s="1" t="str">
        <f t="shared" si="89"/>
        <v/>
      </c>
      <c r="W925" s="21" t="str">
        <f>IF(C925&gt;0,CONCATENATE("0x",(DEC2HEX(IF(B925&lt;&gt;"",VLOOKUP(B925,Notes!$A$2:$B$37,2,FALSE)*1024,0) + C925*16 + IF(D925="",7,D925)*2 + IF(E925&gt;0, 1, 0))),","),"")</f>
        <v/>
      </c>
      <c r="X925" s="21" t="str">
        <f>IF(J925&gt;0,CONCATENATE("0x",(DEC2HEX(IF(I925&lt;&gt;"",VLOOKUP(I925,Notes!$A$2:$B$37,2,FALSE)*1024,0) + J925*16 + IF(K925="",7,K925)*2 + IF(L925&gt;0, 1, 0))),","),"")</f>
        <v/>
      </c>
      <c r="Y925" s="21" t="str">
        <f>IF(Q925&gt;0,CONCATENATE("0x",(DEC2HEX(IF(P925&lt;&gt;"",VLOOKUP(P925,Notes!$A$2:$B$37,2,FALSE)*1024,0) + Q925*16 + IF(R925="",7,R925)*2 + IF(S925&gt;0, 1, 0))),","),"")</f>
        <v/>
      </c>
    </row>
    <row r="926" spans="2:25" x14ac:dyDescent="0.25">
      <c r="F926" s="18">
        <f t="shared" si="84"/>
        <v>0</v>
      </c>
      <c r="G926" s="1" t="str">
        <f t="shared" si="87"/>
        <v/>
      </c>
      <c r="M926" s="18">
        <f t="shared" si="85"/>
        <v>0</v>
      </c>
      <c r="N926" s="1" t="str">
        <f t="shared" si="88"/>
        <v/>
      </c>
      <c r="T926" s="18">
        <f t="shared" si="86"/>
        <v>0</v>
      </c>
      <c r="U926" s="1" t="str">
        <f t="shared" si="89"/>
        <v/>
      </c>
      <c r="W926" s="21" t="str">
        <f>IF(C926&gt;0,CONCATENATE("0x",(DEC2HEX(IF(B926&lt;&gt;"",VLOOKUP(B926,Notes!$A$2:$B$37,2,FALSE)*1024,0) + C926*16 + IF(D926="",7,D926)*2 + IF(E926&gt;0, 1, 0))),","),"")</f>
        <v/>
      </c>
      <c r="X926" s="21" t="str">
        <f>IF(J926&gt;0,CONCATENATE("0x",(DEC2HEX(IF(I926&lt;&gt;"",VLOOKUP(I926,Notes!$A$2:$B$37,2,FALSE)*1024,0) + J926*16 + IF(K926="",7,K926)*2 + IF(L926&gt;0, 1, 0))),","),"")</f>
        <v/>
      </c>
      <c r="Y926" s="21" t="str">
        <f>IF(Q926&gt;0,CONCATENATE("0x",(DEC2HEX(IF(P926&lt;&gt;"",VLOOKUP(P926,Notes!$A$2:$B$37,2,FALSE)*1024,0) + Q926*16 + IF(R926="",7,R926)*2 + IF(S926&gt;0, 1, 0))),","),"")</f>
        <v/>
      </c>
    </row>
    <row r="927" spans="2:25" x14ac:dyDescent="0.25">
      <c r="F927" s="18">
        <f t="shared" si="84"/>
        <v>0</v>
      </c>
      <c r="G927" s="1" t="str">
        <f t="shared" si="87"/>
        <v/>
      </c>
      <c r="M927" s="18">
        <f t="shared" si="85"/>
        <v>0</v>
      </c>
      <c r="N927" s="1" t="str">
        <f t="shared" si="88"/>
        <v/>
      </c>
      <c r="T927" s="18">
        <f t="shared" si="86"/>
        <v>0</v>
      </c>
      <c r="U927" s="1" t="str">
        <f t="shared" si="89"/>
        <v/>
      </c>
      <c r="W927" s="21" t="str">
        <f>IF(C927&gt;0,CONCATENATE("0x",(DEC2HEX(IF(B927&lt;&gt;"",VLOOKUP(B927,Notes!$A$2:$B$37,2,FALSE)*1024,0) + C927*16 + IF(D927="",7,D927)*2 + IF(E927&gt;0, 1, 0))),","),"")</f>
        <v/>
      </c>
      <c r="X927" s="21" t="str">
        <f>IF(J927&gt;0,CONCATENATE("0x",(DEC2HEX(IF(I927&lt;&gt;"",VLOOKUP(I927,Notes!$A$2:$B$37,2,FALSE)*1024,0) + J927*16 + IF(K927="",7,K927)*2 + IF(L927&gt;0, 1, 0))),","),"")</f>
        <v/>
      </c>
      <c r="Y927" s="21" t="str">
        <f>IF(Q927&gt;0,CONCATENATE("0x",(DEC2HEX(IF(P927&lt;&gt;"",VLOOKUP(P927,Notes!$A$2:$B$37,2,FALSE)*1024,0) + Q927*16 + IF(R927="",7,R927)*2 + IF(S927&gt;0, 1, 0))),","),"")</f>
        <v/>
      </c>
    </row>
    <row r="928" spans="2:25" x14ac:dyDescent="0.25">
      <c r="F928" s="18">
        <f t="shared" si="84"/>
        <v>0</v>
      </c>
      <c r="G928" s="1" t="str">
        <f t="shared" si="87"/>
        <v/>
      </c>
      <c r="M928" s="18">
        <f t="shared" si="85"/>
        <v>0</v>
      </c>
      <c r="N928" s="1" t="str">
        <f t="shared" si="88"/>
        <v/>
      </c>
      <c r="T928" s="18">
        <f t="shared" si="86"/>
        <v>0</v>
      </c>
      <c r="U928" s="1" t="str">
        <f t="shared" si="89"/>
        <v/>
      </c>
      <c r="W928" s="21" t="str">
        <f>IF(C928&gt;0,CONCATENATE("0x",(DEC2HEX(IF(B928&lt;&gt;"",VLOOKUP(B928,Notes!$A$2:$B$37,2,FALSE)*1024,0) + C928*16 + IF(D928="",7,D928)*2 + IF(E928&gt;0, 1, 0))),","),"")</f>
        <v/>
      </c>
      <c r="X928" s="21" t="str">
        <f>IF(J928&gt;0,CONCATENATE("0x",(DEC2HEX(IF(I928&lt;&gt;"",VLOOKUP(I928,Notes!$A$2:$B$37,2,FALSE)*1024,0) + J928*16 + IF(K928="",7,K928)*2 + IF(L928&gt;0, 1, 0))),","),"")</f>
        <v/>
      </c>
      <c r="Y928" s="21" t="str">
        <f>IF(Q928&gt;0,CONCATENATE("0x",(DEC2HEX(IF(P928&lt;&gt;"",VLOOKUP(P928,Notes!$A$2:$B$37,2,FALSE)*1024,0) + Q928*16 + IF(R928="",7,R928)*2 + IF(S928&gt;0, 1, 0))),","),"")</f>
        <v/>
      </c>
    </row>
    <row r="929" spans="1:25" ht="16.5" thickBot="1" x14ac:dyDescent="0.3">
      <c r="B929" s="15"/>
      <c r="C929" s="16"/>
      <c r="D929" s="16"/>
      <c r="E929" s="17"/>
      <c r="F929" s="18">
        <f t="shared" si="84"/>
        <v>0</v>
      </c>
      <c r="G929" s="1" t="str">
        <f t="shared" si="87"/>
        <v/>
      </c>
      <c r="I929" s="15"/>
      <c r="J929" s="16"/>
      <c r="K929" s="16"/>
      <c r="L929" s="17"/>
      <c r="M929" s="18">
        <f t="shared" si="85"/>
        <v>0</v>
      </c>
      <c r="N929" s="1" t="str">
        <f t="shared" si="88"/>
        <v/>
      </c>
      <c r="P929" s="15"/>
      <c r="Q929" s="16"/>
      <c r="R929" s="16"/>
      <c r="S929" s="17"/>
      <c r="T929" s="18">
        <f t="shared" si="86"/>
        <v>0</v>
      </c>
      <c r="U929" s="1" t="str">
        <f t="shared" si="89"/>
        <v/>
      </c>
      <c r="W929" s="21" t="str">
        <f>IF(C929&gt;0,CONCATENATE("0x",(DEC2HEX(IF(B929&lt;&gt;"",VLOOKUP(B929,Notes!$A$2:$B$37,2,FALSE)*1024,0) + C929*16 + IF(D929="",7,D929)*2 + IF(E929&gt;0, 1, 0))),","),"")</f>
        <v/>
      </c>
      <c r="X929" s="21" t="str">
        <f>IF(J929&gt;0,CONCATENATE("0x",(DEC2HEX(IF(I929&lt;&gt;"",VLOOKUP(I929,Notes!$A$2:$B$37,2,FALSE)*1024,0) + J929*16 + IF(K929="",7,K929)*2 + IF(L929&gt;0, 1, 0))),","),"")</f>
        <v/>
      </c>
      <c r="Y929" s="21" t="str">
        <f>IF(Q929&gt;0,CONCATENATE("0x",(DEC2HEX(IF(P929&lt;&gt;"",VLOOKUP(P929,Notes!$A$2:$B$37,2,FALSE)*1024,0) + Q929*16 + IF(R929="",7,R929)*2 + IF(S929&gt;0, 1, 0))),","),"")</f>
        <v/>
      </c>
    </row>
    <row r="930" spans="1:25" ht="16.5" thickTop="1" x14ac:dyDescent="0.25">
      <c r="A930" s="1">
        <v>30</v>
      </c>
      <c r="F930" s="18">
        <f t="shared" si="84"/>
        <v>0</v>
      </c>
      <c r="G930" s="1" t="str">
        <f t="shared" si="87"/>
        <v/>
      </c>
      <c r="M930" s="18">
        <f t="shared" si="85"/>
        <v>0</v>
      </c>
      <c r="N930" s="1" t="str">
        <f t="shared" si="88"/>
        <v/>
      </c>
      <c r="T930" s="18">
        <f t="shared" si="86"/>
        <v>0</v>
      </c>
      <c r="U930" s="1" t="str">
        <f t="shared" si="89"/>
        <v/>
      </c>
      <c r="W930" s="21" t="str">
        <f>IF(C930&gt;0,CONCATENATE("0x",(DEC2HEX(IF(B930&lt;&gt;"",VLOOKUP(B930,Notes!$A$2:$B$37,2,FALSE)*1024,0) + C930*16 + IF(D930="",7,D930)*2 + IF(E930&gt;0, 1, 0))),","),"")</f>
        <v/>
      </c>
      <c r="X930" s="21" t="str">
        <f>IF(J930&gt;0,CONCATENATE("0x",(DEC2HEX(IF(I930&lt;&gt;"",VLOOKUP(I930,Notes!$A$2:$B$37,2,FALSE)*1024,0) + J930*16 + IF(K930="",7,K930)*2 + IF(L930&gt;0, 1, 0))),","),"")</f>
        <v/>
      </c>
      <c r="Y930" s="21" t="str">
        <f>IF(Q930&gt;0,CONCATENATE("0x",(DEC2HEX(IF(P930&lt;&gt;"",VLOOKUP(P930,Notes!$A$2:$B$37,2,FALSE)*1024,0) + Q930*16 + IF(R930="",7,R930)*2 + IF(S930&gt;0, 1, 0))),","),"")</f>
        <v/>
      </c>
    </row>
    <row r="931" spans="1:25" x14ac:dyDescent="0.25">
      <c r="F931" s="18">
        <f t="shared" si="84"/>
        <v>0</v>
      </c>
      <c r="G931" s="1" t="str">
        <f t="shared" si="87"/>
        <v/>
      </c>
      <c r="M931" s="18">
        <f t="shared" si="85"/>
        <v>0</v>
      </c>
      <c r="N931" s="1" t="str">
        <f t="shared" si="88"/>
        <v/>
      </c>
      <c r="T931" s="18">
        <f t="shared" si="86"/>
        <v>0</v>
      </c>
      <c r="U931" s="1" t="str">
        <f t="shared" si="89"/>
        <v/>
      </c>
      <c r="W931" s="21" t="str">
        <f>IF(C931&gt;0,CONCATENATE("0x",(DEC2HEX(IF(B931&lt;&gt;"",VLOOKUP(B931,Notes!$A$2:$B$37,2,FALSE)*1024,0) + C931*16 + IF(D931="",7,D931)*2 + IF(E931&gt;0, 1, 0))),","),"")</f>
        <v/>
      </c>
      <c r="X931" s="21" t="str">
        <f>IF(J931&gt;0,CONCATENATE("0x",(DEC2HEX(IF(I931&lt;&gt;"",VLOOKUP(I931,Notes!$A$2:$B$37,2,FALSE)*1024,0) + J931*16 + IF(K931="",7,K931)*2 + IF(L931&gt;0, 1, 0))),","),"")</f>
        <v/>
      </c>
      <c r="Y931" s="21" t="str">
        <f>IF(Q931&gt;0,CONCATENATE("0x",(DEC2HEX(IF(P931&lt;&gt;"",VLOOKUP(P931,Notes!$A$2:$B$37,2,FALSE)*1024,0) + Q931*16 + IF(R931="",7,R931)*2 + IF(S931&gt;0, 1, 0))),","),"")</f>
        <v/>
      </c>
    </row>
    <row r="932" spans="1:25" x14ac:dyDescent="0.25">
      <c r="F932" s="18">
        <f t="shared" si="84"/>
        <v>0</v>
      </c>
      <c r="G932" s="1" t="str">
        <f t="shared" si="87"/>
        <v/>
      </c>
      <c r="M932" s="18">
        <f t="shared" si="85"/>
        <v>0</v>
      </c>
      <c r="N932" s="1" t="str">
        <f t="shared" si="88"/>
        <v/>
      </c>
      <c r="T932" s="18">
        <f t="shared" si="86"/>
        <v>0</v>
      </c>
      <c r="U932" s="1" t="str">
        <f t="shared" si="89"/>
        <v/>
      </c>
      <c r="W932" s="21" t="str">
        <f>IF(C932&gt;0,CONCATENATE("0x",(DEC2HEX(IF(B932&lt;&gt;"",VLOOKUP(B932,Notes!$A$2:$B$37,2,FALSE)*1024,0) + C932*16 + IF(D932="",7,D932)*2 + IF(E932&gt;0, 1, 0))),","),"")</f>
        <v/>
      </c>
      <c r="X932" s="21" t="str">
        <f>IF(J932&gt;0,CONCATENATE("0x",(DEC2HEX(IF(I932&lt;&gt;"",VLOOKUP(I932,Notes!$A$2:$B$37,2,FALSE)*1024,0) + J932*16 + IF(K932="",7,K932)*2 + IF(L932&gt;0, 1, 0))),","),"")</f>
        <v/>
      </c>
      <c r="Y932" s="21" t="str">
        <f>IF(Q932&gt;0,CONCATENATE("0x",(DEC2HEX(IF(P932&lt;&gt;"",VLOOKUP(P932,Notes!$A$2:$B$37,2,FALSE)*1024,0) + Q932*16 + IF(R932="",7,R932)*2 + IF(S932&gt;0, 1, 0))),","),"")</f>
        <v/>
      </c>
    </row>
    <row r="933" spans="1:25" x14ac:dyDescent="0.25">
      <c r="F933" s="18">
        <f t="shared" si="84"/>
        <v>0</v>
      </c>
      <c r="G933" s="1" t="str">
        <f t="shared" si="87"/>
        <v/>
      </c>
      <c r="M933" s="18">
        <f t="shared" si="85"/>
        <v>0</v>
      </c>
      <c r="N933" s="1" t="str">
        <f t="shared" si="88"/>
        <v/>
      </c>
      <c r="T933" s="18">
        <f t="shared" si="86"/>
        <v>0</v>
      </c>
      <c r="U933" s="1" t="str">
        <f t="shared" si="89"/>
        <v/>
      </c>
      <c r="W933" s="21" t="str">
        <f>IF(C933&gt;0,CONCATENATE("0x",(DEC2HEX(IF(B933&lt;&gt;"",VLOOKUP(B933,Notes!$A$2:$B$37,2,FALSE)*1024,0) + C933*16 + IF(D933="",7,D933)*2 + IF(E933&gt;0, 1, 0))),","),"")</f>
        <v/>
      </c>
      <c r="X933" s="21" t="str">
        <f>IF(J933&gt;0,CONCATENATE("0x",(DEC2HEX(IF(I933&lt;&gt;"",VLOOKUP(I933,Notes!$A$2:$B$37,2,FALSE)*1024,0) + J933*16 + IF(K933="",7,K933)*2 + IF(L933&gt;0, 1, 0))),","),"")</f>
        <v/>
      </c>
      <c r="Y933" s="21" t="str">
        <f>IF(Q933&gt;0,CONCATENATE("0x",(DEC2HEX(IF(P933&lt;&gt;"",VLOOKUP(P933,Notes!$A$2:$B$37,2,FALSE)*1024,0) + Q933*16 + IF(R933="",7,R933)*2 + IF(S933&gt;0, 1, 0))),","),"")</f>
        <v/>
      </c>
    </row>
    <row r="934" spans="1:25" x14ac:dyDescent="0.25">
      <c r="F934" s="18">
        <f t="shared" si="84"/>
        <v>0</v>
      </c>
      <c r="G934" s="1" t="str">
        <f t="shared" si="87"/>
        <v/>
      </c>
      <c r="M934" s="18">
        <f t="shared" si="85"/>
        <v>0</v>
      </c>
      <c r="N934" s="1" t="str">
        <f t="shared" si="88"/>
        <v/>
      </c>
      <c r="T934" s="18">
        <f t="shared" si="86"/>
        <v>0</v>
      </c>
      <c r="U934" s="1" t="str">
        <f t="shared" si="89"/>
        <v/>
      </c>
      <c r="W934" s="21" t="str">
        <f>IF(C934&gt;0,CONCATENATE("0x",(DEC2HEX(IF(B934&lt;&gt;"",VLOOKUP(B934,Notes!$A$2:$B$37,2,FALSE)*1024,0) + C934*16 + IF(D934="",7,D934)*2 + IF(E934&gt;0, 1, 0))),","),"")</f>
        <v/>
      </c>
      <c r="X934" s="21" t="str">
        <f>IF(J934&gt;0,CONCATENATE("0x",(DEC2HEX(IF(I934&lt;&gt;"",VLOOKUP(I934,Notes!$A$2:$B$37,2,FALSE)*1024,0) + J934*16 + IF(K934="",7,K934)*2 + IF(L934&gt;0, 1, 0))),","),"")</f>
        <v/>
      </c>
      <c r="Y934" s="21" t="str">
        <f>IF(Q934&gt;0,CONCATENATE("0x",(DEC2HEX(IF(P934&lt;&gt;"",VLOOKUP(P934,Notes!$A$2:$B$37,2,FALSE)*1024,0) + Q934*16 + IF(R934="",7,R934)*2 + IF(S934&gt;0, 1, 0))),","),"")</f>
        <v/>
      </c>
    </row>
    <row r="935" spans="1:25" x14ac:dyDescent="0.25">
      <c r="F935" s="18">
        <f t="shared" si="84"/>
        <v>0</v>
      </c>
      <c r="G935" s="1" t="str">
        <f t="shared" si="87"/>
        <v/>
      </c>
      <c r="M935" s="18">
        <f t="shared" si="85"/>
        <v>0</v>
      </c>
      <c r="N935" s="1" t="str">
        <f t="shared" si="88"/>
        <v/>
      </c>
      <c r="T935" s="18">
        <f t="shared" si="86"/>
        <v>0</v>
      </c>
      <c r="U935" s="1" t="str">
        <f t="shared" si="89"/>
        <v/>
      </c>
      <c r="W935" s="21" t="str">
        <f>IF(C935&gt;0,CONCATENATE("0x",(DEC2HEX(IF(B935&lt;&gt;"",VLOOKUP(B935,Notes!$A$2:$B$37,2,FALSE)*1024,0) + C935*16 + IF(D935="",7,D935)*2 + IF(E935&gt;0, 1, 0))),","),"")</f>
        <v/>
      </c>
      <c r="X935" s="21" t="str">
        <f>IF(J935&gt;0,CONCATENATE("0x",(DEC2HEX(IF(I935&lt;&gt;"",VLOOKUP(I935,Notes!$A$2:$B$37,2,FALSE)*1024,0) + J935*16 + IF(K935="",7,K935)*2 + IF(L935&gt;0, 1, 0))),","),"")</f>
        <v/>
      </c>
      <c r="Y935" s="21" t="str">
        <f>IF(Q935&gt;0,CONCATENATE("0x",(DEC2HEX(IF(P935&lt;&gt;"",VLOOKUP(P935,Notes!$A$2:$B$37,2,FALSE)*1024,0) + Q935*16 + IF(R935="",7,R935)*2 + IF(S935&gt;0, 1, 0))),","),"")</f>
        <v/>
      </c>
    </row>
    <row r="936" spans="1:25" x14ac:dyDescent="0.25">
      <c r="F936" s="18">
        <f t="shared" si="84"/>
        <v>0</v>
      </c>
      <c r="G936" s="1" t="str">
        <f t="shared" si="87"/>
        <v/>
      </c>
      <c r="M936" s="18">
        <f t="shared" si="85"/>
        <v>0</v>
      </c>
      <c r="N936" s="1" t="str">
        <f t="shared" si="88"/>
        <v/>
      </c>
      <c r="T936" s="18">
        <f t="shared" si="86"/>
        <v>0</v>
      </c>
      <c r="U936" s="1" t="str">
        <f t="shared" si="89"/>
        <v/>
      </c>
      <c r="W936" s="21" t="str">
        <f>IF(C936&gt;0,CONCATENATE("0x",(DEC2HEX(IF(B936&lt;&gt;"",VLOOKUP(B936,Notes!$A$2:$B$37,2,FALSE)*1024,0) + C936*16 + IF(D936="",7,D936)*2 + IF(E936&gt;0, 1, 0))),","),"")</f>
        <v/>
      </c>
      <c r="X936" s="21" t="str">
        <f>IF(J936&gt;0,CONCATENATE("0x",(DEC2HEX(IF(I936&lt;&gt;"",VLOOKUP(I936,Notes!$A$2:$B$37,2,FALSE)*1024,0) + J936*16 + IF(K936="",7,K936)*2 + IF(L936&gt;0, 1, 0))),","),"")</f>
        <v/>
      </c>
      <c r="Y936" s="21" t="str">
        <f>IF(Q936&gt;0,CONCATENATE("0x",(DEC2HEX(IF(P936&lt;&gt;"",VLOOKUP(P936,Notes!$A$2:$B$37,2,FALSE)*1024,0) + Q936*16 + IF(R936="",7,R936)*2 + IF(S936&gt;0, 1, 0))),","),"")</f>
        <v/>
      </c>
    </row>
    <row r="937" spans="1:25" x14ac:dyDescent="0.25">
      <c r="B937" s="12"/>
      <c r="C937" s="13"/>
      <c r="D937" s="13"/>
      <c r="E937" s="14"/>
      <c r="F937" s="18">
        <f t="shared" si="84"/>
        <v>0</v>
      </c>
      <c r="G937" s="1" t="str">
        <f t="shared" si="87"/>
        <v/>
      </c>
      <c r="I937" s="12"/>
      <c r="J937" s="13"/>
      <c r="K937" s="13"/>
      <c r="L937" s="14"/>
      <c r="M937" s="18">
        <f t="shared" si="85"/>
        <v>0</v>
      </c>
      <c r="N937" s="1" t="str">
        <f t="shared" si="88"/>
        <v/>
      </c>
      <c r="P937" s="12"/>
      <c r="Q937" s="13"/>
      <c r="R937" s="13"/>
      <c r="S937" s="14"/>
      <c r="T937" s="18">
        <f t="shared" si="86"/>
        <v>0</v>
      </c>
      <c r="U937" s="1" t="str">
        <f t="shared" si="89"/>
        <v/>
      </c>
      <c r="W937" s="21" t="str">
        <f>IF(C937&gt;0,CONCATENATE("0x",(DEC2HEX(IF(B937&lt;&gt;"",VLOOKUP(B937,Notes!$A$2:$B$37,2,FALSE)*1024,0) + C937*16 + IF(D937="",7,D937)*2 + IF(E937&gt;0, 1, 0))),","),"")</f>
        <v/>
      </c>
      <c r="X937" s="21" t="str">
        <f>IF(J937&gt;0,CONCATENATE("0x",(DEC2HEX(IF(I937&lt;&gt;"",VLOOKUP(I937,Notes!$A$2:$B$37,2,FALSE)*1024,0) + J937*16 + IF(K937="",7,K937)*2 + IF(L937&gt;0, 1, 0))),","),"")</f>
        <v/>
      </c>
      <c r="Y937" s="21" t="str">
        <f>IF(Q937&gt;0,CONCATENATE("0x",(DEC2HEX(IF(P937&lt;&gt;"",VLOOKUP(P937,Notes!$A$2:$B$37,2,FALSE)*1024,0) + Q937*16 + IF(R937="",7,R937)*2 + IF(S937&gt;0, 1, 0))),","),"")</f>
        <v/>
      </c>
    </row>
    <row r="938" spans="1:25" x14ac:dyDescent="0.25">
      <c r="F938" s="18">
        <f t="shared" si="84"/>
        <v>0</v>
      </c>
      <c r="G938" s="1" t="str">
        <f t="shared" si="87"/>
        <v/>
      </c>
      <c r="M938" s="18">
        <f t="shared" si="85"/>
        <v>0</v>
      </c>
      <c r="N938" s="1" t="str">
        <f t="shared" si="88"/>
        <v/>
      </c>
      <c r="T938" s="18">
        <f t="shared" si="86"/>
        <v>0</v>
      </c>
      <c r="U938" s="1" t="str">
        <f t="shared" si="89"/>
        <v/>
      </c>
      <c r="W938" s="21" t="str">
        <f>IF(C938&gt;0,CONCATENATE("0x",(DEC2HEX(IF(B938&lt;&gt;"",VLOOKUP(B938,Notes!$A$2:$B$37,2,FALSE)*1024,0) + C938*16 + IF(D938="",7,D938)*2 + IF(E938&gt;0, 1, 0))),","),"")</f>
        <v/>
      </c>
      <c r="X938" s="21" t="str">
        <f>IF(J938&gt;0,CONCATENATE("0x",(DEC2HEX(IF(I938&lt;&gt;"",VLOOKUP(I938,Notes!$A$2:$B$37,2,FALSE)*1024,0) + J938*16 + IF(K938="",7,K938)*2 + IF(L938&gt;0, 1, 0))),","),"")</f>
        <v/>
      </c>
      <c r="Y938" s="21" t="str">
        <f>IF(Q938&gt;0,CONCATENATE("0x",(DEC2HEX(IF(P938&lt;&gt;"",VLOOKUP(P938,Notes!$A$2:$B$37,2,FALSE)*1024,0) + Q938*16 + IF(R938="",7,R938)*2 + IF(S938&gt;0, 1, 0))),","),"")</f>
        <v/>
      </c>
    </row>
    <row r="939" spans="1:25" x14ac:dyDescent="0.25">
      <c r="F939" s="18">
        <f t="shared" si="84"/>
        <v>0</v>
      </c>
      <c r="G939" s="1" t="str">
        <f t="shared" si="87"/>
        <v/>
      </c>
      <c r="M939" s="18">
        <f t="shared" si="85"/>
        <v>0</v>
      </c>
      <c r="N939" s="1" t="str">
        <f t="shared" si="88"/>
        <v/>
      </c>
      <c r="T939" s="18">
        <f t="shared" si="86"/>
        <v>0</v>
      </c>
      <c r="U939" s="1" t="str">
        <f t="shared" si="89"/>
        <v/>
      </c>
      <c r="W939" s="21" t="str">
        <f>IF(C939&gt;0,CONCATENATE("0x",(DEC2HEX(IF(B939&lt;&gt;"",VLOOKUP(B939,Notes!$A$2:$B$37,2,FALSE)*1024,0) + C939*16 + IF(D939="",7,D939)*2 + IF(E939&gt;0, 1, 0))),","),"")</f>
        <v/>
      </c>
      <c r="X939" s="21" t="str">
        <f>IF(J939&gt;0,CONCATENATE("0x",(DEC2HEX(IF(I939&lt;&gt;"",VLOOKUP(I939,Notes!$A$2:$B$37,2,FALSE)*1024,0) + J939*16 + IF(K939="",7,K939)*2 + IF(L939&gt;0, 1, 0))),","),"")</f>
        <v/>
      </c>
      <c r="Y939" s="21" t="str">
        <f>IF(Q939&gt;0,CONCATENATE("0x",(DEC2HEX(IF(P939&lt;&gt;"",VLOOKUP(P939,Notes!$A$2:$B$37,2,FALSE)*1024,0) + Q939*16 + IF(R939="",7,R939)*2 + IF(S939&gt;0, 1, 0))),","),"")</f>
        <v/>
      </c>
    </row>
    <row r="940" spans="1:25" x14ac:dyDescent="0.25">
      <c r="F940" s="18">
        <f t="shared" si="84"/>
        <v>0</v>
      </c>
      <c r="G940" s="1" t="str">
        <f t="shared" si="87"/>
        <v/>
      </c>
      <c r="M940" s="18">
        <f t="shared" si="85"/>
        <v>0</v>
      </c>
      <c r="N940" s="1" t="str">
        <f t="shared" si="88"/>
        <v/>
      </c>
      <c r="T940" s="18">
        <f t="shared" si="86"/>
        <v>0</v>
      </c>
      <c r="U940" s="1" t="str">
        <f t="shared" si="89"/>
        <v/>
      </c>
      <c r="W940" s="21" t="str">
        <f>IF(C940&gt;0,CONCATENATE("0x",(DEC2HEX(IF(B940&lt;&gt;"",VLOOKUP(B940,Notes!$A$2:$B$37,2,FALSE)*1024,0) + C940*16 + IF(D940="",7,D940)*2 + IF(E940&gt;0, 1, 0))),","),"")</f>
        <v/>
      </c>
      <c r="X940" s="21" t="str">
        <f>IF(J940&gt;0,CONCATENATE("0x",(DEC2HEX(IF(I940&lt;&gt;"",VLOOKUP(I940,Notes!$A$2:$B$37,2,FALSE)*1024,0) + J940*16 + IF(K940="",7,K940)*2 + IF(L940&gt;0, 1, 0))),","),"")</f>
        <v/>
      </c>
      <c r="Y940" s="21" t="str">
        <f>IF(Q940&gt;0,CONCATENATE("0x",(DEC2HEX(IF(P940&lt;&gt;"",VLOOKUP(P940,Notes!$A$2:$B$37,2,FALSE)*1024,0) + Q940*16 + IF(R940="",7,R940)*2 + IF(S940&gt;0, 1, 0))),","),"")</f>
        <v/>
      </c>
    </row>
    <row r="941" spans="1:25" x14ac:dyDescent="0.25">
      <c r="F941" s="18">
        <f t="shared" si="84"/>
        <v>0</v>
      </c>
      <c r="G941" s="1" t="str">
        <f t="shared" si="87"/>
        <v/>
      </c>
      <c r="M941" s="18">
        <f t="shared" si="85"/>
        <v>0</v>
      </c>
      <c r="N941" s="1" t="str">
        <f t="shared" si="88"/>
        <v/>
      </c>
      <c r="T941" s="18">
        <f t="shared" si="86"/>
        <v>0</v>
      </c>
      <c r="U941" s="1" t="str">
        <f t="shared" si="89"/>
        <v/>
      </c>
      <c r="W941" s="21" t="str">
        <f>IF(C941&gt;0,CONCATENATE("0x",(DEC2HEX(IF(B941&lt;&gt;"",VLOOKUP(B941,Notes!$A$2:$B$37,2,FALSE)*1024,0) + C941*16 + IF(D941="",7,D941)*2 + IF(E941&gt;0, 1, 0))),","),"")</f>
        <v/>
      </c>
      <c r="X941" s="21" t="str">
        <f>IF(J941&gt;0,CONCATENATE("0x",(DEC2HEX(IF(I941&lt;&gt;"",VLOOKUP(I941,Notes!$A$2:$B$37,2,FALSE)*1024,0) + J941*16 + IF(K941="",7,K941)*2 + IF(L941&gt;0, 1, 0))),","),"")</f>
        <v/>
      </c>
      <c r="Y941" s="21" t="str">
        <f>IF(Q941&gt;0,CONCATENATE("0x",(DEC2HEX(IF(P941&lt;&gt;"",VLOOKUP(P941,Notes!$A$2:$B$37,2,FALSE)*1024,0) + Q941*16 + IF(R941="",7,R941)*2 + IF(S941&gt;0, 1, 0))),","),"")</f>
        <v/>
      </c>
    </row>
    <row r="942" spans="1:25" x14ac:dyDescent="0.25">
      <c r="F942" s="18">
        <f t="shared" si="84"/>
        <v>0</v>
      </c>
      <c r="G942" s="1" t="str">
        <f t="shared" si="87"/>
        <v/>
      </c>
      <c r="M942" s="18">
        <f t="shared" si="85"/>
        <v>0</v>
      </c>
      <c r="N942" s="1" t="str">
        <f t="shared" si="88"/>
        <v/>
      </c>
      <c r="T942" s="18">
        <f t="shared" si="86"/>
        <v>0</v>
      </c>
      <c r="U942" s="1" t="str">
        <f t="shared" si="89"/>
        <v/>
      </c>
      <c r="W942" s="21" t="str">
        <f>IF(C942&gt;0,CONCATENATE("0x",(DEC2HEX(IF(B942&lt;&gt;"",VLOOKUP(B942,Notes!$A$2:$B$37,2,FALSE)*1024,0) + C942*16 + IF(D942="",7,D942)*2 + IF(E942&gt;0, 1, 0))),","),"")</f>
        <v/>
      </c>
      <c r="X942" s="21" t="str">
        <f>IF(J942&gt;0,CONCATENATE("0x",(DEC2HEX(IF(I942&lt;&gt;"",VLOOKUP(I942,Notes!$A$2:$B$37,2,FALSE)*1024,0) + J942*16 + IF(K942="",7,K942)*2 + IF(L942&gt;0, 1, 0))),","),"")</f>
        <v/>
      </c>
      <c r="Y942" s="21" t="str">
        <f>IF(Q942&gt;0,CONCATENATE("0x",(DEC2HEX(IF(P942&lt;&gt;"",VLOOKUP(P942,Notes!$A$2:$B$37,2,FALSE)*1024,0) + Q942*16 + IF(R942="",7,R942)*2 + IF(S942&gt;0, 1, 0))),","),"")</f>
        <v/>
      </c>
    </row>
    <row r="943" spans="1:25" x14ac:dyDescent="0.25">
      <c r="F943" s="18">
        <f t="shared" si="84"/>
        <v>0</v>
      </c>
      <c r="G943" s="1" t="str">
        <f t="shared" si="87"/>
        <v/>
      </c>
      <c r="M943" s="18">
        <f t="shared" si="85"/>
        <v>0</v>
      </c>
      <c r="N943" s="1" t="str">
        <f t="shared" si="88"/>
        <v/>
      </c>
      <c r="T943" s="18">
        <f t="shared" si="86"/>
        <v>0</v>
      </c>
      <c r="U943" s="1" t="str">
        <f t="shared" si="89"/>
        <v/>
      </c>
      <c r="W943" s="21" t="str">
        <f>IF(C943&gt;0,CONCATENATE("0x",(DEC2HEX(IF(B943&lt;&gt;"",VLOOKUP(B943,Notes!$A$2:$B$37,2,FALSE)*1024,0) + C943*16 + IF(D943="",7,D943)*2 + IF(E943&gt;0, 1, 0))),","),"")</f>
        <v/>
      </c>
      <c r="X943" s="21" t="str">
        <f>IF(J943&gt;0,CONCATENATE("0x",(DEC2HEX(IF(I943&lt;&gt;"",VLOOKUP(I943,Notes!$A$2:$B$37,2,FALSE)*1024,0) + J943*16 + IF(K943="",7,K943)*2 + IF(L943&gt;0, 1, 0))),","),"")</f>
        <v/>
      </c>
      <c r="Y943" s="21" t="str">
        <f>IF(Q943&gt;0,CONCATENATE("0x",(DEC2HEX(IF(P943&lt;&gt;"",VLOOKUP(P943,Notes!$A$2:$B$37,2,FALSE)*1024,0) + Q943*16 + IF(R943="",7,R943)*2 + IF(S943&gt;0, 1, 0))),","),"")</f>
        <v/>
      </c>
    </row>
    <row r="944" spans="1:25" x14ac:dyDescent="0.25">
      <c r="F944" s="18">
        <f t="shared" si="84"/>
        <v>0</v>
      </c>
      <c r="G944" s="1" t="str">
        <f t="shared" si="87"/>
        <v/>
      </c>
      <c r="M944" s="18">
        <f t="shared" si="85"/>
        <v>0</v>
      </c>
      <c r="N944" s="1" t="str">
        <f t="shared" si="88"/>
        <v/>
      </c>
      <c r="T944" s="18">
        <f t="shared" si="86"/>
        <v>0</v>
      </c>
      <c r="U944" s="1" t="str">
        <f t="shared" si="89"/>
        <v/>
      </c>
      <c r="W944" s="21" t="str">
        <f>IF(C944&gt;0,CONCATENATE("0x",(DEC2HEX(IF(B944&lt;&gt;"",VLOOKUP(B944,Notes!$A$2:$B$37,2,FALSE)*1024,0) + C944*16 + IF(D944="",7,D944)*2 + IF(E944&gt;0, 1, 0))),","),"")</f>
        <v/>
      </c>
      <c r="X944" s="21" t="str">
        <f>IF(J944&gt;0,CONCATENATE("0x",(DEC2HEX(IF(I944&lt;&gt;"",VLOOKUP(I944,Notes!$A$2:$B$37,2,FALSE)*1024,0) + J944*16 + IF(K944="",7,K944)*2 + IF(L944&gt;0, 1, 0))),","),"")</f>
        <v/>
      </c>
      <c r="Y944" s="21" t="str">
        <f>IF(Q944&gt;0,CONCATENATE("0x",(DEC2HEX(IF(P944&lt;&gt;"",VLOOKUP(P944,Notes!$A$2:$B$37,2,FALSE)*1024,0) + Q944*16 + IF(R944="",7,R944)*2 + IF(S944&gt;0, 1, 0))),","),"")</f>
        <v/>
      </c>
    </row>
    <row r="945" spans="2:25" x14ac:dyDescent="0.25">
      <c r="B945" s="12"/>
      <c r="C945" s="13"/>
      <c r="D945" s="13"/>
      <c r="E945" s="14"/>
      <c r="F945" s="18">
        <f t="shared" si="84"/>
        <v>0</v>
      </c>
      <c r="G945" s="1" t="str">
        <f t="shared" si="87"/>
        <v/>
      </c>
      <c r="I945" s="12"/>
      <c r="J945" s="13"/>
      <c r="K945" s="13"/>
      <c r="L945" s="14"/>
      <c r="M945" s="18">
        <f t="shared" si="85"/>
        <v>0</v>
      </c>
      <c r="N945" s="1" t="str">
        <f t="shared" si="88"/>
        <v/>
      </c>
      <c r="P945" s="12"/>
      <c r="Q945" s="13"/>
      <c r="R945" s="13"/>
      <c r="S945" s="14"/>
      <c r="T945" s="18">
        <f t="shared" si="86"/>
        <v>0</v>
      </c>
      <c r="U945" s="1" t="str">
        <f t="shared" si="89"/>
        <v/>
      </c>
      <c r="W945" s="21" t="str">
        <f>IF(C945&gt;0,CONCATENATE("0x",(DEC2HEX(IF(B945&lt;&gt;"",VLOOKUP(B945,Notes!$A$2:$B$37,2,FALSE)*1024,0) + C945*16 + IF(D945="",7,D945)*2 + IF(E945&gt;0, 1, 0))),","),"")</f>
        <v/>
      </c>
      <c r="X945" s="21" t="str">
        <f>IF(J945&gt;0,CONCATENATE("0x",(DEC2HEX(IF(I945&lt;&gt;"",VLOOKUP(I945,Notes!$A$2:$B$37,2,FALSE)*1024,0) + J945*16 + IF(K945="",7,K945)*2 + IF(L945&gt;0, 1, 0))),","),"")</f>
        <v/>
      </c>
      <c r="Y945" s="21" t="str">
        <f>IF(Q945&gt;0,CONCATENATE("0x",(DEC2HEX(IF(P945&lt;&gt;"",VLOOKUP(P945,Notes!$A$2:$B$37,2,FALSE)*1024,0) + Q945*16 + IF(R945="",7,R945)*2 + IF(S945&gt;0, 1, 0))),","),"")</f>
        <v/>
      </c>
    </row>
    <row r="946" spans="2:25" x14ac:dyDescent="0.25">
      <c r="F946" s="18">
        <f t="shared" si="84"/>
        <v>0</v>
      </c>
      <c r="G946" s="1" t="str">
        <f t="shared" si="87"/>
        <v/>
      </c>
      <c r="M946" s="18">
        <f t="shared" si="85"/>
        <v>0</v>
      </c>
      <c r="N946" s="1" t="str">
        <f t="shared" si="88"/>
        <v/>
      </c>
      <c r="T946" s="18">
        <f t="shared" si="86"/>
        <v>0</v>
      </c>
      <c r="U946" s="1" t="str">
        <f t="shared" si="89"/>
        <v/>
      </c>
      <c r="W946" s="21" t="str">
        <f>IF(C946&gt;0,CONCATENATE("0x",(DEC2HEX(IF(B946&lt;&gt;"",VLOOKUP(B946,Notes!$A$2:$B$37,2,FALSE)*1024,0) + C946*16 + IF(D946="",7,D946)*2 + IF(E946&gt;0, 1, 0))),","),"")</f>
        <v/>
      </c>
      <c r="X946" s="21" t="str">
        <f>IF(J946&gt;0,CONCATENATE("0x",(DEC2HEX(IF(I946&lt;&gt;"",VLOOKUP(I946,Notes!$A$2:$B$37,2,FALSE)*1024,0) + J946*16 + IF(K946="",7,K946)*2 + IF(L946&gt;0, 1, 0))),","),"")</f>
        <v/>
      </c>
      <c r="Y946" s="21" t="str">
        <f>IF(Q946&gt;0,CONCATENATE("0x",(DEC2HEX(IF(P946&lt;&gt;"",VLOOKUP(P946,Notes!$A$2:$B$37,2,FALSE)*1024,0) + Q946*16 + IF(R946="",7,R946)*2 + IF(S946&gt;0, 1, 0))),","),"")</f>
        <v/>
      </c>
    </row>
    <row r="947" spans="2:25" x14ac:dyDescent="0.25">
      <c r="F947" s="18">
        <f t="shared" si="84"/>
        <v>0</v>
      </c>
      <c r="G947" s="1" t="str">
        <f t="shared" si="87"/>
        <v/>
      </c>
      <c r="M947" s="18">
        <f t="shared" si="85"/>
        <v>0</v>
      </c>
      <c r="N947" s="1" t="str">
        <f t="shared" si="88"/>
        <v/>
      </c>
      <c r="T947" s="18">
        <f t="shared" si="86"/>
        <v>0</v>
      </c>
      <c r="U947" s="1" t="str">
        <f t="shared" si="89"/>
        <v/>
      </c>
      <c r="W947" s="21" t="str">
        <f>IF(C947&gt;0,CONCATENATE("0x",(DEC2HEX(IF(B947&lt;&gt;"",VLOOKUP(B947,Notes!$A$2:$B$37,2,FALSE)*1024,0) + C947*16 + IF(D947="",7,D947)*2 + IF(E947&gt;0, 1, 0))),","),"")</f>
        <v/>
      </c>
      <c r="X947" s="21" t="str">
        <f>IF(J947&gt;0,CONCATENATE("0x",(DEC2HEX(IF(I947&lt;&gt;"",VLOOKUP(I947,Notes!$A$2:$B$37,2,FALSE)*1024,0) + J947*16 + IF(K947="",7,K947)*2 + IF(L947&gt;0, 1, 0))),","),"")</f>
        <v/>
      </c>
      <c r="Y947" s="21" t="str">
        <f>IF(Q947&gt;0,CONCATENATE("0x",(DEC2HEX(IF(P947&lt;&gt;"",VLOOKUP(P947,Notes!$A$2:$B$37,2,FALSE)*1024,0) + Q947*16 + IF(R947="",7,R947)*2 + IF(S947&gt;0, 1, 0))),","),"")</f>
        <v/>
      </c>
    </row>
    <row r="948" spans="2:25" x14ac:dyDescent="0.25">
      <c r="F948" s="18">
        <f t="shared" si="84"/>
        <v>0</v>
      </c>
      <c r="G948" s="1" t="str">
        <f t="shared" si="87"/>
        <v/>
      </c>
      <c r="M948" s="18">
        <f t="shared" si="85"/>
        <v>0</v>
      </c>
      <c r="N948" s="1" t="str">
        <f t="shared" si="88"/>
        <v/>
      </c>
      <c r="T948" s="18">
        <f t="shared" si="86"/>
        <v>0</v>
      </c>
      <c r="U948" s="1" t="str">
        <f t="shared" si="89"/>
        <v/>
      </c>
      <c r="W948" s="21" t="str">
        <f>IF(C948&gt;0,CONCATENATE("0x",(DEC2HEX(IF(B948&lt;&gt;"",VLOOKUP(B948,Notes!$A$2:$B$37,2,FALSE)*1024,0) + C948*16 + IF(D948="",7,D948)*2 + IF(E948&gt;0, 1, 0))),","),"")</f>
        <v/>
      </c>
      <c r="X948" s="21" t="str">
        <f>IF(J948&gt;0,CONCATENATE("0x",(DEC2HEX(IF(I948&lt;&gt;"",VLOOKUP(I948,Notes!$A$2:$B$37,2,FALSE)*1024,0) + J948*16 + IF(K948="",7,K948)*2 + IF(L948&gt;0, 1, 0))),","),"")</f>
        <v/>
      </c>
      <c r="Y948" s="21" t="str">
        <f>IF(Q948&gt;0,CONCATENATE("0x",(DEC2HEX(IF(P948&lt;&gt;"",VLOOKUP(P948,Notes!$A$2:$B$37,2,FALSE)*1024,0) + Q948*16 + IF(R948="",7,R948)*2 + IF(S948&gt;0, 1, 0))),","),"")</f>
        <v/>
      </c>
    </row>
    <row r="949" spans="2:25" x14ac:dyDescent="0.25">
      <c r="F949" s="18">
        <f t="shared" si="84"/>
        <v>0</v>
      </c>
      <c r="G949" s="1" t="str">
        <f t="shared" si="87"/>
        <v/>
      </c>
      <c r="M949" s="18">
        <f t="shared" si="85"/>
        <v>0</v>
      </c>
      <c r="N949" s="1" t="str">
        <f t="shared" si="88"/>
        <v/>
      </c>
      <c r="T949" s="18">
        <f t="shared" si="86"/>
        <v>0</v>
      </c>
      <c r="U949" s="1" t="str">
        <f t="shared" si="89"/>
        <v/>
      </c>
      <c r="W949" s="21" t="str">
        <f>IF(C949&gt;0,CONCATENATE("0x",(DEC2HEX(IF(B949&lt;&gt;"",VLOOKUP(B949,Notes!$A$2:$B$37,2,FALSE)*1024,0) + C949*16 + IF(D949="",7,D949)*2 + IF(E949&gt;0, 1, 0))),","),"")</f>
        <v/>
      </c>
      <c r="X949" s="21" t="str">
        <f>IF(J949&gt;0,CONCATENATE("0x",(DEC2HEX(IF(I949&lt;&gt;"",VLOOKUP(I949,Notes!$A$2:$B$37,2,FALSE)*1024,0) + J949*16 + IF(K949="",7,K949)*2 + IF(L949&gt;0, 1, 0))),","),"")</f>
        <v/>
      </c>
      <c r="Y949" s="21" t="str">
        <f>IF(Q949&gt;0,CONCATENATE("0x",(DEC2HEX(IF(P949&lt;&gt;"",VLOOKUP(P949,Notes!$A$2:$B$37,2,FALSE)*1024,0) + Q949*16 + IF(R949="",7,R949)*2 + IF(S949&gt;0, 1, 0))),","),"")</f>
        <v/>
      </c>
    </row>
    <row r="950" spans="2:25" x14ac:dyDescent="0.25">
      <c r="F950" s="18">
        <f t="shared" si="84"/>
        <v>0</v>
      </c>
      <c r="G950" s="1" t="str">
        <f t="shared" si="87"/>
        <v/>
      </c>
      <c r="M950" s="18">
        <f t="shared" si="85"/>
        <v>0</v>
      </c>
      <c r="N950" s="1" t="str">
        <f t="shared" si="88"/>
        <v/>
      </c>
      <c r="T950" s="18">
        <f t="shared" si="86"/>
        <v>0</v>
      </c>
      <c r="U950" s="1" t="str">
        <f t="shared" si="89"/>
        <v/>
      </c>
      <c r="W950" s="21" t="str">
        <f>IF(C950&gt;0,CONCATENATE("0x",(DEC2HEX(IF(B950&lt;&gt;"",VLOOKUP(B950,Notes!$A$2:$B$37,2,FALSE)*1024,0) + C950*16 + IF(D950="",7,D950)*2 + IF(E950&gt;0, 1, 0))),","),"")</f>
        <v/>
      </c>
      <c r="X950" s="21" t="str">
        <f>IF(J950&gt;0,CONCATENATE("0x",(DEC2HEX(IF(I950&lt;&gt;"",VLOOKUP(I950,Notes!$A$2:$B$37,2,FALSE)*1024,0) + J950*16 + IF(K950="",7,K950)*2 + IF(L950&gt;0, 1, 0))),","),"")</f>
        <v/>
      </c>
      <c r="Y950" s="21" t="str">
        <f>IF(Q950&gt;0,CONCATENATE("0x",(DEC2HEX(IF(P950&lt;&gt;"",VLOOKUP(P950,Notes!$A$2:$B$37,2,FALSE)*1024,0) + Q950*16 + IF(R950="",7,R950)*2 + IF(S950&gt;0, 1, 0))),","),"")</f>
        <v/>
      </c>
    </row>
    <row r="951" spans="2:25" x14ac:dyDescent="0.25">
      <c r="F951" s="18">
        <f t="shared" si="84"/>
        <v>0</v>
      </c>
      <c r="G951" s="1" t="str">
        <f t="shared" si="87"/>
        <v/>
      </c>
      <c r="M951" s="18">
        <f t="shared" si="85"/>
        <v>0</v>
      </c>
      <c r="N951" s="1" t="str">
        <f t="shared" si="88"/>
        <v/>
      </c>
      <c r="T951" s="18">
        <f t="shared" si="86"/>
        <v>0</v>
      </c>
      <c r="U951" s="1" t="str">
        <f t="shared" si="89"/>
        <v/>
      </c>
      <c r="W951" s="21" t="str">
        <f>IF(C951&gt;0,CONCATENATE("0x",(DEC2HEX(IF(B951&lt;&gt;"",VLOOKUP(B951,Notes!$A$2:$B$37,2,FALSE)*1024,0) + C951*16 + IF(D951="",7,D951)*2 + IF(E951&gt;0, 1, 0))),","),"")</f>
        <v/>
      </c>
      <c r="X951" s="21" t="str">
        <f>IF(J951&gt;0,CONCATENATE("0x",(DEC2HEX(IF(I951&lt;&gt;"",VLOOKUP(I951,Notes!$A$2:$B$37,2,FALSE)*1024,0) + J951*16 + IF(K951="",7,K951)*2 + IF(L951&gt;0, 1, 0))),","),"")</f>
        <v/>
      </c>
      <c r="Y951" s="21" t="str">
        <f>IF(Q951&gt;0,CONCATENATE("0x",(DEC2HEX(IF(P951&lt;&gt;"",VLOOKUP(P951,Notes!$A$2:$B$37,2,FALSE)*1024,0) + Q951*16 + IF(R951="",7,R951)*2 + IF(S951&gt;0, 1, 0))),","),"")</f>
        <v/>
      </c>
    </row>
    <row r="952" spans="2:25" x14ac:dyDescent="0.25">
      <c r="F952" s="18">
        <f t="shared" si="84"/>
        <v>0</v>
      </c>
      <c r="G952" s="1" t="str">
        <f t="shared" si="87"/>
        <v/>
      </c>
      <c r="M952" s="18">
        <f t="shared" si="85"/>
        <v>0</v>
      </c>
      <c r="N952" s="1" t="str">
        <f t="shared" si="88"/>
        <v/>
      </c>
      <c r="T952" s="18">
        <f t="shared" si="86"/>
        <v>0</v>
      </c>
      <c r="U952" s="1" t="str">
        <f t="shared" si="89"/>
        <v/>
      </c>
      <c r="W952" s="21" t="str">
        <f>IF(C952&gt;0,CONCATENATE("0x",(DEC2HEX(IF(B952&lt;&gt;"",VLOOKUP(B952,Notes!$A$2:$B$37,2,FALSE)*1024,0) + C952*16 + IF(D952="",7,D952)*2 + IF(E952&gt;0, 1, 0))),","),"")</f>
        <v/>
      </c>
      <c r="X952" s="21" t="str">
        <f>IF(J952&gt;0,CONCATENATE("0x",(DEC2HEX(IF(I952&lt;&gt;"",VLOOKUP(I952,Notes!$A$2:$B$37,2,FALSE)*1024,0) + J952*16 + IF(K952="",7,K952)*2 + IF(L952&gt;0, 1, 0))),","),"")</f>
        <v/>
      </c>
      <c r="Y952" s="21" t="str">
        <f>IF(Q952&gt;0,CONCATENATE("0x",(DEC2HEX(IF(P952&lt;&gt;"",VLOOKUP(P952,Notes!$A$2:$B$37,2,FALSE)*1024,0) + Q952*16 + IF(R952="",7,R952)*2 + IF(S952&gt;0, 1, 0))),","),"")</f>
        <v/>
      </c>
    </row>
    <row r="953" spans="2:25" x14ac:dyDescent="0.25">
      <c r="B953" s="12"/>
      <c r="C953" s="13"/>
      <c r="D953" s="13"/>
      <c r="E953" s="14"/>
      <c r="F953" s="18">
        <f t="shared" si="84"/>
        <v>0</v>
      </c>
      <c r="G953" s="1" t="str">
        <f t="shared" si="87"/>
        <v/>
      </c>
      <c r="I953" s="12"/>
      <c r="J953" s="13"/>
      <c r="K953" s="13"/>
      <c r="L953" s="14"/>
      <c r="M953" s="18">
        <f t="shared" si="85"/>
        <v>0</v>
      </c>
      <c r="N953" s="1" t="str">
        <f t="shared" si="88"/>
        <v/>
      </c>
      <c r="P953" s="12"/>
      <c r="Q953" s="13"/>
      <c r="R953" s="13"/>
      <c r="S953" s="14"/>
      <c r="T953" s="18">
        <f t="shared" si="86"/>
        <v>0</v>
      </c>
      <c r="U953" s="1" t="str">
        <f t="shared" si="89"/>
        <v/>
      </c>
      <c r="W953" s="21" t="str">
        <f>IF(C953&gt;0,CONCATENATE("0x",(DEC2HEX(IF(B953&lt;&gt;"",VLOOKUP(B953,Notes!$A$2:$B$37,2,FALSE)*1024,0) + C953*16 + IF(D953="",7,D953)*2 + IF(E953&gt;0, 1, 0))),","),"")</f>
        <v/>
      </c>
      <c r="X953" s="21" t="str">
        <f>IF(J953&gt;0,CONCATENATE("0x",(DEC2HEX(IF(I953&lt;&gt;"",VLOOKUP(I953,Notes!$A$2:$B$37,2,FALSE)*1024,0) + J953*16 + IF(K953="",7,K953)*2 + IF(L953&gt;0, 1, 0))),","),"")</f>
        <v/>
      </c>
      <c r="Y953" s="21" t="str">
        <f>IF(Q953&gt;0,CONCATENATE("0x",(DEC2HEX(IF(P953&lt;&gt;"",VLOOKUP(P953,Notes!$A$2:$B$37,2,FALSE)*1024,0) + Q953*16 + IF(R953="",7,R953)*2 + IF(S953&gt;0, 1, 0))),","),"")</f>
        <v/>
      </c>
    </row>
    <row r="954" spans="2:25" x14ac:dyDescent="0.25">
      <c r="F954" s="18">
        <f t="shared" si="84"/>
        <v>0</v>
      </c>
      <c r="G954" s="1" t="str">
        <f t="shared" si="87"/>
        <v/>
      </c>
      <c r="M954" s="18">
        <f t="shared" si="85"/>
        <v>0</v>
      </c>
      <c r="N954" s="1" t="str">
        <f t="shared" si="88"/>
        <v/>
      </c>
      <c r="T954" s="18">
        <f t="shared" si="86"/>
        <v>0</v>
      </c>
      <c r="U954" s="1" t="str">
        <f t="shared" si="89"/>
        <v/>
      </c>
      <c r="W954" s="21" t="str">
        <f>IF(C954&gt;0,CONCATENATE("0x",(DEC2HEX(IF(B954&lt;&gt;"",VLOOKUP(B954,Notes!$A$2:$B$37,2,FALSE)*1024,0) + C954*16 + IF(D954="",7,D954)*2 + IF(E954&gt;0, 1, 0))),","),"")</f>
        <v/>
      </c>
      <c r="X954" s="21" t="str">
        <f>IF(J954&gt;0,CONCATENATE("0x",(DEC2HEX(IF(I954&lt;&gt;"",VLOOKUP(I954,Notes!$A$2:$B$37,2,FALSE)*1024,0) + J954*16 + IF(K954="",7,K954)*2 + IF(L954&gt;0, 1, 0))),","),"")</f>
        <v/>
      </c>
      <c r="Y954" s="21" t="str">
        <f>IF(Q954&gt;0,CONCATENATE("0x",(DEC2HEX(IF(P954&lt;&gt;"",VLOOKUP(P954,Notes!$A$2:$B$37,2,FALSE)*1024,0) + Q954*16 + IF(R954="",7,R954)*2 + IF(S954&gt;0, 1, 0))),","),"")</f>
        <v/>
      </c>
    </row>
    <row r="955" spans="2:25" x14ac:dyDescent="0.25">
      <c r="F955" s="18">
        <f t="shared" si="84"/>
        <v>0</v>
      </c>
      <c r="G955" s="1" t="str">
        <f t="shared" si="87"/>
        <v/>
      </c>
      <c r="M955" s="18">
        <f t="shared" si="85"/>
        <v>0</v>
      </c>
      <c r="N955" s="1" t="str">
        <f t="shared" si="88"/>
        <v/>
      </c>
      <c r="T955" s="18">
        <f t="shared" si="86"/>
        <v>0</v>
      </c>
      <c r="U955" s="1" t="str">
        <f t="shared" si="89"/>
        <v/>
      </c>
      <c r="W955" s="21" t="str">
        <f>IF(C955&gt;0,CONCATENATE("0x",(DEC2HEX(IF(B955&lt;&gt;"",VLOOKUP(B955,Notes!$A$2:$B$37,2,FALSE)*1024,0) + C955*16 + IF(D955="",7,D955)*2 + IF(E955&gt;0, 1, 0))),","),"")</f>
        <v/>
      </c>
      <c r="X955" s="21" t="str">
        <f>IF(J955&gt;0,CONCATENATE("0x",(DEC2HEX(IF(I955&lt;&gt;"",VLOOKUP(I955,Notes!$A$2:$B$37,2,FALSE)*1024,0) + J955*16 + IF(K955="",7,K955)*2 + IF(L955&gt;0, 1, 0))),","),"")</f>
        <v/>
      </c>
      <c r="Y955" s="21" t="str">
        <f>IF(Q955&gt;0,CONCATENATE("0x",(DEC2HEX(IF(P955&lt;&gt;"",VLOOKUP(P955,Notes!$A$2:$B$37,2,FALSE)*1024,0) + Q955*16 + IF(R955="",7,R955)*2 + IF(S955&gt;0, 1, 0))),","),"")</f>
        <v/>
      </c>
    </row>
    <row r="956" spans="2:25" x14ac:dyDescent="0.25">
      <c r="F956" s="18">
        <f t="shared" si="84"/>
        <v>0</v>
      </c>
      <c r="G956" s="1" t="str">
        <f t="shared" si="87"/>
        <v/>
      </c>
      <c r="M956" s="18">
        <f t="shared" si="85"/>
        <v>0</v>
      </c>
      <c r="N956" s="1" t="str">
        <f t="shared" si="88"/>
        <v/>
      </c>
      <c r="T956" s="18">
        <f t="shared" si="86"/>
        <v>0</v>
      </c>
      <c r="U956" s="1" t="str">
        <f t="shared" si="89"/>
        <v/>
      </c>
      <c r="W956" s="21" t="str">
        <f>IF(C956&gt;0,CONCATENATE("0x",(DEC2HEX(IF(B956&lt;&gt;"",VLOOKUP(B956,Notes!$A$2:$B$37,2,FALSE)*1024,0) + C956*16 + IF(D956="",7,D956)*2 + IF(E956&gt;0, 1, 0))),","),"")</f>
        <v/>
      </c>
      <c r="X956" s="21" t="str">
        <f>IF(J956&gt;0,CONCATENATE("0x",(DEC2HEX(IF(I956&lt;&gt;"",VLOOKUP(I956,Notes!$A$2:$B$37,2,FALSE)*1024,0) + J956*16 + IF(K956="",7,K956)*2 + IF(L956&gt;0, 1, 0))),","),"")</f>
        <v/>
      </c>
      <c r="Y956" s="21" t="str">
        <f>IF(Q956&gt;0,CONCATENATE("0x",(DEC2HEX(IF(P956&lt;&gt;"",VLOOKUP(P956,Notes!$A$2:$B$37,2,FALSE)*1024,0) + Q956*16 + IF(R956="",7,R956)*2 + IF(S956&gt;0, 1, 0))),","),"")</f>
        <v/>
      </c>
    </row>
    <row r="957" spans="2:25" x14ac:dyDescent="0.25">
      <c r="F957" s="18">
        <f t="shared" si="84"/>
        <v>0</v>
      </c>
      <c r="G957" s="1" t="str">
        <f t="shared" si="87"/>
        <v/>
      </c>
      <c r="M957" s="18">
        <f t="shared" si="85"/>
        <v>0</v>
      </c>
      <c r="N957" s="1" t="str">
        <f t="shared" si="88"/>
        <v/>
      </c>
      <c r="T957" s="18">
        <f t="shared" si="86"/>
        <v>0</v>
      </c>
      <c r="U957" s="1" t="str">
        <f t="shared" si="89"/>
        <v/>
      </c>
      <c r="W957" s="21" t="str">
        <f>IF(C957&gt;0,CONCATENATE("0x",(DEC2HEX(IF(B957&lt;&gt;"",VLOOKUP(B957,Notes!$A$2:$B$37,2,FALSE)*1024,0) + C957*16 + IF(D957="",7,D957)*2 + IF(E957&gt;0, 1, 0))),","),"")</f>
        <v/>
      </c>
      <c r="X957" s="21" t="str">
        <f>IF(J957&gt;0,CONCATENATE("0x",(DEC2HEX(IF(I957&lt;&gt;"",VLOOKUP(I957,Notes!$A$2:$B$37,2,FALSE)*1024,0) + J957*16 + IF(K957="",7,K957)*2 + IF(L957&gt;0, 1, 0))),","),"")</f>
        <v/>
      </c>
      <c r="Y957" s="21" t="str">
        <f>IF(Q957&gt;0,CONCATENATE("0x",(DEC2HEX(IF(P957&lt;&gt;"",VLOOKUP(P957,Notes!$A$2:$B$37,2,FALSE)*1024,0) + Q957*16 + IF(R957="",7,R957)*2 + IF(S957&gt;0, 1, 0))),","),"")</f>
        <v/>
      </c>
    </row>
    <row r="958" spans="2:25" x14ac:dyDescent="0.25">
      <c r="F958" s="18">
        <f t="shared" si="84"/>
        <v>0</v>
      </c>
      <c r="G958" s="1" t="str">
        <f t="shared" si="87"/>
        <v/>
      </c>
      <c r="M958" s="18">
        <f t="shared" si="85"/>
        <v>0</v>
      </c>
      <c r="N958" s="1" t="str">
        <f t="shared" si="88"/>
        <v/>
      </c>
      <c r="T958" s="18">
        <f t="shared" si="86"/>
        <v>0</v>
      </c>
      <c r="U958" s="1" t="str">
        <f t="shared" si="89"/>
        <v/>
      </c>
      <c r="W958" s="21" t="str">
        <f>IF(C958&gt;0,CONCATENATE("0x",(DEC2HEX(IF(B958&lt;&gt;"",VLOOKUP(B958,Notes!$A$2:$B$37,2,FALSE)*1024,0) + C958*16 + IF(D958="",7,D958)*2 + IF(E958&gt;0, 1, 0))),","),"")</f>
        <v/>
      </c>
      <c r="X958" s="21" t="str">
        <f>IF(J958&gt;0,CONCATENATE("0x",(DEC2HEX(IF(I958&lt;&gt;"",VLOOKUP(I958,Notes!$A$2:$B$37,2,FALSE)*1024,0) + J958*16 + IF(K958="",7,K958)*2 + IF(L958&gt;0, 1, 0))),","),"")</f>
        <v/>
      </c>
      <c r="Y958" s="21" t="str">
        <f>IF(Q958&gt;0,CONCATENATE("0x",(DEC2HEX(IF(P958&lt;&gt;"",VLOOKUP(P958,Notes!$A$2:$B$37,2,FALSE)*1024,0) + Q958*16 + IF(R958="",7,R958)*2 + IF(S958&gt;0, 1, 0))),","),"")</f>
        <v/>
      </c>
    </row>
    <row r="959" spans="2:25" x14ac:dyDescent="0.25">
      <c r="F959" s="18">
        <f t="shared" si="84"/>
        <v>0</v>
      </c>
      <c r="G959" s="1" t="str">
        <f t="shared" si="87"/>
        <v/>
      </c>
      <c r="M959" s="18">
        <f t="shared" si="85"/>
        <v>0</v>
      </c>
      <c r="N959" s="1" t="str">
        <f t="shared" si="88"/>
        <v/>
      </c>
      <c r="T959" s="18">
        <f t="shared" si="86"/>
        <v>0</v>
      </c>
      <c r="U959" s="1" t="str">
        <f t="shared" si="89"/>
        <v/>
      </c>
      <c r="W959" s="21" t="str">
        <f>IF(C959&gt;0,CONCATENATE("0x",(DEC2HEX(IF(B959&lt;&gt;"",VLOOKUP(B959,Notes!$A$2:$B$37,2,FALSE)*1024,0) + C959*16 + IF(D959="",7,D959)*2 + IF(E959&gt;0, 1, 0))),","),"")</f>
        <v/>
      </c>
      <c r="X959" s="21" t="str">
        <f>IF(J959&gt;0,CONCATENATE("0x",(DEC2HEX(IF(I959&lt;&gt;"",VLOOKUP(I959,Notes!$A$2:$B$37,2,FALSE)*1024,0) + J959*16 + IF(K959="",7,K959)*2 + IF(L959&gt;0, 1, 0))),","),"")</f>
        <v/>
      </c>
      <c r="Y959" s="21" t="str">
        <f>IF(Q959&gt;0,CONCATENATE("0x",(DEC2HEX(IF(P959&lt;&gt;"",VLOOKUP(P959,Notes!$A$2:$B$37,2,FALSE)*1024,0) + Q959*16 + IF(R959="",7,R959)*2 + IF(S959&gt;0, 1, 0))),","),"")</f>
        <v/>
      </c>
    </row>
    <row r="960" spans="2:25" x14ac:dyDescent="0.25">
      <c r="F960" s="18">
        <f t="shared" si="84"/>
        <v>0</v>
      </c>
      <c r="G960" s="1" t="str">
        <f t="shared" si="87"/>
        <v/>
      </c>
      <c r="M960" s="18">
        <f t="shared" si="85"/>
        <v>0</v>
      </c>
      <c r="N960" s="1" t="str">
        <f t="shared" si="88"/>
        <v/>
      </c>
      <c r="T960" s="18">
        <f t="shared" si="86"/>
        <v>0</v>
      </c>
      <c r="U960" s="1" t="str">
        <f t="shared" si="89"/>
        <v/>
      </c>
      <c r="W960" s="21" t="str">
        <f>IF(C960&gt;0,CONCATENATE("0x",(DEC2HEX(IF(B960&lt;&gt;"",VLOOKUP(B960,Notes!$A$2:$B$37,2,FALSE)*1024,0) + C960*16 + IF(D960="",7,D960)*2 + IF(E960&gt;0, 1, 0))),","),"")</f>
        <v/>
      </c>
      <c r="X960" s="21" t="str">
        <f>IF(J960&gt;0,CONCATENATE("0x",(DEC2HEX(IF(I960&lt;&gt;"",VLOOKUP(I960,Notes!$A$2:$B$37,2,FALSE)*1024,0) + J960*16 + IF(K960="",7,K960)*2 + IF(L960&gt;0, 1, 0))),","),"")</f>
        <v/>
      </c>
      <c r="Y960" s="21" t="str">
        <f>IF(Q960&gt;0,CONCATENATE("0x",(DEC2HEX(IF(P960&lt;&gt;"",VLOOKUP(P960,Notes!$A$2:$B$37,2,FALSE)*1024,0) + Q960*16 + IF(R960="",7,R960)*2 + IF(S960&gt;0, 1, 0))),","),"")</f>
        <v/>
      </c>
    </row>
    <row r="961" spans="1:25" ht="16.5" thickBot="1" x14ac:dyDescent="0.3">
      <c r="B961" s="15"/>
      <c r="C961" s="16"/>
      <c r="D961" s="16"/>
      <c r="E961" s="17"/>
      <c r="F961" s="18">
        <f t="shared" si="84"/>
        <v>0</v>
      </c>
      <c r="G961" s="1" t="str">
        <f t="shared" si="87"/>
        <v/>
      </c>
      <c r="I961" s="15"/>
      <c r="J961" s="16"/>
      <c r="K961" s="16"/>
      <c r="L961" s="17"/>
      <c r="M961" s="18">
        <f t="shared" si="85"/>
        <v>0</v>
      </c>
      <c r="N961" s="1" t="str">
        <f t="shared" si="88"/>
        <v/>
      </c>
      <c r="P961" s="15"/>
      <c r="Q961" s="16"/>
      <c r="R961" s="16"/>
      <c r="S961" s="17"/>
      <c r="T961" s="18">
        <f t="shared" si="86"/>
        <v>0</v>
      </c>
      <c r="U961" s="1" t="str">
        <f t="shared" si="89"/>
        <v/>
      </c>
      <c r="W961" s="21" t="str">
        <f>IF(C961&gt;0,CONCATENATE("0x",(DEC2HEX(IF(B961&lt;&gt;"",VLOOKUP(B961,Notes!$A$2:$B$37,2,FALSE)*1024,0) + C961*16 + IF(D961="",7,D961)*2 + IF(E961&gt;0, 1, 0))),","),"")</f>
        <v/>
      </c>
      <c r="X961" s="21" t="str">
        <f>IF(J961&gt;0,CONCATENATE("0x",(DEC2HEX(IF(I961&lt;&gt;"",VLOOKUP(I961,Notes!$A$2:$B$37,2,FALSE)*1024,0) + J961*16 + IF(K961="",7,K961)*2 + IF(L961&gt;0, 1, 0))),","),"")</f>
        <v/>
      </c>
      <c r="Y961" s="21" t="str">
        <f>IF(Q961&gt;0,CONCATENATE("0x",(DEC2HEX(IF(P961&lt;&gt;"",VLOOKUP(P961,Notes!$A$2:$B$37,2,FALSE)*1024,0) + Q961*16 + IF(R961="",7,R961)*2 + IF(S961&gt;0, 1, 0))),","),"")</f>
        <v/>
      </c>
    </row>
    <row r="962" spans="1:25" ht="16.5" thickTop="1" x14ac:dyDescent="0.25">
      <c r="A962" s="1">
        <v>31</v>
      </c>
      <c r="F962" s="18">
        <f t="shared" si="84"/>
        <v>0</v>
      </c>
      <c r="G962" s="1" t="str">
        <f t="shared" si="87"/>
        <v/>
      </c>
      <c r="M962" s="18">
        <f t="shared" si="85"/>
        <v>0</v>
      </c>
      <c r="N962" s="1" t="str">
        <f t="shared" si="88"/>
        <v/>
      </c>
      <c r="T962" s="18">
        <f t="shared" si="86"/>
        <v>0</v>
      </c>
      <c r="U962" s="1" t="str">
        <f t="shared" si="89"/>
        <v/>
      </c>
      <c r="W962" s="21" t="str">
        <f>IF(C962&gt;0,CONCATENATE("0x",(DEC2HEX(IF(B962&lt;&gt;"",VLOOKUP(B962,Notes!$A$2:$B$37,2,FALSE)*1024,0) + C962*16 + IF(D962="",7,D962)*2 + IF(E962&gt;0, 1, 0))),","),"")</f>
        <v/>
      </c>
      <c r="X962" s="21" t="str">
        <f>IF(J962&gt;0,CONCATENATE("0x",(DEC2HEX(IF(I962&lt;&gt;"",VLOOKUP(I962,Notes!$A$2:$B$37,2,FALSE)*1024,0) + J962*16 + IF(K962="",7,K962)*2 + IF(L962&gt;0, 1, 0))),","),"")</f>
        <v/>
      </c>
      <c r="Y962" s="21" t="str">
        <f>IF(Q962&gt;0,CONCATENATE("0x",(DEC2HEX(IF(P962&lt;&gt;"",VLOOKUP(P962,Notes!$A$2:$B$37,2,FALSE)*1024,0) + Q962*16 + IF(R962="",7,R962)*2 + IF(S962&gt;0, 1, 0))),","),"")</f>
        <v/>
      </c>
    </row>
    <row r="963" spans="1:25" x14ac:dyDescent="0.25">
      <c r="F963" s="18">
        <f t="shared" ref="F963:F1026" si="90">IF(C963&gt;0, C963, MAX(F962-1,0))</f>
        <v>0</v>
      </c>
      <c r="G963" s="1" t="str">
        <f t="shared" si="87"/>
        <v/>
      </c>
      <c r="M963" s="18">
        <f t="shared" ref="M963:M1026" si="91">IF(J963&gt;0, J963, MAX(M962-1,0))</f>
        <v>0</v>
      </c>
      <c r="N963" s="1" t="str">
        <f t="shared" si="88"/>
        <v/>
      </c>
      <c r="T963" s="18">
        <f t="shared" ref="T963:T1026" si="92">IF(Q963&gt;0, Q963, MAX(T962-1,0))</f>
        <v>0</v>
      </c>
      <c r="U963" s="1" t="str">
        <f t="shared" si="89"/>
        <v/>
      </c>
      <c r="W963" s="21" t="str">
        <f>IF(C963&gt;0,CONCATENATE("0x",(DEC2HEX(IF(B963&lt;&gt;"",VLOOKUP(B963,Notes!$A$2:$B$37,2,FALSE)*1024,0) + C963*16 + IF(D963="",7,D963)*2 + IF(E963&gt;0, 1, 0))),","),"")</f>
        <v/>
      </c>
      <c r="X963" s="21" t="str">
        <f>IF(J963&gt;0,CONCATENATE("0x",(DEC2HEX(IF(I963&lt;&gt;"",VLOOKUP(I963,Notes!$A$2:$B$37,2,FALSE)*1024,0) + J963*16 + IF(K963="",7,K963)*2 + IF(L963&gt;0, 1, 0))),","),"")</f>
        <v/>
      </c>
      <c r="Y963" s="21" t="str">
        <f>IF(Q963&gt;0,CONCATENATE("0x",(DEC2HEX(IF(P963&lt;&gt;"",VLOOKUP(P963,Notes!$A$2:$B$37,2,FALSE)*1024,0) + Q963*16 + IF(R963="",7,R963)*2 + IF(S963&gt;0, 1, 0))),","),"")</f>
        <v/>
      </c>
    </row>
    <row r="964" spans="1:25" x14ac:dyDescent="0.25">
      <c r="F964" s="18">
        <f t="shared" si="90"/>
        <v>0</v>
      </c>
      <c r="G964" s="1" t="str">
        <f t="shared" ref="G964:G1027" si="93">IF(AND(F963&gt;1,C964&gt;0), "OVERLAPPING","")</f>
        <v/>
      </c>
      <c r="M964" s="18">
        <f t="shared" si="91"/>
        <v>0</v>
      </c>
      <c r="N964" s="1" t="str">
        <f t="shared" ref="N964:N1027" si="94">IF(AND(M963&gt;1,J964&gt;0), "OVERLAPPING","")</f>
        <v/>
      </c>
      <c r="T964" s="18">
        <f t="shared" si="92"/>
        <v>0</v>
      </c>
      <c r="U964" s="1" t="str">
        <f t="shared" ref="U964:U1027" si="95">IF(AND(T963&gt;1,Q964&gt;0), "OVERLAPPING","")</f>
        <v/>
      </c>
      <c r="W964" s="21" t="str">
        <f>IF(C964&gt;0,CONCATENATE("0x",(DEC2HEX(IF(B964&lt;&gt;"",VLOOKUP(B964,Notes!$A$2:$B$37,2,FALSE)*1024,0) + C964*16 + IF(D964="",7,D964)*2 + IF(E964&gt;0, 1, 0))),","),"")</f>
        <v/>
      </c>
      <c r="X964" s="21" t="str">
        <f>IF(J964&gt;0,CONCATENATE("0x",(DEC2HEX(IF(I964&lt;&gt;"",VLOOKUP(I964,Notes!$A$2:$B$37,2,FALSE)*1024,0) + J964*16 + IF(K964="",7,K964)*2 + IF(L964&gt;0, 1, 0))),","),"")</f>
        <v/>
      </c>
      <c r="Y964" s="21" t="str">
        <f>IF(Q964&gt;0,CONCATENATE("0x",(DEC2HEX(IF(P964&lt;&gt;"",VLOOKUP(P964,Notes!$A$2:$B$37,2,FALSE)*1024,0) + Q964*16 + IF(R964="",7,R964)*2 + IF(S964&gt;0, 1, 0))),","),"")</f>
        <v/>
      </c>
    </row>
    <row r="965" spans="1:25" x14ac:dyDescent="0.25">
      <c r="F965" s="18">
        <f t="shared" si="90"/>
        <v>0</v>
      </c>
      <c r="G965" s="1" t="str">
        <f t="shared" si="93"/>
        <v/>
      </c>
      <c r="M965" s="18">
        <f t="shared" si="91"/>
        <v>0</v>
      </c>
      <c r="N965" s="1" t="str">
        <f t="shared" si="94"/>
        <v/>
      </c>
      <c r="T965" s="18">
        <f t="shared" si="92"/>
        <v>0</v>
      </c>
      <c r="U965" s="1" t="str">
        <f t="shared" si="95"/>
        <v/>
      </c>
      <c r="W965" s="21" t="str">
        <f>IF(C965&gt;0,CONCATENATE("0x",(DEC2HEX(IF(B965&lt;&gt;"",VLOOKUP(B965,Notes!$A$2:$B$37,2,FALSE)*1024,0) + C965*16 + IF(D965="",7,D965)*2 + IF(E965&gt;0, 1, 0))),","),"")</f>
        <v/>
      </c>
      <c r="X965" s="21" t="str">
        <f>IF(J965&gt;0,CONCATENATE("0x",(DEC2HEX(IF(I965&lt;&gt;"",VLOOKUP(I965,Notes!$A$2:$B$37,2,FALSE)*1024,0) + J965*16 + IF(K965="",7,K965)*2 + IF(L965&gt;0, 1, 0))),","),"")</f>
        <v/>
      </c>
      <c r="Y965" s="21" t="str">
        <f>IF(Q965&gt;0,CONCATENATE("0x",(DEC2HEX(IF(P965&lt;&gt;"",VLOOKUP(P965,Notes!$A$2:$B$37,2,FALSE)*1024,0) + Q965*16 + IF(R965="",7,R965)*2 + IF(S965&gt;0, 1, 0))),","),"")</f>
        <v/>
      </c>
    </row>
    <row r="966" spans="1:25" x14ac:dyDescent="0.25">
      <c r="F966" s="18">
        <f t="shared" si="90"/>
        <v>0</v>
      </c>
      <c r="G966" s="1" t="str">
        <f t="shared" si="93"/>
        <v/>
      </c>
      <c r="M966" s="18">
        <f t="shared" si="91"/>
        <v>0</v>
      </c>
      <c r="N966" s="1" t="str">
        <f t="shared" si="94"/>
        <v/>
      </c>
      <c r="T966" s="18">
        <f t="shared" si="92"/>
        <v>0</v>
      </c>
      <c r="U966" s="1" t="str">
        <f t="shared" si="95"/>
        <v/>
      </c>
      <c r="W966" s="21" t="str">
        <f>IF(C966&gt;0,CONCATENATE("0x",(DEC2HEX(IF(B966&lt;&gt;"",VLOOKUP(B966,Notes!$A$2:$B$37,2,FALSE)*1024,0) + C966*16 + IF(D966="",7,D966)*2 + IF(E966&gt;0, 1, 0))),","),"")</f>
        <v/>
      </c>
      <c r="X966" s="21" t="str">
        <f>IF(J966&gt;0,CONCATENATE("0x",(DEC2HEX(IF(I966&lt;&gt;"",VLOOKUP(I966,Notes!$A$2:$B$37,2,FALSE)*1024,0) + J966*16 + IF(K966="",7,K966)*2 + IF(L966&gt;0, 1, 0))),","),"")</f>
        <v/>
      </c>
      <c r="Y966" s="21" t="str">
        <f>IF(Q966&gt;0,CONCATENATE("0x",(DEC2HEX(IF(P966&lt;&gt;"",VLOOKUP(P966,Notes!$A$2:$B$37,2,FALSE)*1024,0) + Q966*16 + IF(R966="",7,R966)*2 + IF(S966&gt;0, 1, 0))),","),"")</f>
        <v/>
      </c>
    </row>
    <row r="967" spans="1:25" x14ac:dyDescent="0.25">
      <c r="F967" s="18">
        <f t="shared" si="90"/>
        <v>0</v>
      </c>
      <c r="G967" s="1" t="str">
        <f t="shared" si="93"/>
        <v/>
      </c>
      <c r="M967" s="18">
        <f t="shared" si="91"/>
        <v>0</v>
      </c>
      <c r="N967" s="1" t="str">
        <f t="shared" si="94"/>
        <v/>
      </c>
      <c r="T967" s="18">
        <f t="shared" si="92"/>
        <v>0</v>
      </c>
      <c r="U967" s="1" t="str">
        <f t="shared" si="95"/>
        <v/>
      </c>
      <c r="W967" s="21" t="str">
        <f>IF(C967&gt;0,CONCATENATE("0x",(DEC2HEX(IF(B967&lt;&gt;"",VLOOKUP(B967,Notes!$A$2:$B$37,2,FALSE)*1024,0) + C967*16 + IF(D967="",7,D967)*2 + IF(E967&gt;0, 1, 0))),","),"")</f>
        <v/>
      </c>
      <c r="X967" s="21" t="str">
        <f>IF(J967&gt;0,CONCATENATE("0x",(DEC2HEX(IF(I967&lt;&gt;"",VLOOKUP(I967,Notes!$A$2:$B$37,2,FALSE)*1024,0) + J967*16 + IF(K967="",7,K967)*2 + IF(L967&gt;0, 1, 0))),","),"")</f>
        <v/>
      </c>
      <c r="Y967" s="21" t="str">
        <f>IF(Q967&gt;0,CONCATENATE("0x",(DEC2HEX(IF(P967&lt;&gt;"",VLOOKUP(P967,Notes!$A$2:$B$37,2,FALSE)*1024,0) + Q967*16 + IF(R967="",7,R967)*2 + IF(S967&gt;0, 1, 0))),","),"")</f>
        <v/>
      </c>
    </row>
    <row r="968" spans="1:25" x14ac:dyDescent="0.25">
      <c r="F968" s="18">
        <f t="shared" si="90"/>
        <v>0</v>
      </c>
      <c r="G968" s="1" t="str">
        <f t="shared" si="93"/>
        <v/>
      </c>
      <c r="M968" s="18">
        <f t="shared" si="91"/>
        <v>0</v>
      </c>
      <c r="N968" s="1" t="str">
        <f t="shared" si="94"/>
        <v/>
      </c>
      <c r="T968" s="18">
        <f t="shared" si="92"/>
        <v>0</v>
      </c>
      <c r="U968" s="1" t="str">
        <f t="shared" si="95"/>
        <v/>
      </c>
      <c r="W968" s="21" t="str">
        <f>IF(C968&gt;0,CONCATENATE("0x",(DEC2HEX(IF(B968&lt;&gt;"",VLOOKUP(B968,Notes!$A$2:$B$37,2,FALSE)*1024,0) + C968*16 + IF(D968="",7,D968)*2 + IF(E968&gt;0, 1, 0))),","),"")</f>
        <v/>
      </c>
      <c r="X968" s="21" t="str">
        <f>IF(J968&gt;0,CONCATENATE("0x",(DEC2HEX(IF(I968&lt;&gt;"",VLOOKUP(I968,Notes!$A$2:$B$37,2,FALSE)*1024,0) + J968*16 + IF(K968="",7,K968)*2 + IF(L968&gt;0, 1, 0))),","),"")</f>
        <v/>
      </c>
      <c r="Y968" s="21" t="str">
        <f>IF(Q968&gt;0,CONCATENATE("0x",(DEC2HEX(IF(P968&lt;&gt;"",VLOOKUP(P968,Notes!$A$2:$B$37,2,FALSE)*1024,0) + Q968*16 + IF(R968="",7,R968)*2 + IF(S968&gt;0, 1, 0))),","),"")</f>
        <v/>
      </c>
    </row>
    <row r="969" spans="1:25" x14ac:dyDescent="0.25">
      <c r="B969" s="12"/>
      <c r="C969" s="13"/>
      <c r="D969" s="13"/>
      <c r="E969" s="14"/>
      <c r="F969" s="18">
        <f t="shared" si="90"/>
        <v>0</v>
      </c>
      <c r="G969" s="1" t="str">
        <f t="shared" si="93"/>
        <v/>
      </c>
      <c r="I969" s="12"/>
      <c r="J969" s="13"/>
      <c r="K969" s="13"/>
      <c r="L969" s="14"/>
      <c r="M969" s="18">
        <f t="shared" si="91"/>
        <v>0</v>
      </c>
      <c r="N969" s="1" t="str">
        <f t="shared" si="94"/>
        <v/>
      </c>
      <c r="P969" s="12"/>
      <c r="Q969" s="13"/>
      <c r="R969" s="13"/>
      <c r="S969" s="14"/>
      <c r="T969" s="18">
        <f t="shared" si="92"/>
        <v>0</v>
      </c>
      <c r="U969" s="1" t="str">
        <f t="shared" si="95"/>
        <v/>
      </c>
      <c r="W969" s="21" t="str">
        <f>IF(C969&gt;0,CONCATENATE("0x",(DEC2HEX(IF(B969&lt;&gt;"",VLOOKUP(B969,Notes!$A$2:$B$37,2,FALSE)*1024,0) + C969*16 + IF(D969="",7,D969)*2 + IF(E969&gt;0, 1, 0))),","),"")</f>
        <v/>
      </c>
      <c r="X969" s="21" t="str">
        <f>IF(J969&gt;0,CONCATENATE("0x",(DEC2HEX(IF(I969&lt;&gt;"",VLOOKUP(I969,Notes!$A$2:$B$37,2,FALSE)*1024,0) + J969*16 + IF(K969="",7,K969)*2 + IF(L969&gt;0, 1, 0))),","),"")</f>
        <v/>
      </c>
      <c r="Y969" s="21" t="str">
        <f>IF(Q969&gt;0,CONCATENATE("0x",(DEC2HEX(IF(P969&lt;&gt;"",VLOOKUP(P969,Notes!$A$2:$B$37,2,FALSE)*1024,0) + Q969*16 + IF(R969="",7,R969)*2 + IF(S969&gt;0, 1, 0))),","),"")</f>
        <v/>
      </c>
    </row>
    <row r="970" spans="1:25" x14ac:dyDescent="0.25">
      <c r="F970" s="18">
        <f t="shared" si="90"/>
        <v>0</v>
      </c>
      <c r="G970" s="1" t="str">
        <f t="shared" si="93"/>
        <v/>
      </c>
      <c r="M970" s="18">
        <f t="shared" si="91"/>
        <v>0</v>
      </c>
      <c r="N970" s="1" t="str">
        <f t="shared" si="94"/>
        <v/>
      </c>
      <c r="T970" s="18">
        <f t="shared" si="92"/>
        <v>0</v>
      </c>
      <c r="U970" s="1" t="str">
        <f t="shared" si="95"/>
        <v/>
      </c>
      <c r="W970" s="21" t="str">
        <f>IF(C970&gt;0,CONCATENATE("0x",(DEC2HEX(IF(B970&lt;&gt;"",VLOOKUP(B970,Notes!$A$2:$B$37,2,FALSE)*1024,0) + C970*16 + IF(D970="",7,D970)*2 + IF(E970&gt;0, 1, 0))),","),"")</f>
        <v/>
      </c>
      <c r="X970" s="21" t="str">
        <f>IF(J970&gt;0,CONCATENATE("0x",(DEC2HEX(IF(I970&lt;&gt;"",VLOOKUP(I970,Notes!$A$2:$B$37,2,FALSE)*1024,0) + J970*16 + IF(K970="",7,K970)*2 + IF(L970&gt;0, 1, 0))),","),"")</f>
        <v/>
      </c>
      <c r="Y970" s="21" t="str">
        <f>IF(Q970&gt;0,CONCATENATE("0x",(DEC2HEX(IF(P970&lt;&gt;"",VLOOKUP(P970,Notes!$A$2:$B$37,2,FALSE)*1024,0) + Q970*16 + IF(R970="",7,R970)*2 + IF(S970&gt;0, 1, 0))),","),"")</f>
        <v/>
      </c>
    </row>
    <row r="971" spans="1:25" x14ac:dyDescent="0.25">
      <c r="F971" s="18">
        <f t="shared" si="90"/>
        <v>0</v>
      </c>
      <c r="G971" s="1" t="str">
        <f t="shared" si="93"/>
        <v/>
      </c>
      <c r="M971" s="18">
        <f t="shared" si="91"/>
        <v>0</v>
      </c>
      <c r="N971" s="1" t="str">
        <f t="shared" si="94"/>
        <v/>
      </c>
      <c r="T971" s="18">
        <f t="shared" si="92"/>
        <v>0</v>
      </c>
      <c r="U971" s="1" t="str">
        <f t="shared" si="95"/>
        <v/>
      </c>
      <c r="W971" s="21" t="str">
        <f>IF(C971&gt;0,CONCATENATE("0x",(DEC2HEX(IF(B971&lt;&gt;"",VLOOKUP(B971,Notes!$A$2:$B$37,2,FALSE)*1024,0) + C971*16 + IF(D971="",7,D971)*2 + IF(E971&gt;0, 1, 0))),","),"")</f>
        <v/>
      </c>
      <c r="X971" s="21" t="str">
        <f>IF(J971&gt;0,CONCATENATE("0x",(DEC2HEX(IF(I971&lt;&gt;"",VLOOKUP(I971,Notes!$A$2:$B$37,2,FALSE)*1024,0) + J971*16 + IF(K971="",7,K971)*2 + IF(L971&gt;0, 1, 0))),","),"")</f>
        <v/>
      </c>
      <c r="Y971" s="21" t="str">
        <f>IF(Q971&gt;0,CONCATENATE("0x",(DEC2HEX(IF(P971&lt;&gt;"",VLOOKUP(P971,Notes!$A$2:$B$37,2,FALSE)*1024,0) + Q971*16 + IF(R971="",7,R971)*2 + IF(S971&gt;0, 1, 0))),","),"")</f>
        <v/>
      </c>
    </row>
    <row r="972" spans="1:25" x14ac:dyDescent="0.25">
      <c r="F972" s="18">
        <f t="shared" si="90"/>
        <v>0</v>
      </c>
      <c r="G972" s="1" t="str">
        <f t="shared" si="93"/>
        <v/>
      </c>
      <c r="M972" s="18">
        <f t="shared" si="91"/>
        <v>0</v>
      </c>
      <c r="N972" s="1" t="str">
        <f t="shared" si="94"/>
        <v/>
      </c>
      <c r="T972" s="18">
        <f t="shared" si="92"/>
        <v>0</v>
      </c>
      <c r="U972" s="1" t="str">
        <f t="shared" si="95"/>
        <v/>
      </c>
      <c r="W972" s="21" t="str">
        <f>IF(C972&gt;0,CONCATENATE("0x",(DEC2HEX(IF(B972&lt;&gt;"",VLOOKUP(B972,Notes!$A$2:$B$37,2,FALSE)*1024,0) + C972*16 + IF(D972="",7,D972)*2 + IF(E972&gt;0, 1, 0))),","),"")</f>
        <v/>
      </c>
      <c r="X972" s="21" t="str">
        <f>IF(J972&gt;0,CONCATENATE("0x",(DEC2HEX(IF(I972&lt;&gt;"",VLOOKUP(I972,Notes!$A$2:$B$37,2,FALSE)*1024,0) + J972*16 + IF(K972="",7,K972)*2 + IF(L972&gt;0, 1, 0))),","),"")</f>
        <v/>
      </c>
      <c r="Y972" s="21" t="str">
        <f>IF(Q972&gt;0,CONCATENATE("0x",(DEC2HEX(IF(P972&lt;&gt;"",VLOOKUP(P972,Notes!$A$2:$B$37,2,FALSE)*1024,0) + Q972*16 + IF(R972="",7,R972)*2 + IF(S972&gt;0, 1, 0))),","),"")</f>
        <v/>
      </c>
    </row>
    <row r="973" spans="1:25" x14ac:dyDescent="0.25">
      <c r="F973" s="18">
        <f t="shared" si="90"/>
        <v>0</v>
      </c>
      <c r="G973" s="1" t="str">
        <f t="shared" si="93"/>
        <v/>
      </c>
      <c r="M973" s="18">
        <f t="shared" si="91"/>
        <v>0</v>
      </c>
      <c r="N973" s="1" t="str">
        <f t="shared" si="94"/>
        <v/>
      </c>
      <c r="T973" s="18">
        <f t="shared" si="92"/>
        <v>0</v>
      </c>
      <c r="U973" s="1" t="str">
        <f t="shared" si="95"/>
        <v/>
      </c>
      <c r="W973" s="21" t="str">
        <f>IF(C973&gt;0,CONCATENATE("0x",(DEC2HEX(IF(B973&lt;&gt;"",VLOOKUP(B973,Notes!$A$2:$B$37,2,FALSE)*1024,0) + C973*16 + IF(D973="",7,D973)*2 + IF(E973&gt;0, 1, 0))),","),"")</f>
        <v/>
      </c>
      <c r="X973" s="21" t="str">
        <f>IF(J973&gt;0,CONCATENATE("0x",(DEC2HEX(IF(I973&lt;&gt;"",VLOOKUP(I973,Notes!$A$2:$B$37,2,FALSE)*1024,0) + J973*16 + IF(K973="",7,K973)*2 + IF(L973&gt;0, 1, 0))),","),"")</f>
        <v/>
      </c>
      <c r="Y973" s="21" t="str">
        <f>IF(Q973&gt;0,CONCATENATE("0x",(DEC2HEX(IF(P973&lt;&gt;"",VLOOKUP(P973,Notes!$A$2:$B$37,2,FALSE)*1024,0) + Q973*16 + IF(R973="",7,R973)*2 + IF(S973&gt;0, 1, 0))),","),"")</f>
        <v/>
      </c>
    </row>
    <row r="974" spans="1:25" x14ac:dyDescent="0.25">
      <c r="F974" s="18">
        <f t="shared" si="90"/>
        <v>0</v>
      </c>
      <c r="G974" s="1" t="str">
        <f t="shared" si="93"/>
        <v/>
      </c>
      <c r="M974" s="18">
        <f t="shared" si="91"/>
        <v>0</v>
      </c>
      <c r="N974" s="1" t="str">
        <f t="shared" si="94"/>
        <v/>
      </c>
      <c r="T974" s="18">
        <f t="shared" si="92"/>
        <v>0</v>
      </c>
      <c r="U974" s="1" t="str">
        <f t="shared" si="95"/>
        <v/>
      </c>
      <c r="W974" s="21" t="str">
        <f>IF(C974&gt;0,CONCATENATE("0x",(DEC2HEX(IF(B974&lt;&gt;"",VLOOKUP(B974,Notes!$A$2:$B$37,2,FALSE)*1024,0) + C974*16 + IF(D974="",7,D974)*2 + IF(E974&gt;0, 1, 0))),","),"")</f>
        <v/>
      </c>
      <c r="X974" s="21" t="str">
        <f>IF(J974&gt;0,CONCATENATE("0x",(DEC2HEX(IF(I974&lt;&gt;"",VLOOKUP(I974,Notes!$A$2:$B$37,2,FALSE)*1024,0) + J974*16 + IF(K974="",7,K974)*2 + IF(L974&gt;0, 1, 0))),","),"")</f>
        <v/>
      </c>
      <c r="Y974" s="21" t="str">
        <f>IF(Q974&gt;0,CONCATENATE("0x",(DEC2HEX(IF(P974&lt;&gt;"",VLOOKUP(P974,Notes!$A$2:$B$37,2,FALSE)*1024,0) + Q974*16 + IF(R974="",7,R974)*2 + IF(S974&gt;0, 1, 0))),","),"")</f>
        <v/>
      </c>
    </row>
    <row r="975" spans="1:25" x14ac:dyDescent="0.25">
      <c r="F975" s="18">
        <f t="shared" si="90"/>
        <v>0</v>
      </c>
      <c r="G975" s="1" t="str">
        <f t="shared" si="93"/>
        <v/>
      </c>
      <c r="M975" s="18">
        <f t="shared" si="91"/>
        <v>0</v>
      </c>
      <c r="N975" s="1" t="str">
        <f t="shared" si="94"/>
        <v/>
      </c>
      <c r="T975" s="18">
        <f t="shared" si="92"/>
        <v>0</v>
      </c>
      <c r="U975" s="1" t="str">
        <f t="shared" si="95"/>
        <v/>
      </c>
      <c r="W975" s="21" t="str">
        <f>IF(C975&gt;0,CONCATENATE("0x",(DEC2HEX(IF(B975&lt;&gt;"",VLOOKUP(B975,Notes!$A$2:$B$37,2,FALSE)*1024,0) + C975*16 + IF(D975="",7,D975)*2 + IF(E975&gt;0, 1, 0))),","),"")</f>
        <v/>
      </c>
      <c r="X975" s="21" t="str">
        <f>IF(J975&gt;0,CONCATENATE("0x",(DEC2HEX(IF(I975&lt;&gt;"",VLOOKUP(I975,Notes!$A$2:$B$37,2,FALSE)*1024,0) + J975*16 + IF(K975="",7,K975)*2 + IF(L975&gt;0, 1, 0))),","),"")</f>
        <v/>
      </c>
      <c r="Y975" s="21" t="str">
        <f>IF(Q975&gt;0,CONCATENATE("0x",(DEC2HEX(IF(P975&lt;&gt;"",VLOOKUP(P975,Notes!$A$2:$B$37,2,FALSE)*1024,0) + Q975*16 + IF(R975="",7,R975)*2 + IF(S975&gt;0, 1, 0))),","),"")</f>
        <v/>
      </c>
    </row>
    <row r="976" spans="1:25" x14ac:dyDescent="0.25">
      <c r="F976" s="18">
        <f t="shared" si="90"/>
        <v>0</v>
      </c>
      <c r="G976" s="1" t="str">
        <f t="shared" si="93"/>
        <v/>
      </c>
      <c r="M976" s="18">
        <f t="shared" si="91"/>
        <v>0</v>
      </c>
      <c r="N976" s="1" t="str">
        <f t="shared" si="94"/>
        <v/>
      </c>
      <c r="T976" s="18">
        <f t="shared" si="92"/>
        <v>0</v>
      </c>
      <c r="U976" s="1" t="str">
        <f t="shared" si="95"/>
        <v/>
      </c>
      <c r="W976" s="21" t="str">
        <f>IF(C976&gt;0,CONCATENATE("0x",(DEC2HEX(IF(B976&lt;&gt;"",VLOOKUP(B976,Notes!$A$2:$B$37,2,FALSE)*1024,0) + C976*16 + IF(D976="",7,D976)*2 + IF(E976&gt;0, 1, 0))),","),"")</f>
        <v/>
      </c>
      <c r="X976" s="21" t="str">
        <f>IF(J976&gt;0,CONCATENATE("0x",(DEC2HEX(IF(I976&lt;&gt;"",VLOOKUP(I976,Notes!$A$2:$B$37,2,FALSE)*1024,0) + J976*16 + IF(K976="",7,K976)*2 + IF(L976&gt;0, 1, 0))),","),"")</f>
        <v/>
      </c>
      <c r="Y976" s="21" t="str">
        <f>IF(Q976&gt;0,CONCATENATE("0x",(DEC2HEX(IF(P976&lt;&gt;"",VLOOKUP(P976,Notes!$A$2:$B$37,2,FALSE)*1024,0) + Q976*16 + IF(R976="",7,R976)*2 + IF(S976&gt;0, 1, 0))),","),"")</f>
        <v/>
      </c>
    </row>
    <row r="977" spans="2:25" x14ac:dyDescent="0.25">
      <c r="B977" s="12"/>
      <c r="C977" s="13"/>
      <c r="D977" s="13"/>
      <c r="E977" s="14"/>
      <c r="F977" s="18">
        <f t="shared" si="90"/>
        <v>0</v>
      </c>
      <c r="G977" s="1" t="str">
        <f t="shared" si="93"/>
        <v/>
      </c>
      <c r="I977" s="12"/>
      <c r="J977" s="13"/>
      <c r="K977" s="13"/>
      <c r="L977" s="14"/>
      <c r="M977" s="18">
        <f t="shared" si="91"/>
        <v>0</v>
      </c>
      <c r="N977" s="1" t="str">
        <f t="shared" si="94"/>
        <v/>
      </c>
      <c r="P977" s="12"/>
      <c r="Q977" s="13"/>
      <c r="R977" s="13"/>
      <c r="S977" s="14"/>
      <c r="T977" s="18">
        <f t="shared" si="92"/>
        <v>0</v>
      </c>
      <c r="U977" s="1" t="str">
        <f t="shared" si="95"/>
        <v/>
      </c>
      <c r="W977" s="21" t="str">
        <f>IF(C977&gt;0,CONCATENATE("0x",(DEC2HEX(IF(B977&lt;&gt;"",VLOOKUP(B977,Notes!$A$2:$B$37,2,FALSE)*1024,0) + C977*16 + IF(D977="",7,D977)*2 + IF(E977&gt;0, 1, 0))),","),"")</f>
        <v/>
      </c>
      <c r="X977" s="21" t="str">
        <f>IF(J977&gt;0,CONCATENATE("0x",(DEC2HEX(IF(I977&lt;&gt;"",VLOOKUP(I977,Notes!$A$2:$B$37,2,FALSE)*1024,0) + J977*16 + IF(K977="",7,K977)*2 + IF(L977&gt;0, 1, 0))),","),"")</f>
        <v/>
      </c>
      <c r="Y977" s="21" t="str">
        <f>IF(Q977&gt;0,CONCATENATE("0x",(DEC2HEX(IF(P977&lt;&gt;"",VLOOKUP(P977,Notes!$A$2:$B$37,2,FALSE)*1024,0) + Q977*16 + IF(R977="",7,R977)*2 + IF(S977&gt;0, 1, 0))),","),"")</f>
        <v/>
      </c>
    </row>
    <row r="978" spans="2:25" x14ac:dyDescent="0.25">
      <c r="F978" s="18">
        <f t="shared" si="90"/>
        <v>0</v>
      </c>
      <c r="G978" s="1" t="str">
        <f t="shared" si="93"/>
        <v/>
      </c>
      <c r="M978" s="18">
        <f t="shared" si="91"/>
        <v>0</v>
      </c>
      <c r="N978" s="1" t="str">
        <f t="shared" si="94"/>
        <v/>
      </c>
      <c r="T978" s="18">
        <f t="shared" si="92"/>
        <v>0</v>
      </c>
      <c r="U978" s="1" t="str">
        <f t="shared" si="95"/>
        <v/>
      </c>
      <c r="W978" s="21" t="str">
        <f>IF(C978&gt;0,CONCATENATE("0x",(DEC2HEX(IF(B978&lt;&gt;"",VLOOKUP(B978,Notes!$A$2:$B$37,2,FALSE)*1024,0) + C978*16 + IF(D978="",7,D978)*2 + IF(E978&gt;0, 1, 0))),","),"")</f>
        <v/>
      </c>
      <c r="X978" s="21" t="str">
        <f>IF(J978&gt;0,CONCATENATE("0x",(DEC2HEX(IF(I978&lt;&gt;"",VLOOKUP(I978,Notes!$A$2:$B$37,2,FALSE)*1024,0) + J978*16 + IF(K978="",7,K978)*2 + IF(L978&gt;0, 1, 0))),","),"")</f>
        <v/>
      </c>
      <c r="Y978" s="21" t="str">
        <f>IF(Q978&gt;0,CONCATENATE("0x",(DEC2HEX(IF(P978&lt;&gt;"",VLOOKUP(P978,Notes!$A$2:$B$37,2,FALSE)*1024,0) + Q978*16 + IF(R978="",7,R978)*2 + IF(S978&gt;0, 1, 0))),","),"")</f>
        <v/>
      </c>
    </row>
    <row r="979" spans="2:25" x14ac:dyDescent="0.25">
      <c r="F979" s="18">
        <f t="shared" si="90"/>
        <v>0</v>
      </c>
      <c r="G979" s="1" t="str">
        <f t="shared" si="93"/>
        <v/>
      </c>
      <c r="M979" s="18">
        <f t="shared" si="91"/>
        <v>0</v>
      </c>
      <c r="N979" s="1" t="str">
        <f t="shared" si="94"/>
        <v/>
      </c>
      <c r="T979" s="18">
        <f t="shared" si="92"/>
        <v>0</v>
      </c>
      <c r="U979" s="1" t="str">
        <f t="shared" si="95"/>
        <v/>
      </c>
      <c r="W979" s="21" t="str">
        <f>IF(C979&gt;0,CONCATENATE("0x",(DEC2HEX(IF(B979&lt;&gt;"",VLOOKUP(B979,Notes!$A$2:$B$37,2,FALSE)*1024,0) + C979*16 + IF(D979="",7,D979)*2 + IF(E979&gt;0, 1, 0))),","),"")</f>
        <v/>
      </c>
      <c r="X979" s="21" t="str">
        <f>IF(J979&gt;0,CONCATENATE("0x",(DEC2HEX(IF(I979&lt;&gt;"",VLOOKUP(I979,Notes!$A$2:$B$37,2,FALSE)*1024,0) + J979*16 + IF(K979="",7,K979)*2 + IF(L979&gt;0, 1, 0))),","),"")</f>
        <v/>
      </c>
      <c r="Y979" s="21" t="str">
        <f>IF(Q979&gt;0,CONCATENATE("0x",(DEC2HEX(IF(P979&lt;&gt;"",VLOOKUP(P979,Notes!$A$2:$B$37,2,FALSE)*1024,0) + Q979*16 + IF(R979="",7,R979)*2 + IF(S979&gt;0, 1, 0))),","),"")</f>
        <v/>
      </c>
    </row>
    <row r="980" spans="2:25" x14ac:dyDescent="0.25">
      <c r="F980" s="18">
        <f t="shared" si="90"/>
        <v>0</v>
      </c>
      <c r="G980" s="1" t="str">
        <f t="shared" si="93"/>
        <v/>
      </c>
      <c r="M980" s="18">
        <f t="shared" si="91"/>
        <v>0</v>
      </c>
      <c r="N980" s="1" t="str">
        <f t="shared" si="94"/>
        <v/>
      </c>
      <c r="T980" s="18">
        <f t="shared" si="92"/>
        <v>0</v>
      </c>
      <c r="U980" s="1" t="str">
        <f t="shared" si="95"/>
        <v/>
      </c>
      <c r="W980" s="21" t="str">
        <f>IF(C980&gt;0,CONCATENATE("0x",(DEC2HEX(IF(B980&lt;&gt;"",VLOOKUP(B980,Notes!$A$2:$B$37,2,FALSE)*1024,0) + C980*16 + IF(D980="",7,D980)*2 + IF(E980&gt;0, 1, 0))),","),"")</f>
        <v/>
      </c>
      <c r="X980" s="21" t="str">
        <f>IF(J980&gt;0,CONCATENATE("0x",(DEC2HEX(IF(I980&lt;&gt;"",VLOOKUP(I980,Notes!$A$2:$B$37,2,FALSE)*1024,0) + J980*16 + IF(K980="",7,K980)*2 + IF(L980&gt;0, 1, 0))),","),"")</f>
        <v/>
      </c>
      <c r="Y980" s="21" t="str">
        <f>IF(Q980&gt;0,CONCATENATE("0x",(DEC2HEX(IF(P980&lt;&gt;"",VLOOKUP(P980,Notes!$A$2:$B$37,2,FALSE)*1024,0) + Q980*16 + IF(R980="",7,R980)*2 + IF(S980&gt;0, 1, 0))),","),"")</f>
        <v/>
      </c>
    </row>
    <row r="981" spans="2:25" x14ac:dyDescent="0.25">
      <c r="F981" s="18">
        <f t="shared" si="90"/>
        <v>0</v>
      </c>
      <c r="G981" s="1" t="str">
        <f t="shared" si="93"/>
        <v/>
      </c>
      <c r="M981" s="18">
        <f t="shared" si="91"/>
        <v>0</v>
      </c>
      <c r="N981" s="1" t="str">
        <f t="shared" si="94"/>
        <v/>
      </c>
      <c r="T981" s="18">
        <f t="shared" si="92"/>
        <v>0</v>
      </c>
      <c r="U981" s="1" t="str">
        <f t="shared" si="95"/>
        <v/>
      </c>
      <c r="W981" s="21" t="str">
        <f>IF(C981&gt;0,CONCATENATE("0x",(DEC2HEX(IF(B981&lt;&gt;"",VLOOKUP(B981,Notes!$A$2:$B$37,2,FALSE)*1024,0) + C981*16 + IF(D981="",7,D981)*2 + IF(E981&gt;0, 1, 0))),","),"")</f>
        <v/>
      </c>
      <c r="X981" s="21" t="str">
        <f>IF(J981&gt;0,CONCATENATE("0x",(DEC2HEX(IF(I981&lt;&gt;"",VLOOKUP(I981,Notes!$A$2:$B$37,2,FALSE)*1024,0) + J981*16 + IF(K981="",7,K981)*2 + IF(L981&gt;0, 1, 0))),","),"")</f>
        <v/>
      </c>
      <c r="Y981" s="21" t="str">
        <f>IF(Q981&gt;0,CONCATENATE("0x",(DEC2HEX(IF(P981&lt;&gt;"",VLOOKUP(P981,Notes!$A$2:$B$37,2,FALSE)*1024,0) + Q981*16 + IF(R981="",7,R981)*2 + IF(S981&gt;0, 1, 0))),","),"")</f>
        <v/>
      </c>
    </row>
    <row r="982" spans="2:25" x14ac:dyDescent="0.25">
      <c r="F982" s="18">
        <f t="shared" si="90"/>
        <v>0</v>
      </c>
      <c r="G982" s="1" t="str">
        <f t="shared" si="93"/>
        <v/>
      </c>
      <c r="M982" s="18">
        <f t="shared" si="91"/>
        <v>0</v>
      </c>
      <c r="N982" s="1" t="str">
        <f t="shared" si="94"/>
        <v/>
      </c>
      <c r="T982" s="18">
        <f t="shared" si="92"/>
        <v>0</v>
      </c>
      <c r="U982" s="1" t="str">
        <f t="shared" si="95"/>
        <v/>
      </c>
      <c r="W982" s="21" t="str">
        <f>IF(C982&gt;0,CONCATENATE("0x",(DEC2HEX(IF(B982&lt;&gt;"",VLOOKUP(B982,Notes!$A$2:$B$37,2,FALSE)*1024,0) + C982*16 + IF(D982="",7,D982)*2 + IF(E982&gt;0, 1, 0))),","),"")</f>
        <v/>
      </c>
      <c r="X982" s="21" t="str">
        <f>IF(J982&gt;0,CONCATENATE("0x",(DEC2HEX(IF(I982&lt;&gt;"",VLOOKUP(I982,Notes!$A$2:$B$37,2,FALSE)*1024,0) + J982*16 + IF(K982="",7,K982)*2 + IF(L982&gt;0, 1, 0))),","),"")</f>
        <v/>
      </c>
      <c r="Y982" s="21" t="str">
        <f>IF(Q982&gt;0,CONCATENATE("0x",(DEC2HEX(IF(P982&lt;&gt;"",VLOOKUP(P982,Notes!$A$2:$B$37,2,FALSE)*1024,0) + Q982*16 + IF(R982="",7,R982)*2 + IF(S982&gt;0, 1, 0))),","),"")</f>
        <v/>
      </c>
    </row>
    <row r="983" spans="2:25" x14ac:dyDescent="0.25">
      <c r="F983" s="18">
        <f t="shared" si="90"/>
        <v>0</v>
      </c>
      <c r="G983" s="1" t="str">
        <f t="shared" si="93"/>
        <v/>
      </c>
      <c r="M983" s="18">
        <f t="shared" si="91"/>
        <v>0</v>
      </c>
      <c r="N983" s="1" t="str">
        <f t="shared" si="94"/>
        <v/>
      </c>
      <c r="T983" s="18">
        <f t="shared" si="92"/>
        <v>0</v>
      </c>
      <c r="U983" s="1" t="str">
        <f t="shared" si="95"/>
        <v/>
      </c>
      <c r="W983" s="21" t="str">
        <f>IF(C983&gt;0,CONCATENATE("0x",(DEC2HEX(IF(B983&lt;&gt;"",VLOOKUP(B983,Notes!$A$2:$B$37,2,FALSE)*1024,0) + C983*16 + IF(D983="",7,D983)*2 + IF(E983&gt;0, 1, 0))),","),"")</f>
        <v/>
      </c>
      <c r="X983" s="21" t="str">
        <f>IF(J983&gt;0,CONCATENATE("0x",(DEC2HEX(IF(I983&lt;&gt;"",VLOOKUP(I983,Notes!$A$2:$B$37,2,FALSE)*1024,0) + J983*16 + IF(K983="",7,K983)*2 + IF(L983&gt;0, 1, 0))),","),"")</f>
        <v/>
      </c>
      <c r="Y983" s="21" t="str">
        <f>IF(Q983&gt;0,CONCATENATE("0x",(DEC2HEX(IF(P983&lt;&gt;"",VLOOKUP(P983,Notes!$A$2:$B$37,2,FALSE)*1024,0) + Q983*16 + IF(R983="",7,R983)*2 + IF(S983&gt;0, 1, 0))),","),"")</f>
        <v/>
      </c>
    </row>
    <row r="984" spans="2:25" x14ac:dyDescent="0.25">
      <c r="F984" s="18">
        <f t="shared" si="90"/>
        <v>0</v>
      </c>
      <c r="G984" s="1" t="str">
        <f t="shared" si="93"/>
        <v/>
      </c>
      <c r="M984" s="18">
        <f t="shared" si="91"/>
        <v>0</v>
      </c>
      <c r="N984" s="1" t="str">
        <f t="shared" si="94"/>
        <v/>
      </c>
      <c r="T984" s="18">
        <f t="shared" si="92"/>
        <v>0</v>
      </c>
      <c r="U984" s="1" t="str">
        <f t="shared" si="95"/>
        <v/>
      </c>
      <c r="W984" s="21" t="str">
        <f>IF(C984&gt;0,CONCATENATE("0x",(DEC2HEX(IF(B984&lt;&gt;"",VLOOKUP(B984,Notes!$A$2:$B$37,2,FALSE)*1024,0) + C984*16 + IF(D984="",7,D984)*2 + IF(E984&gt;0, 1, 0))),","),"")</f>
        <v/>
      </c>
      <c r="X984" s="21" t="str">
        <f>IF(J984&gt;0,CONCATENATE("0x",(DEC2HEX(IF(I984&lt;&gt;"",VLOOKUP(I984,Notes!$A$2:$B$37,2,FALSE)*1024,0) + J984*16 + IF(K984="",7,K984)*2 + IF(L984&gt;0, 1, 0))),","),"")</f>
        <v/>
      </c>
      <c r="Y984" s="21" t="str">
        <f>IF(Q984&gt;0,CONCATENATE("0x",(DEC2HEX(IF(P984&lt;&gt;"",VLOOKUP(P984,Notes!$A$2:$B$37,2,FALSE)*1024,0) + Q984*16 + IF(R984="",7,R984)*2 + IF(S984&gt;0, 1, 0))),","),"")</f>
        <v/>
      </c>
    </row>
    <row r="985" spans="2:25" x14ac:dyDescent="0.25">
      <c r="B985" s="12"/>
      <c r="C985" s="13"/>
      <c r="D985" s="13"/>
      <c r="E985" s="14"/>
      <c r="F985" s="18">
        <f t="shared" si="90"/>
        <v>0</v>
      </c>
      <c r="G985" s="1" t="str">
        <f t="shared" si="93"/>
        <v/>
      </c>
      <c r="I985" s="12"/>
      <c r="J985" s="13"/>
      <c r="K985" s="13"/>
      <c r="L985" s="14"/>
      <c r="M985" s="18">
        <f t="shared" si="91"/>
        <v>0</v>
      </c>
      <c r="N985" s="1" t="str">
        <f t="shared" si="94"/>
        <v/>
      </c>
      <c r="P985" s="12"/>
      <c r="Q985" s="13"/>
      <c r="R985" s="13"/>
      <c r="S985" s="14"/>
      <c r="T985" s="18">
        <f t="shared" si="92"/>
        <v>0</v>
      </c>
      <c r="U985" s="1" t="str">
        <f t="shared" si="95"/>
        <v/>
      </c>
      <c r="W985" s="21" t="str">
        <f>IF(C985&gt;0,CONCATENATE("0x",(DEC2HEX(IF(B985&lt;&gt;"",VLOOKUP(B985,Notes!$A$2:$B$37,2,FALSE)*1024,0) + C985*16 + IF(D985="",7,D985)*2 + IF(E985&gt;0, 1, 0))),","),"")</f>
        <v/>
      </c>
      <c r="X985" s="21" t="str">
        <f>IF(J985&gt;0,CONCATENATE("0x",(DEC2HEX(IF(I985&lt;&gt;"",VLOOKUP(I985,Notes!$A$2:$B$37,2,FALSE)*1024,0) + J985*16 + IF(K985="",7,K985)*2 + IF(L985&gt;0, 1, 0))),","),"")</f>
        <v/>
      </c>
      <c r="Y985" s="21" t="str">
        <f>IF(Q985&gt;0,CONCATENATE("0x",(DEC2HEX(IF(P985&lt;&gt;"",VLOOKUP(P985,Notes!$A$2:$B$37,2,FALSE)*1024,0) + Q985*16 + IF(R985="",7,R985)*2 + IF(S985&gt;0, 1, 0))),","),"")</f>
        <v/>
      </c>
    </row>
    <row r="986" spans="2:25" x14ac:dyDescent="0.25">
      <c r="F986" s="18">
        <f t="shared" si="90"/>
        <v>0</v>
      </c>
      <c r="G986" s="1" t="str">
        <f t="shared" si="93"/>
        <v/>
      </c>
      <c r="M986" s="18">
        <f t="shared" si="91"/>
        <v>0</v>
      </c>
      <c r="N986" s="1" t="str">
        <f t="shared" si="94"/>
        <v/>
      </c>
      <c r="T986" s="18">
        <f t="shared" si="92"/>
        <v>0</v>
      </c>
      <c r="U986" s="1" t="str">
        <f t="shared" si="95"/>
        <v/>
      </c>
      <c r="W986" s="21" t="str">
        <f>IF(C986&gt;0,CONCATENATE("0x",(DEC2HEX(IF(B986&lt;&gt;"",VLOOKUP(B986,Notes!$A$2:$B$37,2,FALSE)*1024,0) + C986*16 + IF(D986="",7,D986)*2 + IF(E986&gt;0, 1, 0))),","),"")</f>
        <v/>
      </c>
      <c r="X986" s="21" t="str">
        <f>IF(J986&gt;0,CONCATENATE("0x",(DEC2HEX(IF(I986&lt;&gt;"",VLOOKUP(I986,Notes!$A$2:$B$37,2,FALSE)*1024,0) + J986*16 + IF(K986="",7,K986)*2 + IF(L986&gt;0, 1, 0))),","),"")</f>
        <v/>
      </c>
      <c r="Y986" s="21" t="str">
        <f>IF(Q986&gt;0,CONCATENATE("0x",(DEC2HEX(IF(P986&lt;&gt;"",VLOOKUP(P986,Notes!$A$2:$B$37,2,FALSE)*1024,0) + Q986*16 + IF(R986="",7,R986)*2 + IF(S986&gt;0, 1, 0))),","),"")</f>
        <v/>
      </c>
    </row>
    <row r="987" spans="2:25" x14ac:dyDescent="0.25">
      <c r="F987" s="18">
        <f t="shared" si="90"/>
        <v>0</v>
      </c>
      <c r="G987" s="1" t="str">
        <f t="shared" si="93"/>
        <v/>
      </c>
      <c r="M987" s="18">
        <f t="shared" si="91"/>
        <v>0</v>
      </c>
      <c r="N987" s="1" t="str">
        <f t="shared" si="94"/>
        <v/>
      </c>
      <c r="T987" s="18">
        <f t="shared" si="92"/>
        <v>0</v>
      </c>
      <c r="U987" s="1" t="str">
        <f t="shared" si="95"/>
        <v/>
      </c>
      <c r="W987" s="21" t="str">
        <f>IF(C987&gt;0,CONCATENATE("0x",(DEC2HEX(IF(B987&lt;&gt;"",VLOOKUP(B987,Notes!$A$2:$B$37,2,FALSE)*1024,0) + C987*16 + IF(D987="",7,D987)*2 + IF(E987&gt;0, 1, 0))),","),"")</f>
        <v/>
      </c>
      <c r="X987" s="21" t="str">
        <f>IF(J987&gt;0,CONCATENATE("0x",(DEC2HEX(IF(I987&lt;&gt;"",VLOOKUP(I987,Notes!$A$2:$B$37,2,FALSE)*1024,0) + J987*16 + IF(K987="",7,K987)*2 + IF(L987&gt;0, 1, 0))),","),"")</f>
        <v/>
      </c>
      <c r="Y987" s="21" t="str">
        <f>IF(Q987&gt;0,CONCATENATE("0x",(DEC2HEX(IF(P987&lt;&gt;"",VLOOKUP(P987,Notes!$A$2:$B$37,2,FALSE)*1024,0) + Q987*16 + IF(R987="",7,R987)*2 + IF(S987&gt;0, 1, 0))),","),"")</f>
        <v/>
      </c>
    </row>
    <row r="988" spans="2:25" x14ac:dyDescent="0.25">
      <c r="F988" s="18">
        <f t="shared" si="90"/>
        <v>0</v>
      </c>
      <c r="G988" s="1" t="str">
        <f t="shared" si="93"/>
        <v/>
      </c>
      <c r="M988" s="18">
        <f t="shared" si="91"/>
        <v>0</v>
      </c>
      <c r="N988" s="1" t="str">
        <f t="shared" si="94"/>
        <v/>
      </c>
      <c r="T988" s="18">
        <f t="shared" si="92"/>
        <v>0</v>
      </c>
      <c r="U988" s="1" t="str">
        <f t="shared" si="95"/>
        <v/>
      </c>
      <c r="W988" s="21" t="str">
        <f>IF(C988&gt;0,CONCATENATE("0x",(DEC2HEX(IF(B988&lt;&gt;"",VLOOKUP(B988,Notes!$A$2:$B$37,2,FALSE)*1024,0) + C988*16 + IF(D988="",7,D988)*2 + IF(E988&gt;0, 1, 0))),","),"")</f>
        <v/>
      </c>
      <c r="X988" s="21" t="str">
        <f>IF(J988&gt;0,CONCATENATE("0x",(DEC2HEX(IF(I988&lt;&gt;"",VLOOKUP(I988,Notes!$A$2:$B$37,2,FALSE)*1024,0) + J988*16 + IF(K988="",7,K988)*2 + IF(L988&gt;0, 1, 0))),","),"")</f>
        <v/>
      </c>
      <c r="Y988" s="21" t="str">
        <f>IF(Q988&gt;0,CONCATENATE("0x",(DEC2HEX(IF(P988&lt;&gt;"",VLOOKUP(P988,Notes!$A$2:$B$37,2,FALSE)*1024,0) + Q988*16 + IF(R988="",7,R988)*2 + IF(S988&gt;0, 1, 0))),","),"")</f>
        <v/>
      </c>
    </row>
    <row r="989" spans="2:25" x14ac:dyDescent="0.25">
      <c r="F989" s="18">
        <f t="shared" si="90"/>
        <v>0</v>
      </c>
      <c r="G989" s="1" t="str">
        <f t="shared" si="93"/>
        <v/>
      </c>
      <c r="M989" s="18">
        <f t="shared" si="91"/>
        <v>0</v>
      </c>
      <c r="N989" s="1" t="str">
        <f t="shared" si="94"/>
        <v/>
      </c>
      <c r="T989" s="18">
        <f t="shared" si="92"/>
        <v>0</v>
      </c>
      <c r="U989" s="1" t="str">
        <f t="shared" si="95"/>
        <v/>
      </c>
      <c r="W989" s="21" t="str">
        <f>IF(C989&gt;0,CONCATENATE("0x",(DEC2HEX(IF(B989&lt;&gt;"",VLOOKUP(B989,Notes!$A$2:$B$37,2,FALSE)*1024,0) + C989*16 + IF(D989="",7,D989)*2 + IF(E989&gt;0, 1, 0))),","),"")</f>
        <v/>
      </c>
      <c r="X989" s="21" t="str">
        <f>IF(J989&gt;0,CONCATENATE("0x",(DEC2HEX(IF(I989&lt;&gt;"",VLOOKUP(I989,Notes!$A$2:$B$37,2,FALSE)*1024,0) + J989*16 + IF(K989="",7,K989)*2 + IF(L989&gt;0, 1, 0))),","),"")</f>
        <v/>
      </c>
      <c r="Y989" s="21" t="str">
        <f>IF(Q989&gt;0,CONCATENATE("0x",(DEC2HEX(IF(P989&lt;&gt;"",VLOOKUP(P989,Notes!$A$2:$B$37,2,FALSE)*1024,0) + Q989*16 + IF(R989="",7,R989)*2 + IF(S989&gt;0, 1, 0))),","),"")</f>
        <v/>
      </c>
    </row>
    <row r="990" spans="2:25" x14ac:dyDescent="0.25">
      <c r="F990" s="18">
        <f t="shared" si="90"/>
        <v>0</v>
      </c>
      <c r="G990" s="1" t="str">
        <f t="shared" si="93"/>
        <v/>
      </c>
      <c r="M990" s="18">
        <f t="shared" si="91"/>
        <v>0</v>
      </c>
      <c r="N990" s="1" t="str">
        <f t="shared" si="94"/>
        <v/>
      </c>
      <c r="T990" s="18">
        <f t="shared" si="92"/>
        <v>0</v>
      </c>
      <c r="U990" s="1" t="str">
        <f t="shared" si="95"/>
        <v/>
      </c>
      <c r="W990" s="21" t="str">
        <f>IF(C990&gt;0,CONCATENATE("0x",(DEC2HEX(IF(B990&lt;&gt;"",VLOOKUP(B990,Notes!$A$2:$B$37,2,FALSE)*1024,0) + C990*16 + IF(D990="",7,D990)*2 + IF(E990&gt;0, 1, 0))),","),"")</f>
        <v/>
      </c>
      <c r="X990" s="21" t="str">
        <f>IF(J990&gt;0,CONCATENATE("0x",(DEC2HEX(IF(I990&lt;&gt;"",VLOOKUP(I990,Notes!$A$2:$B$37,2,FALSE)*1024,0) + J990*16 + IF(K990="",7,K990)*2 + IF(L990&gt;0, 1, 0))),","),"")</f>
        <v/>
      </c>
      <c r="Y990" s="21" t="str">
        <f>IF(Q990&gt;0,CONCATENATE("0x",(DEC2HEX(IF(P990&lt;&gt;"",VLOOKUP(P990,Notes!$A$2:$B$37,2,FALSE)*1024,0) + Q990*16 + IF(R990="",7,R990)*2 + IF(S990&gt;0, 1, 0))),","),"")</f>
        <v/>
      </c>
    </row>
    <row r="991" spans="2:25" x14ac:dyDescent="0.25">
      <c r="F991" s="18">
        <f t="shared" si="90"/>
        <v>0</v>
      </c>
      <c r="G991" s="1" t="str">
        <f t="shared" si="93"/>
        <v/>
      </c>
      <c r="M991" s="18">
        <f t="shared" si="91"/>
        <v>0</v>
      </c>
      <c r="N991" s="1" t="str">
        <f t="shared" si="94"/>
        <v/>
      </c>
      <c r="T991" s="18">
        <f t="shared" si="92"/>
        <v>0</v>
      </c>
      <c r="U991" s="1" t="str">
        <f t="shared" si="95"/>
        <v/>
      </c>
      <c r="W991" s="21" t="str">
        <f>IF(C991&gt;0,CONCATENATE("0x",(DEC2HEX(IF(B991&lt;&gt;"",VLOOKUP(B991,Notes!$A$2:$B$37,2,FALSE)*1024,0) + C991*16 + IF(D991="",7,D991)*2 + IF(E991&gt;0, 1, 0))),","),"")</f>
        <v/>
      </c>
      <c r="X991" s="21" t="str">
        <f>IF(J991&gt;0,CONCATENATE("0x",(DEC2HEX(IF(I991&lt;&gt;"",VLOOKUP(I991,Notes!$A$2:$B$37,2,FALSE)*1024,0) + J991*16 + IF(K991="",7,K991)*2 + IF(L991&gt;0, 1, 0))),","),"")</f>
        <v/>
      </c>
      <c r="Y991" s="21" t="str">
        <f>IF(Q991&gt;0,CONCATENATE("0x",(DEC2HEX(IF(P991&lt;&gt;"",VLOOKUP(P991,Notes!$A$2:$B$37,2,FALSE)*1024,0) + Q991*16 + IF(R991="",7,R991)*2 + IF(S991&gt;0, 1, 0))),","),"")</f>
        <v/>
      </c>
    </row>
    <row r="992" spans="2:25" x14ac:dyDescent="0.25">
      <c r="F992" s="18">
        <f t="shared" si="90"/>
        <v>0</v>
      </c>
      <c r="G992" s="1" t="str">
        <f t="shared" si="93"/>
        <v/>
      </c>
      <c r="M992" s="18">
        <f t="shared" si="91"/>
        <v>0</v>
      </c>
      <c r="N992" s="1" t="str">
        <f t="shared" si="94"/>
        <v/>
      </c>
      <c r="T992" s="18">
        <f t="shared" si="92"/>
        <v>0</v>
      </c>
      <c r="U992" s="1" t="str">
        <f t="shared" si="95"/>
        <v/>
      </c>
      <c r="W992" s="21" t="str">
        <f>IF(C992&gt;0,CONCATENATE("0x",(DEC2HEX(IF(B992&lt;&gt;"",VLOOKUP(B992,Notes!$A$2:$B$37,2,FALSE)*1024,0) + C992*16 + IF(D992="",7,D992)*2 + IF(E992&gt;0, 1, 0))),","),"")</f>
        <v/>
      </c>
      <c r="X992" s="21" t="str">
        <f>IF(J992&gt;0,CONCATENATE("0x",(DEC2HEX(IF(I992&lt;&gt;"",VLOOKUP(I992,Notes!$A$2:$B$37,2,FALSE)*1024,0) + J992*16 + IF(K992="",7,K992)*2 + IF(L992&gt;0, 1, 0))),","),"")</f>
        <v/>
      </c>
      <c r="Y992" s="21" t="str">
        <f>IF(Q992&gt;0,CONCATENATE("0x",(DEC2HEX(IF(P992&lt;&gt;"",VLOOKUP(P992,Notes!$A$2:$B$37,2,FALSE)*1024,0) + Q992*16 + IF(R992="",7,R992)*2 + IF(S992&gt;0, 1, 0))),","),"")</f>
        <v/>
      </c>
    </row>
    <row r="993" spans="1:25" ht="16.5" thickBot="1" x14ac:dyDescent="0.3">
      <c r="B993" s="15"/>
      <c r="C993" s="16"/>
      <c r="D993" s="16"/>
      <c r="E993" s="17"/>
      <c r="F993" s="18">
        <f t="shared" si="90"/>
        <v>0</v>
      </c>
      <c r="G993" s="1" t="str">
        <f t="shared" si="93"/>
        <v/>
      </c>
      <c r="I993" s="15"/>
      <c r="J993" s="16"/>
      <c r="K993" s="16"/>
      <c r="L993" s="17"/>
      <c r="M993" s="18">
        <f t="shared" si="91"/>
        <v>0</v>
      </c>
      <c r="N993" s="1" t="str">
        <f t="shared" si="94"/>
        <v/>
      </c>
      <c r="P993" s="15"/>
      <c r="Q993" s="16"/>
      <c r="R993" s="16"/>
      <c r="S993" s="17"/>
      <c r="T993" s="18">
        <f t="shared" si="92"/>
        <v>0</v>
      </c>
      <c r="U993" s="1" t="str">
        <f t="shared" si="95"/>
        <v/>
      </c>
      <c r="W993" s="21" t="str">
        <f>IF(C993&gt;0,CONCATENATE("0x",(DEC2HEX(IF(B993&lt;&gt;"",VLOOKUP(B993,Notes!$A$2:$B$37,2,FALSE)*1024,0) + C993*16 + IF(D993="",7,D993)*2 + IF(E993&gt;0, 1, 0))),","),"")</f>
        <v/>
      </c>
      <c r="X993" s="21" t="str">
        <f>IF(J993&gt;0,CONCATENATE("0x",(DEC2HEX(IF(I993&lt;&gt;"",VLOOKUP(I993,Notes!$A$2:$B$37,2,FALSE)*1024,0) + J993*16 + IF(K993="",7,K993)*2 + IF(L993&gt;0, 1, 0))),","),"")</f>
        <v/>
      </c>
      <c r="Y993" s="21" t="str">
        <f>IF(Q993&gt;0,CONCATENATE("0x",(DEC2HEX(IF(P993&lt;&gt;"",VLOOKUP(P993,Notes!$A$2:$B$37,2,FALSE)*1024,0) + Q993*16 + IF(R993="",7,R993)*2 + IF(S993&gt;0, 1, 0))),","),"")</f>
        <v/>
      </c>
    </row>
    <row r="994" spans="1:25" ht="16.5" thickTop="1" x14ac:dyDescent="0.25">
      <c r="A994" s="1">
        <v>32</v>
      </c>
      <c r="F994" s="18">
        <f t="shared" si="90"/>
        <v>0</v>
      </c>
      <c r="G994" s="1" t="str">
        <f t="shared" si="93"/>
        <v/>
      </c>
      <c r="M994" s="18">
        <f t="shared" si="91"/>
        <v>0</v>
      </c>
      <c r="N994" s="1" t="str">
        <f t="shared" si="94"/>
        <v/>
      </c>
      <c r="T994" s="18">
        <f t="shared" si="92"/>
        <v>0</v>
      </c>
      <c r="U994" s="1" t="str">
        <f t="shared" si="95"/>
        <v/>
      </c>
      <c r="W994" s="21" t="str">
        <f>IF(C994&gt;0,CONCATENATE("0x",(DEC2HEX(IF(B994&lt;&gt;"",VLOOKUP(B994,Notes!$A$2:$B$37,2,FALSE)*1024,0) + C994*16 + IF(D994="",7,D994)*2 + IF(E994&gt;0, 1, 0))),","),"")</f>
        <v/>
      </c>
      <c r="X994" s="21" t="str">
        <f>IF(J994&gt;0,CONCATENATE("0x",(DEC2HEX(IF(I994&lt;&gt;"",VLOOKUP(I994,Notes!$A$2:$B$37,2,FALSE)*1024,0) + J994*16 + IF(K994="",7,K994)*2 + IF(L994&gt;0, 1, 0))),","),"")</f>
        <v/>
      </c>
      <c r="Y994" s="21" t="str">
        <f>IF(Q994&gt;0,CONCATENATE("0x",(DEC2HEX(IF(P994&lt;&gt;"",VLOOKUP(P994,Notes!$A$2:$B$37,2,FALSE)*1024,0) + Q994*16 + IF(R994="",7,R994)*2 + IF(S994&gt;0, 1, 0))),","),"")</f>
        <v/>
      </c>
    </row>
    <row r="995" spans="1:25" x14ac:dyDescent="0.25">
      <c r="F995" s="18">
        <f t="shared" si="90"/>
        <v>0</v>
      </c>
      <c r="G995" s="1" t="str">
        <f t="shared" si="93"/>
        <v/>
      </c>
      <c r="M995" s="18">
        <f t="shared" si="91"/>
        <v>0</v>
      </c>
      <c r="N995" s="1" t="str">
        <f t="shared" si="94"/>
        <v/>
      </c>
      <c r="T995" s="18">
        <f t="shared" si="92"/>
        <v>0</v>
      </c>
      <c r="U995" s="1" t="str">
        <f t="shared" si="95"/>
        <v/>
      </c>
      <c r="W995" s="21" t="str">
        <f>IF(C995&gt;0,CONCATENATE("0x",(DEC2HEX(IF(B995&lt;&gt;"",VLOOKUP(B995,Notes!$A$2:$B$37,2,FALSE)*1024,0) + C995*16 + IF(D995="",7,D995)*2 + IF(E995&gt;0, 1, 0))),","),"")</f>
        <v/>
      </c>
      <c r="X995" s="21" t="str">
        <f>IF(J995&gt;0,CONCATENATE("0x",(DEC2HEX(IF(I995&lt;&gt;"",VLOOKUP(I995,Notes!$A$2:$B$37,2,FALSE)*1024,0) + J995*16 + IF(K995="",7,K995)*2 + IF(L995&gt;0, 1, 0))),","),"")</f>
        <v/>
      </c>
      <c r="Y995" s="21" t="str">
        <f>IF(Q995&gt;0,CONCATENATE("0x",(DEC2HEX(IF(P995&lt;&gt;"",VLOOKUP(P995,Notes!$A$2:$B$37,2,FALSE)*1024,0) + Q995*16 + IF(R995="",7,R995)*2 + IF(S995&gt;0, 1, 0))),","),"")</f>
        <v/>
      </c>
    </row>
    <row r="996" spans="1:25" x14ac:dyDescent="0.25">
      <c r="F996" s="18">
        <f t="shared" si="90"/>
        <v>0</v>
      </c>
      <c r="G996" s="1" t="str">
        <f t="shared" si="93"/>
        <v/>
      </c>
      <c r="M996" s="18">
        <f t="shared" si="91"/>
        <v>0</v>
      </c>
      <c r="N996" s="1" t="str">
        <f t="shared" si="94"/>
        <v/>
      </c>
      <c r="T996" s="18">
        <f t="shared" si="92"/>
        <v>0</v>
      </c>
      <c r="U996" s="1" t="str">
        <f t="shared" si="95"/>
        <v/>
      </c>
      <c r="W996" s="21" t="str">
        <f>IF(C996&gt;0,CONCATENATE("0x",(DEC2HEX(IF(B996&lt;&gt;"",VLOOKUP(B996,Notes!$A$2:$B$37,2,FALSE)*1024,0) + C996*16 + IF(D996="",7,D996)*2 + IF(E996&gt;0, 1, 0))),","),"")</f>
        <v/>
      </c>
      <c r="X996" s="21" t="str">
        <f>IF(J996&gt;0,CONCATENATE("0x",(DEC2HEX(IF(I996&lt;&gt;"",VLOOKUP(I996,Notes!$A$2:$B$37,2,FALSE)*1024,0) + J996*16 + IF(K996="",7,K996)*2 + IF(L996&gt;0, 1, 0))),","),"")</f>
        <v/>
      </c>
      <c r="Y996" s="21" t="str">
        <f>IF(Q996&gt;0,CONCATENATE("0x",(DEC2HEX(IF(P996&lt;&gt;"",VLOOKUP(P996,Notes!$A$2:$B$37,2,FALSE)*1024,0) + Q996*16 + IF(R996="",7,R996)*2 + IF(S996&gt;0, 1, 0))),","),"")</f>
        <v/>
      </c>
    </row>
    <row r="997" spans="1:25" x14ac:dyDescent="0.25">
      <c r="F997" s="18">
        <f t="shared" si="90"/>
        <v>0</v>
      </c>
      <c r="G997" s="1" t="str">
        <f t="shared" si="93"/>
        <v/>
      </c>
      <c r="M997" s="18">
        <f t="shared" si="91"/>
        <v>0</v>
      </c>
      <c r="N997" s="1" t="str">
        <f t="shared" si="94"/>
        <v/>
      </c>
      <c r="T997" s="18">
        <f t="shared" si="92"/>
        <v>0</v>
      </c>
      <c r="U997" s="1" t="str">
        <f t="shared" si="95"/>
        <v/>
      </c>
      <c r="W997" s="21" t="str">
        <f>IF(C997&gt;0,CONCATENATE("0x",(DEC2HEX(IF(B997&lt;&gt;"",VLOOKUP(B997,Notes!$A$2:$B$37,2,FALSE)*1024,0) + C997*16 + IF(D997="",7,D997)*2 + IF(E997&gt;0, 1, 0))),","),"")</f>
        <v/>
      </c>
      <c r="X997" s="21" t="str">
        <f>IF(J997&gt;0,CONCATENATE("0x",(DEC2HEX(IF(I997&lt;&gt;"",VLOOKUP(I997,Notes!$A$2:$B$37,2,FALSE)*1024,0) + J997*16 + IF(K997="",7,K997)*2 + IF(L997&gt;0, 1, 0))),","),"")</f>
        <v/>
      </c>
      <c r="Y997" s="21" t="str">
        <f>IF(Q997&gt;0,CONCATENATE("0x",(DEC2HEX(IF(P997&lt;&gt;"",VLOOKUP(P997,Notes!$A$2:$B$37,2,FALSE)*1024,0) + Q997*16 + IF(R997="",7,R997)*2 + IF(S997&gt;0, 1, 0))),","),"")</f>
        <v/>
      </c>
    </row>
    <row r="998" spans="1:25" x14ac:dyDescent="0.25">
      <c r="F998" s="18">
        <f t="shared" si="90"/>
        <v>0</v>
      </c>
      <c r="G998" s="1" t="str">
        <f t="shared" si="93"/>
        <v/>
      </c>
      <c r="M998" s="18">
        <f t="shared" si="91"/>
        <v>0</v>
      </c>
      <c r="N998" s="1" t="str">
        <f t="shared" si="94"/>
        <v/>
      </c>
      <c r="T998" s="18">
        <f t="shared" si="92"/>
        <v>0</v>
      </c>
      <c r="U998" s="1" t="str">
        <f t="shared" si="95"/>
        <v/>
      </c>
      <c r="W998" s="21" t="str">
        <f>IF(C998&gt;0,CONCATENATE("0x",(DEC2HEX(IF(B998&lt;&gt;"",VLOOKUP(B998,Notes!$A$2:$B$37,2,FALSE)*1024,0) + C998*16 + IF(D998="",7,D998)*2 + IF(E998&gt;0, 1, 0))),","),"")</f>
        <v/>
      </c>
      <c r="X998" s="21" t="str">
        <f>IF(J998&gt;0,CONCATENATE("0x",(DEC2HEX(IF(I998&lt;&gt;"",VLOOKUP(I998,Notes!$A$2:$B$37,2,FALSE)*1024,0) + J998*16 + IF(K998="",7,K998)*2 + IF(L998&gt;0, 1, 0))),","),"")</f>
        <v/>
      </c>
      <c r="Y998" s="21" t="str">
        <f>IF(Q998&gt;0,CONCATENATE("0x",(DEC2HEX(IF(P998&lt;&gt;"",VLOOKUP(P998,Notes!$A$2:$B$37,2,FALSE)*1024,0) + Q998*16 + IF(R998="",7,R998)*2 + IF(S998&gt;0, 1, 0))),","),"")</f>
        <v/>
      </c>
    </row>
    <row r="999" spans="1:25" x14ac:dyDescent="0.25">
      <c r="F999" s="18">
        <f t="shared" si="90"/>
        <v>0</v>
      </c>
      <c r="G999" s="1" t="str">
        <f t="shared" si="93"/>
        <v/>
      </c>
      <c r="M999" s="18">
        <f t="shared" si="91"/>
        <v>0</v>
      </c>
      <c r="N999" s="1" t="str">
        <f t="shared" si="94"/>
        <v/>
      </c>
      <c r="T999" s="18">
        <f t="shared" si="92"/>
        <v>0</v>
      </c>
      <c r="U999" s="1" t="str">
        <f t="shared" si="95"/>
        <v/>
      </c>
      <c r="W999" s="21" t="str">
        <f>IF(C999&gt;0,CONCATENATE("0x",(DEC2HEX(IF(B999&lt;&gt;"",VLOOKUP(B999,Notes!$A$2:$B$37,2,FALSE)*1024,0) + C999*16 + IF(D999="",7,D999)*2 + IF(E999&gt;0, 1, 0))),","),"")</f>
        <v/>
      </c>
      <c r="X999" s="21" t="str">
        <f>IF(J999&gt;0,CONCATENATE("0x",(DEC2HEX(IF(I999&lt;&gt;"",VLOOKUP(I999,Notes!$A$2:$B$37,2,FALSE)*1024,0) + J999*16 + IF(K999="",7,K999)*2 + IF(L999&gt;0, 1, 0))),","),"")</f>
        <v/>
      </c>
      <c r="Y999" s="21" t="str">
        <f>IF(Q999&gt;0,CONCATENATE("0x",(DEC2HEX(IF(P999&lt;&gt;"",VLOOKUP(P999,Notes!$A$2:$B$37,2,FALSE)*1024,0) + Q999*16 + IF(R999="",7,R999)*2 + IF(S999&gt;0, 1, 0))),","),"")</f>
        <v/>
      </c>
    </row>
    <row r="1000" spans="1:25" x14ac:dyDescent="0.25">
      <c r="F1000" s="18">
        <f t="shared" si="90"/>
        <v>0</v>
      </c>
      <c r="G1000" s="1" t="str">
        <f t="shared" si="93"/>
        <v/>
      </c>
      <c r="M1000" s="18">
        <f t="shared" si="91"/>
        <v>0</v>
      </c>
      <c r="N1000" s="1" t="str">
        <f t="shared" si="94"/>
        <v/>
      </c>
      <c r="T1000" s="18">
        <f t="shared" si="92"/>
        <v>0</v>
      </c>
      <c r="U1000" s="1" t="str">
        <f t="shared" si="95"/>
        <v/>
      </c>
      <c r="W1000" s="21" t="str">
        <f>IF(C1000&gt;0,CONCATENATE("0x",(DEC2HEX(IF(B1000&lt;&gt;"",VLOOKUP(B1000,Notes!$A$2:$B$37,2,FALSE)*1024,0) + C1000*16 + IF(D1000="",7,D1000)*2 + IF(E1000&gt;0, 1, 0))),","),"")</f>
        <v/>
      </c>
      <c r="X1000" s="21" t="str">
        <f>IF(J1000&gt;0,CONCATENATE("0x",(DEC2HEX(IF(I1000&lt;&gt;"",VLOOKUP(I1000,Notes!$A$2:$B$37,2,FALSE)*1024,0) + J1000*16 + IF(K1000="",7,K1000)*2 + IF(L1000&gt;0, 1, 0))),","),"")</f>
        <v/>
      </c>
      <c r="Y1000" s="21" t="str">
        <f>IF(Q1000&gt;0,CONCATENATE("0x",(DEC2HEX(IF(P1000&lt;&gt;"",VLOOKUP(P1000,Notes!$A$2:$B$37,2,FALSE)*1024,0) + Q1000*16 + IF(R1000="",7,R1000)*2 + IF(S1000&gt;0, 1, 0))),","),"")</f>
        <v/>
      </c>
    </row>
    <row r="1001" spans="1:25" x14ac:dyDescent="0.25">
      <c r="B1001" s="12"/>
      <c r="C1001" s="13"/>
      <c r="D1001" s="13"/>
      <c r="E1001" s="14"/>
      <c r="F1001" s="18">
        <f t="shared" si="90"/>
        <v>0</v>
      </c>
      <c r="G1001" s="1" t="str">
        <f t="shared" si="93"/>
        <v/>
      </c>
      <c r="I1001" s="12"/>
      <c r="J1001" s="13"/>
      <c r="K1001" s="13"/>
      <c r="L1001" s="14"/>
      <c r="M1001" s="18">
        <f t="shared" si="91"/>
        <v>0</v>
      </c>
      <c r="N1001" s="1" t="str">
        <f t="shared" si="94"/>
        <v/>
      </c>
      <c r="P1001" s="12"/>
      <c r="Q1001" s="13"/>
      <c r="R1001" s="13"/>
      <c r="S1001" s="14"/>
      <c r="T1001" s="18">
        <f t="shared" si="92"/>
        <v>0</v>
      </c>
      <c r="U1001" s="1" t="str">
        <f t="shared" si="95"/>
        <v/>
      </c>
      <c r="W1001" s="21" t="str">
        <f>IF(C1001&gt;0,CONCATENATE("0x",(DEC2HEX(IF(B1001&lt;&gt;"",VLOOKUP(B1001,Notes!$A$2:$B$37,2,FALSE)*1024,0) + C1001*16 + IF(D1001="",7,D1001)*2 + IF(E1001&gt;0, 1, 0))),","),"")</f>
        <v/>
      </c>
      <c r="X1001" s="21" t="str">
        <f>IF(J1001&gt;0,CONCATENATE("0x",(DEC2HEX(IF(I1001&lt;&gt;"",VLOOKUP(I1001,Notes!$A$2:$B$37,2,FALSE)*1024,0) + J1001*16 + IF(K1001="",7,K1001)*2 + IF(L1001&gt;0, 1, 0))),","),"")</f>
        <v/>
      </c>
      <c r="Y1001" s="21" t="str">
        <f>IF(Q1001&gt;0,CONCATENATE("0x",(DEC2HEX(IF(P1001&lt;&gt;"",VLOOKUP(P1001,Notes!$A$2:$B$37,2,FALSE)*1024,0) + Q1001*16 + IF(R1001="",7,R1001)*2 + IF(S1001&gt;0, 1, 0))),","),"")</f>
        <v/>
      </c>
    </row>
    <row r="1002" spans="1:25" x14ac:dyDescent="0.25">
      <c r="F1002" s="18">
        <f t="shared" si="90"/>
        <v>0</v>
      </c>
      <c r="G1002" s="1" t="str">
        <f t="shared" si="93"/>
        <v/>
      </c>
      <c r="M1002" s="18">
        <f t="shared" si="91"/>
        <v>0</v>
      </c>
      <c r="N1002" s="1" t="str">
        <f t="shared" si="94"/>
        <v/>
      </c>
      <c r="T1002" s="18">
        <f t="shared" si="92"/>
        <v>0</v>
      </c>
      <c r="U1002" s="1" t="str">
        <f t="shared" si="95"/>
        <v/>
      </c>
      <c r="W1002" s="21" t="str">
        <f>IF(C1002&gt;0,CONCATENATE("0x",(DEC2HEX(IF(B1002&lt;&gt;"",VLOOKUP(B1002,Notes!$A$2:$B$37,2,FALSE)*1024,0) + C1002*16 + IF(D1002="",7,D1002)*2 + IF(E1002&gt;0, 1, 0))),","),"")</f>
        <v/>
      </c>
      <c r="X1002" s="21" t="str">
        <f>IF(J1002&gt;0,CONCATENATE("0x",(DEC2HEX(IF(I1002&lt;&gt;"",VLOOKUP(I1002,Notes!$A$2:$B$37,2,FALSE)*1024,0) + J1002*16 + IF(K1002="",7,K1002)*2 + IF(L1002&gt;0, 1, 0))),","),"")</f>
        <v/>
      </c>
      <c r="Y1002" s="21" t="str">
        <f>IF(Q1002&gt;0,CONCATENATE("0x",(DEC2HEX(IF(P1002&lt;&gt;"",VLOOKUP(P1002,Notes!$A$2:$B$37,2,FALSE)*1024,0) + Q1002*16 + IF(R1002="",7,R1002)*2 + IF(S1002&gt;0, 1, 0))),","),"")</f>
        <v/>
      </c>
    </row>
    <row r="1003" spans="1:25" x14ac:dyDescent="0.25">
      <c r="F1003" s="18">
        <f t="shared" si="90"/>
        <v>0</v>
      </c>
      <c r="G1003" s="1" t="str">
        <f t="shared" si="93"/>
        <v/>
      </c>
      <c r="M1003" s="18">
        <f t="shared" si="91"/>
        <v>0</v>
      </c>
      <c r="N1003" s="1" t="str">
        <f t="shared" si="94"/>
        <v/>
      </c>
      <c r="T1003" s="18">
        <f t="shared" si="92"/>
        <v>0</v>
      </c>
      <c r="U1003" s="1" t="str">
        <f t="shared" si="95"/>
        <v/>
      </c>
      <c r="W1003" s="21" t="str">
        <f>IF(C1003&gt;0,CONCATENATE("0x",(DEC2HEX(IF(B1003&lt;&gt;"",VLOOKUP(B1003,Notes!$A$2:$B$37,2,FALSE)*1024,0) + C1003*16 + IF(D1003="",7,D1003)*2 + IF(E1003&gt;0, 1, 0))),","),"")</f>
        <v/>
      </c>
      <c r="X1003" s="21" t="str">
        <f>IF(J1003&gt;0,CONCATENATE("0x",(DEC2HEX(IF(I1003&lt;&gt;"",VLOOKUP(I1003,Notes!$A$2:$B$37,2,FALSE)*1024,0) + J1003*16 + IF(K1003="",7,K1003)*2 + IF(L1003&gt;0, 1, 0))),","),"")</f>
        <v/>
      </c>
      <c r="Y1003" s="21" t="str">
        <f>IF(Q1003&gt;0,CONCATENATE("0x",(DEC2HEX(IF(P1003&lt;&gt;"",VLOOKUP(P1003,Notes!$A$2:$B$37,2,FALSE)*1024,0) + Q1003*16 + IF(R1003="",7,R1003)*2 + IF(S1003&gt;0, 1, 0))),","),"")</f>
        <v/>
      </c>
    </row>
    <row r="1004" spans="1:25" x14ac:dyDescent="0.25">
      <c r="F1004" s="18">
        <f t="shared" si="90"/>
        <v>0</v>
      </c>
      <c r="G1004" s="1" t="str">
        <f t="shared" si="93"/>
        <v/>
      </c>
      <c r="M1004" s="18">
        <f t="shared" si="91"/>
        <v>0</v>
      </c>
      <c r="N1004" s="1" t="str">
        <f t="shared" si="94"/>
        <v/>
      </c>
      <c r="T1004" s="18">
        <f t="shared" si="92"/>
        <v>0</v>
      </c>
      <c r="U1004" s="1" t="str">
        <f t="shared" si="95"/>
        <v/>
      </c>
      <c r="W1004" s="21" t="str">
        <f>IF(C1004&gt;0,CONCATENATE("0x",(DEC2HEX(IF(B1004&lt;&gt;"",VLOOKUP(B1004,Notes!$A$2:$B$37,2,FALSE)*1024,0) + C1004*16 + IF(D1004="",7,D1004)*2 + IF(E1004&gt;0, 1, 0))),","),"")</f>
        <v/>
      </c>
      <c r="X1004" s="21" t="str">
        <f>IF(J1004&gt;0,CONCATENATE("0x",(DEC2HEX(IF(I1004&lt;&gt;"",VLOOKUP(I1004,Notes!$A$2:$B$37,2,FALSE)*1024,0) + J1004*16 + IF(K1004="",7,K1004)*2 + IF(L1004&gt;0, 1, 0))),","),"")</f>
        <v/>
      </c>
      <c r="Y1004" s="21" t="str">
        <f>IF(Q1004&gt;0,CONCATENATE("0x",(DEC2HEX(IF(P1004&lt;&gt;"",VLOOKUP(P1004,Notes!$A$2:$B$37,2,FALSE)*1024,0) + Q1004*16 + IF(R1004="",7,R1004)*2 + IF(S1004&gt;0, 1, 0))),","),"")</f>
        <v/>
      </c>
    </row>
    <row r="1005" spans="1:25" x14ac:dyDescent="0.25">
      <c r="F1005" s="18">
        <f t="shared" si="90"/>
        <v>0</v>
      </c>
      <c r="G1005" s="1" t="str">
        <f t="shared" si="93"/>
        <v/>
      </c>
      <c r="M1005" s="18">
        <f t="shared" si="91"/>
        <v>0</v>
      </c>
      <c r="N1005" s="1" t="str">
        <f t="shared" si="94"/>
        <v/>
      </c>
      <c r="T1005" s="18">
        <f t="shared" si="92"/>
        <v>0</v>
      </c>
      <c r="U1005" s="1" t="str">
        <f t="shared" si="95"/>
        <v/>
      </c>
      <c r="W1005" s="21" t="str">
        <f>IF(C1005&gt;0,CONCATENATE("0x",(DEC2HEX(IF(B1005&lt;&gt;"",VLOOKUP(B1005,Notes!$A$2:$B$37,2,FALSE)*1024,0) + C1005*16 + IF(D1005="",7,D1005)*2 + IF(E1005&gt;0, 1, 0))),","),"")</f>
        <v/>
      </c>
      <c r="X1005" s="21" t="str">
        <f>IF(J1005&gt;0,CONCATENATE("0x",(DEC2HEX(IF(I1005&lt;&gt;"",VLOOKUP(I1005,Notes!$A$2:$B$37,2,FALSE)*1024,0) + J1005*16 + IF(K1005="",7,K1005)*2 + IF(L1005&gt;0, 1, 0))),","),"")</f>
        <v/>
      </c>
      <c r="Y1005" s="21" t="str">
        <f>IF(Q1005&gt;0,CONCATENATE("0x",(DEC2HEX(IF(P1005&lt;&gt;"",VLOOKUP(P1005,Notes!$A$2:$B$37,2,FALSE)*1024,0) + Q1005*16 + IF(R1005="",7,R1005)*2 + IF(S1005&gt;0, 1, 0))),","),"")</f>
        <v/>
      </c>
    </row>
    <row r="1006" spans="1:25" x14ac:dyDescent="0.25">
      <c r="F1006" s="18">
        <f t="shared" si="90"/>
        <v>0</v>
      </c>
      <c r="G1006" s="1" t="str">
        <f t="shared" si="93"/>
        <v/>
      </c>
      <c r="M1006" s="18">
        <f t="shared" si="91"/>
        <v>0</v>
      </c>
      <c r="N1006" s="1" t="str">
        <f t="shared" si="94"/>
        <v/>
      </c>
      <c r="T1006" s="18">
        <f t="shared" si="92"/>
        <v>0</v>
      </c>
      <c r="U1006" s="1" t="str">
        <f t="shared" si="95"/>
        <v/>
      </c>
      <c r="W1006" s="21" t="str">
        <f>IF(C1006&gt;0,CONCATENATE("0x",(DEC2HEX(IF(B1006&lt;&gt;"",VLOOKUP(B1006,Notes!$A$2:$B$37,2,FALSE)*1024,0) + C1006*16 + IF(D1006="",7,D1006)*2 + IF(E1006&gt;0, 1, 0))),","),"")</f>
        <v/>
      </c>
      <c r="X1006" s="21" t="str">
        <f>IF(J1006&gt;0,CONCATENATE("0x",(DEC2HEX(IF(I1006&lt;&gt;"",VLOOKUP(I1006,Notes!$A$2:$B$37,2,FALSE)*1024,0) + J1006*16 + IF(K1006="",7,K1006)*2 + IF(L1006&gt;0, 1, 0))),","),"")</f>
        <v/>
      </c>
      <c r="Y1006" s="21" t="str">
        <f>IF(Q1006&gt;0,CONCATENATE("0x",(DEC2HEX(IF(P1006&lt;&gt;"",VLOOKUP(P1006,Notes!$A$2:$B$37,2,FALSE)*1024,0) + Q1006*16 + IF(R1006="",7,R1006)*2 + IF(S1006&gt;0, 1, 0))),","),"")</f>
        <v/>
      </c>
    </row>
    <row r="1007" spans="1:25" x14ac:dyDescent="0.25">
      <c r="F1007" s="18">
        <f t="shared" si="90"/>
        <v>0</v>
      </c>
      <c r="G1007" s="1" t="str">
        <f t="shared" si="93"/>
        <v/>
      </c>
      <c r="M1007" s="18">
        <f t="shared" si="91"/>
        <v>0</v>
      </c>
      <c r="N1007" s="1" t="str">
        <f t="shared" si="94"/>
        <v/>
      </c>
      <c r="T1007" s="18">
        <f t="shared" si="92"/>
        <v>0</v>
      </c>
      <c r="U1007" s="1" t="str">
        <f t="shared" si="95"/>
        <v/>
      </c>
      <c r="W1007" s="21" t="str">
        <f>IF(C1007&gt;0,CONCATENATE("0x",(DEC2HEX(IF(B1007&lt;&gt;"",VLOOKUP(B1007,Notes!$A$2:$B$37,2,FALSE)*1024,0) + C1007*16 + IF(D1007="",7,D1007)*2 + IF(E1007&gt;0, 1, 0))),","),"")</f>
        <v/>
      </c>
      <c r="X1007" s="21" t="str">
        <f>IF(J1007&gt;0,CONCATENATE("0x",(DEC2HEX(IF(I1007&lt;&gt;"",VLOOKUP(I1007,Notes!$A$2:$B$37,2,FALSE)*1024,0) + J1007*16 + IF(K1007="",7,K1007)*2 + IF(L1007&gt;0, 1, 0))),","),"")</f>
        <v/>
      </c>
      <c r="Y1007" s="21" t="str">
        <f>IF(Q1007&gt;0,CONCATENATE("0x",(DEC2HEX(IF(P1007&lt;&gt;"",VLOOKUP(P1007,Notes!$A$2:$B$37,2,FALSE)*1024,0) + Q1007*16 + IF(R1007="",7,R1007)*2 + IF(S1007&gt;0, 1, 0))),","),"")</f>
        <v/>
      </c>
    </row>
    <row r="1008" spans="1:25" x14ac:dyDescent="0.25">
      <c r="F1008" s="18">
        <f t="shared" si="90"/>
        <v>0</v>
      </c>
      <c r="G1008" s="1" t="str">
        <f t="shared" si="93"/>
        <v/>
      </c>
      <c r="M1008" s="18">
        <f t="shared" si="91"/>
        <v>0</v>
      </c>
      <c r="N1008" s="1" t="str">
        <f t="shared" si="94"/>
        <v/>
      </c>
      <c r="T1008" s="18">
        <f t="shared" si="92"/>
        <v>0</v>
      </c>
      <c r="U1008" s="1" t="str">
        <f t="shared" si="95"/>
        <v/>
      </c>
      <c r="W1008" s="21" t="str">
        <f>IF(C1008&gt;0,CONCATENATE("0x",(DEC2HEX(IF(B1008&lt;&gt;"",VLOOKUP(B1008,Notes!$A$2:$B$37,2,FALSE)*1024,0) + C1008*16 + IF(D1008="",7,D1008)*2 + IF(E1008&gt;0, 1, 0))),","),"")</f>
        <v/>
      </c>
      <c r="X1008" s="21" t="str">
        <f>IF(J1008&gt;0,CONCATENATE("0x",(DEC2HEX(IF(I1008&lt;&gt;"",VLOOKUP(I1008,Notes!$A$2:$B$37,2,FALSE)*1024,0) + J1008*16 + IF(K1008="",7,K1008)*2 + IF(L1008&gt;0, 1, 0))),","),"")</f>
        <v/>
      </c>
      <c r="Y1008" s="21" t="str">
        <f>IF(Q1008&gt;0,CONCATENATE("0x",(DEC2HEX(IF(P1008&lt;&gt;"",VLOOKUP(P1008,Notes!$A$2:$B$37,2,FALSE)*1024,0) + Q1008*16 + IF(R1008="",7,R1008)*2 + IF(S1008&gt;0, 1, 0))),","),"")</f>
        <v/>
      </c>
    </row>
    <row r="1009" spans="2:25" x14ac:dyDescent="0.25">
      <c r="B1009" s="12"/>
      <c r="C1009" s="13"/>
      <c r="D1009" s="13"/>
      <c r="E1009" s="14"/>
      <c r="F1009" s="18">
        <f t="shared" si="90"/>
        <v>0</v>
      </c>
      <c r="G1009" s="1" t="str">
        <f t="shared" si="93"/>
        <v/>
      </c>
      <c r="I1009" s="12"/>
      <c r="J1009" s="13"/>
      <c r="K1009" s="13"/>
      <c r="L1009" s="14"/>
      <c r="M1009" s="18">
        <f t="shared" si="91"/>
        <v>0</v>
      </c>
      <c r="N1009" s="1" t="str">
        <f t="shared" si="94"/>
        <v/>
      </c>
      <c r="P1009" s="12"/>
      <c r="Q1009" s="13"/>
      <c r="R1009" s="13"/>
      <c r="S1009" s="14"/>
      <c r="T1009" s="18">
        <f t="shared" si="92"/>
        <v>0</v>
      </c>
      <c r="U1009" s="1" t="str">
        <f t="shared" si="95"/>
        <v/>
      </c>
      <c r="W1009" s="21" t="str">
        <f>IF(C1009&gt;0,CONCATENATE("0x",(DEC2HEX(IF(B1009&lt;&gt;"",VLOOKUP(B1009,Notes!$A$2:$B$37,2,FALSE)*1024,0) + C1009*16 + IF(D1009="",7,D1009)*2 + IF(E1009&gt;0, 1, 0))),","),"")</f>
        <v/>
      </c>
      <c r="X1009" s="21" t="str">
        <f>IF(J1009&gt;0,CONCATENATE("0x",(DEC2HEX(IF(I1009&lt;&gt;"",VLOOKUP(I1009,Notes!$A$2:$B$37,2,FALSE)*1024,0) + J1009*16 + IF(K1009="",7,K1009)*2 + IF(L1009&gt;0, 1, 0))),","),"")</f>
        <v/>
      </c>
      <c r="Y1009" s="21" t="str">
        <f>IF(Q1009&gt;0,CONCATENATE("0x",(DEC2HEX(IF(P1009&lt;&gt;"",VLOOKUP(P1009,Notes!$A$2:$B$37,2,FALSE)*1024,0) + Q1009*16 + IF(R1009="",7,R1009)*2 + IF(S1009&gt;0, 1, 0))),","),"")</f>
        <v/>
      </c>
    </row>
    <row r="1010" spans="2:25" x14ac:dyDescent="0.25">
      <c r="F1010" s="18">
        <f t="shared" si="90"/>
        <v>0</v>
      </c>
      <c r="G1010" s="1" t="str">
        <f t="shared" si="93"/>
        <v/>
      </c>
      <c r="M1010" s="18">
        <f t="shared" si="91"/>
        <v>0</v>
      </c>
      <c r="N1010" s="1" t="str">
        <f t="shared" si="94"/>
        <v/>
      </c>
      <c r="T1010" s="18">
        <f t="shared" si="92"/>
        <v>0</v>
      </c>
      <c r="U1010" s="1" t="str">
        <f t="shared" si="95"/>
        <v/>
      </c>
      <c r="W1010" s="21" t="str">
        <f>IF(C1010&gt;0,CONCATENATE("0x",(DEC2HEX(IF(B1010&lt;&gt;"",VLOOKUP(B1010,Notes!$A$2:$B$37,2,FALSE)*1024,0) + C1010*16 + IF(D1010="",7,D1010)*2 + IF(E1010&gt;0, 1, 0))),","),"")</f>
        <v/>
      </c>
      <c r="X1010" s="21" t="str">
        <f>IF(J1010&gt;0,CONCATENATE("0x",(DEC2HEX(IF(I1010&lt;&gt;"",VLOOKUP(I1010,Notes!$A$2:$B$37,2,FALSE)*1024,0) + J1010*16 + IF(K1010="",7,K1010)*2 + IF(L1010&gt;0, 1, 0))),","),"")</f>
        <v/>
      </c>
      <c r="Y1010" s="21" t="str">
        <f>IF(Q1010&gt;0,CONCATENATE("0x",(DEC2HEX(IF(P1010&lt;&gt;"",VLOOKUP(P1010,Notes!$A$2:$B$37,2,FALSE)*1024,0) + Q1010*16 + IF(R1010="",7,R1010)*2 + IF(S1010&gt;0, 1, 0))),","),"")</f>
        <v/>
      </c>
    </row>
    <row r="1011" spans="2:25" x14ac:dyDescent="0.25">
      <c r="F1011" s="18">
        <f t="shared" si="90"/>
        <v>0</v>
      </c>
      <c r="G1011" s="1" t="str">
        <f t="shared" si="93"/>
        <v/>
      </c>
      <c r="M1011" s="18">
        <f t="shared" si="91"/>
        <v>0</v>
      </c>
      <c r="N1011" s="1" t="str">
        <f t="shared" si="94"/>
        <v/>
      </c>
      <c r="T1011" s="18">
        <f t="shared" si="92"/>
        <v>0</v>
      </c>
      <c r="U1011" s="1" t="str">
        <f t="shared" si="95"/>
        <v/>
      </c>
      <c r="W1011" s="21" t="str">
        <f>IF(C1011&gt;0,CONCATENATE("0x",(DEC2HEX(IF(B1011&lt;&gt;"",VLOOKUP(B1011,Notes!$A$2:$B$37,2,FALSE)*1024,0) + C1011*16 + IF(D1011="",7,D1011)*2 + IF(E1011&gt;0, 1, 0))),","),"")</f>
        <v/>
      </c>
      <c r="X1011" s="21" t="str">
        <f>IF(J1011&gt;0,CONCATENATE("0x",(DEC2HEX(IF(I1011&lt;&gt;"",VLOOKUP(I1011,Notes!$A$2:$B$37,2,FALSE)*1024,0) + J1011*16 + IF(K1011="",7,K1011)*2 + IF(L1011&gt;0, 1, 0))),","),"")</f>
        <v/>
      </c>
      <c r="Y1011" s="21" t="str">
        <f>IF(Q1011&gt;0,CONCATENATE("0x",(DEC2HEX(IF(P1011&lt;&gt;"",VLOOKUP(P1011,Notes!$A$2:$B$37,2,FALSE)*1024,0) + Q1011*16 + IF(R1011="",7,R1011)*2 + IF(S1011&gt;0, 1, 0))),","),"")</f>
        <v/>
      </c>
    </row>
    <row r="1012" spans="2:25" x14ac:dyDescent="0.25">
      <c r="F1012" s="18">
        <f t="shared" si="90"/>
        <v>0</v>
      </c>
      <c r="G1012" s="1" t="str">
        <f t="shared" si="93"/>
        <v/>
      </c>
      <c r="M1012" s="18">
        <f t="shared" si="91"/>
        <v>0</v>
      </c>
      <c r="N1012" s="1" t="str">
        <f t="shared" si="94"/>
        <v/>
      </c>
      <c r="T1012" s="18">
        <f t="shared" si="92"/>
        <v>0</v>
      </c>
      <c r="U1012" s="1" t="str">
        <f t="shared" si="95"/>
        <v/>
      </c>
      <c r="W1012" s="21" t="str">
        <f>IF(C1012&gt;0,CONCATENATE("0x",(DEC2HEX(IF(B1012&lt;&gt;"",VLOOKUP(B1012,Notes!$A$2:$B$37,2,FALSE)*1024,0) + C1012*16 + IF(D1012="",7,D1012)*2 + IF(E1012&gt;0, 1, 0))),","),"")</f>
        <v/>
      </c>
      <c r="X1012" s="21" t="str">
        <f>IF(J1012&gt;0,CONCATENATE("0x",(DEC2HEX(IF(I1012&lt;&gt;"",VLOOKUP(I1012,Notes!$A$2:$B$37,2,FALSE)*1024,0) + J1012*16 + IF(K1012="",7,K1012)*2 + IF(L1012&gt;0, 1, 0))),","),"")</f>
        <v/>
      </c>
      <c r="Y1012" s="21" t="str">
        <f>IF(Q1012&gt;0,CONCATENATE("0x",(DEC2HEX(IF(P1012&lt;&gt;"",VLOOKUP(P1012,Notes!$A$2:$B$37,2,FALSE)*1024,0) + Q1012*16 + IF(R1012="",7,R1012)*2 + IF(S1012&gt;0, 1, 0))),","),"")</f>
        <v/>
      </c>
    </row>
    <row r="1013" spans="2:25" x14ac:dyDescent="0.25">
      <c r="F1013" s="18">
        <f t="shared" si="90"/>
        <v>0</v>
      </c>
      <c r="G1013" s="1" t="str">
        <f t="shared" si="93"/>
        <v/>
      </c>
      <c r="M1013" s="18">
        <f t="shared" si="91"/>
        <v>0</v>
      </c>
      <c r="N1013" s="1" t="str">
        <f t="shared" si="94"/>
        <v/>
      </c>
      <c r="T1013" s="18">
        <f t="shared" si="92"/>
        <v>0</v>
      </c>
      <c r="U1013" s="1" t="str">
        <f t="shared" si="95"/>
        <v/>
      </c>
      <c r="W1013" s="21" t="str">
        <f>IF(C1013&gt;0,CONCATENATE("0x",(DEC2HEX(IF(B1013&lt;&gt;"",VLOOKUP(B1013,Notes!$A$2:$B$37,2,FALSE)*1024,0) + C1013*16 + IF(D1013="",7,D1013)*2 + IF(E1013&gt;0, 1, 0))),","),"")</f>
        <v/>
      </c>
      <c r="X1013" s="21" t="str">
        <f>IF(J1013&gt;0,CONCATENATE("0x",(DEC2HEX(IF(I1013&lt;&gt;"",VLOOKUP(I1013,Notes!$A$2:$B$37,2,FALSE)*1024,0) + J1013*16 + IF(K1013="",7,K1013)*2 + IF(L1013&gt;0, 1, 0))),","),"")</f>
        <v/>
      </c>
      <c r="Y1013" s="21" t="str">
        <f>IF(Q1013&gt;0,CONCATENATE("0x",(DEC2HEX(IF(P1013&lt;&gt;"",VLOOKUP(P1013,Notes!$A$2:$B$37,2,FALSE)*1024,0) + Q1013*16 + IF(R1013="",7,R1013)*2 + IF(S1013&gt;0, 1, 0))),","),"")</f>
        <v/>
      </c>
    </row>
    <row r="1014" spans="2:25" x14ac:dyDescent="0.25">
      <c r="F1014" s="18">
        <f t="shared" si="90"/>
        <v>0</v>
      </c>
      <c r="G1014" s="1" t="str">
        <f t="shared" si="93"/>
        <v/>
      </c>
      <c r="M1014" s="18">
        <f t="shared" si="91"/>
        <v>0</v>
      </c>
      <c r="N1014" s="1" t="str">
        <f t="shared" si="94"/>
        <v/>
      </c>
      <c r="T1014" s="18">
        <f t="shared" si="92"/>
        <v>0</v>
      </c>
      <c r="U1014" s="1" t="str">
        <f t="shared" si="95"/>
        <v/>
      </c>
      <c r="W1014" s="21" t="str">
        <f>IF(C1014&gt;0,CONCATENATE("0x",(DEC2HEX(IF(B1014&lt;&gt;"",VLOOKUP(B1014,Notes!$A$2:$B$37,2,FALSE)*1024,0) + C1014*16 + IF(D1014="",7,D1014)*2 + IF(E1014&gt;0, 1, 0))),","),"")</f>
        <v/>
      </c>
      <c r="X1014" s="21" t="str">
        <f>IF(J1014&gt;0,CONCATENATE("0x",(DEC2HEX(IF(I1014&lt;&gt;"",VLOOKUP(I1014,Notes!$A$2:$B$37,2,FALSE)*1024,0) + J1014*16 + IF(K1014="",7,K1014)*2 + IF(L1014&gt;0, 1, 0))),","),"")</f>
        <v/>
      </c>
      <c r="Y1014" s="21" t="str">
        <f>IF(Q1014&gt;0,CONCATENATE("0x",(DEC2HEX(IF(P1014&lt;&gt;"",VLOOKUP(P1014,Notes!$A$2:$B$37,2,FALSE)*1024,0) + Q1014*16 + IF(R1014="",7,R1014)*2 + IF(S1014&gt;0, 1, 0))),","),"")</f>
        <v/>
      </c>
    </row>
    <row r="1015" spans="2:25" x14ac:dyDescent="0.25">
      <c r="F1015" s="18">
        <f t="shared" si="90"/>
        <v>0</v>
      </c>
      <c r="G1015" s="1" t="str">
        <f t="shared" si="93"/>
        <v/>
      </c>
      <c r="M1015" s="18">
        <f t="shared" si="91"/>
        <v>0</v>
      </c>
      <c r="N1015" s="1" t="str">
        <f t="shared" si="94"/>
        <v/>
      </c>
      <c r="T1015" s="18">
        <f t="shared" si="92"/>
        <v>0</v>
      </c>
      <c r="U1015" s="1" t="str">
        <f t="shared" si="95"/>
        <v/>
      </c>
      <c r="W1015" s="21" t="str">
        <f>IF(C1015&gt;0,CONCATENATE("0x",(DEC2HEX(IF(B1015&lt;&gt;"",VLOOKUP(B1015,Notes!$A$2:$B$37,2,FALSE)*1024,0) + C1015*16 + IF(D1015="",7,D1015)*2 + IF(E1015&gt;0, 1, 0))),","),"")</f>
        <v/>
      </c>
      <c r="X1015" s="21" t="str">
        <f>IF(J1015&gt;0,CONCATENATE("0x",(DEC2HEX(IF(I1015&lt;&gt;"",VLOOKUP(I1015,Notes!$A$2:$B$37,2,FALSE)*1024,0) + J1015*16 + IF(K1015="",7,K1015)*2 + IF(L1015&gt;0, 1, 0))),","),"")</f>
        <v/>
      </c>
      <c r="Y1015" s="21" t="str">
        <f>IF(Q1015&gt;0,CONCATENATE("0x",(DEC2HEX(IF(P1015&lt;&gt;"",VLOOKUP(P1015,Notes!$A$2:$B$37,2,FALSE)*1024,0) + Q1015*16 + IF(R1015="",7,R1015)*2 + IF(S1015&gt;0, 1, 0))),","),"")</f>
        <v/>
      </c>
    </row>
    <row r="1016" spans="2:25" x14ac:dyDescent="0.25">
      <c r="F1016" s="18">
        <f t="shared" si="90"/>
        <v>0</v>
      </c>
      <c r="G1016" s="1" t="str">
        <f t="shared" si="93"/>
        <v/>
      </c>
      <c r="M1016" s="18">
        <f t="shared" si="91"/>
        <v>0</v>
      </c>
      <c r="N1016" s="1" t="str">
        <f t="shared" si="94"/>
        <v/>
      </c>
      <c r="T1016" s="18">
        <f t="shared" si="92"/>
        <v>0</v>
      </c>
      <c r="U1016" s="1" t="str">
        <f t="shared" si="95"/>
        <v/>
      </c>
      <c r="W1016" s="21" t="str">
        <f>IF(C1016&gt;0,CONCATENATE("0x",(DEC2HEX(IF(B1016&lt;&gt;"",VLOOKUP(B1016,Notes!$A$2:$B$37,2,FALSE)*1024,0) + C1016*16 + IF(D1016="",7,D1016)*2 + IF(E1016&gt;0, 1, 0))),","),"")</f>
        <v/>
      </c>
      <c r="X1016" s="21" t="str">
        <f>IF(J1016&gt;0,CONCATENATE("0x",(DEC2HEX(IF(I1016&lt;&gt;"",VLOOKUP(I1016,Notes!$A$2:$B$37,2,FALSE)*1024,0) + J1016*16 + IF(K1016="",7,K1016)*2 + IF(L1016&gt;0, 1, 0))),","),"")</f>
        <v/>
      </c>
      <c r="Y1016" s="21" t="str">
        <f>IF(Q1016&gt;0,CONCATENATE("0x",(DEC2HEX(IF(P1016&lt;&gt;"",VLOOKUP(P1016,Notes!$A$2:$B$37,2,FALSE)*1024,0) + Q1016*16 + IF(R1016="",7,R1016)*2 + IF(S1016&gt;0, 1, 0))),","),"")</f>
        <v/>
      </c>
    </row>
    <row r="1017" spans="2:25" x14ac:dyDescent="0.25">
      <c r="B1017" s="12"/>
      <c r="C1017" s="13"/>
      <c r="D1017" s="13"/>
      <c r="E1017" s="14"/>
      <c r="F1017" s="18">
        <f t="shared" si="90"/>
        <v>0</v>
      </c>
      <c r="G1017" s="1" t="str">
        <f t="shared" si="93"/>
        <v/>
      </c>
      <c r="I1017" s="12"/>
      <c r="J1017" s="13"/>
      <c r="K1017" s="13"/>
      <c r="L1017" s="14"/>
      <c r="M1017" s="18">
        <f t="shared" si="91"/>
        <v>0</v>
      </c>
      <c r="N1017" s="1" t="str">
        <f t="shared" si="94"/>
        <v/>
      </c>
      <c r="P1017" s="12"/>
      <c r="Q1017" s="13"/>
      <c r="R1017" s="13"/>
      <c r="S1017" s="14"/>
      <c r="T1017" s="18">
        <f t="shared" si="92"/>
        <v>0</v>
      </c>
      <c r="U1017" s="1" t="str">
        <f t="shared" si="95"/>
        <v/>
      </c>
      <c r="W1017" s="21" t="str">
        <f>IF(C1017&gt;0,CONCATENATE("0x",(DEC2HEX(IF(B1017&lt;&gt;"",VLOOKUP(B1017,Notes!$A$2:$B$37,2,FALSE)*1024,0) + C1017*16 + IF(D1017="",7,D1017)*2 + IF(E1017&gt;0, 1, 0))),","),"")</f>
        <v/>
      </c>
      <c r="X1017" s="21" t="str">
        <f>IF(J1017&gt;0,CONCATENATE("0x",(DEC2HEX(IF(I1017&lt;&gt;"",VLOOKUP(I1017,Notes!$A$2:$B$37,2,FALSE)*1024,0) + J1017*16 + IF(K1017="",7,K1017)*2 + IF(L1017&gt;0, 1, 0))),","),"")</f>
        <v/>
      </c>
      <c r="Y1017" s="21" t="str">
        <f>IF(Q1017&gt;0,CONCATENATE("0x",(DEC2HEX(IF(P1017&lt;&gt;"",VLOOKUP(P1017,Notes!$A$2:$B$37,2,FALSE)*1024,0) + Q1017*16 + IF(R1017="",7,R1017)*2 + IF(S1017&gt;0, 1, 0))),","),"")</f>
        <v/>
      </c>
    </row>
    <row r="1018" spans="2:25" x14ac:dyDescent="0.25">
      <c r="F1018" s="18">
        <f t="shared" si="90"/>
        <v>0</v>
      </c>
      <c r="G1018" s="1" t="str">
        <f t="shared" si="93"/>
        <v/>
      </c>
      <c r="M1018" s="18">
        <f t="shared" si="91"/>
        <v>0</v>
      </c>
      <c r="N1018" s="1" t="str">
        <f t="shared" si="94"/>
        <v/>
      </c>
      <c r="T1018" s="18">
        <f t="shared" si="92"/>
        <v>0</v>
      </c>
      <c r="U1018" s="1" t="str">
        <f t="shared" si="95"/>
        <v/>
      </c>
      <c r="W1018" s="21" t="str">
        <f>IF(C1018&gt;0,CONCATENATE("0x",(DEC2HEX(IF(B1018&lt;&gt;"",VLOOKUP(B1018,Notes!$A$2:$B$37,2,FALSE)*1024,0) + C1018*16 + IF(D1018="",7,D1018)*2 + IF(E1018&gt;0, 1, 0))),","),"")</f>
        <v/>
      </c>
      <c r="X1018" s="21" t="str">
        <f>IF(J1018&gt;0,CONCATENATE("0x",(DEC2HEX(IF(I1018&lt;&gt;"",VLOOKUP(I1018,Notes!$A$2:$B$37,2,FALSE)*1024,0) + J1018*16 + IF(K1018="",7,K1018)*2 + IF(L1018&gt;0, 1, 0))),","),"")</f>
        <v/>
      </c>
      <c r="Y1018" s="21" t="str">
        <f>IF(Q1018&gt;0,CONCATENATE("0x",(DEC2HEX(IF(P1018&lt;&gt;"",VLOOKUP(P1018,Notes!$A$2:$B$37,2,FALSE)*1024,0) + Q1018*16 + IF(R1018="",7,R1018)*2 + IF(S1018&gt;0, 1, 0))),","),"")</f>
        <v/>
      </c>
    </row>
    <row r="1019" spans="2:25" x14ac:dyDescent="0.25">
      <c r="F1019" s="18">
        <f t="shared" si="90"/>
        <v>0</v>
      </c>
      <c r="G1019" s="1" t="str">
        <f t="shared" si="93"/>
        <v/>
      </c>
      <c r="M1019" s="18">
        <f t="shared" si="91"/>
        <v>0</v>
      </c>
      <c r="N1019" s="1" t="str">
        <f t="shared" si="94"/>
        <v/>
      </c>
      <c r="T1019" s="18">
        <f t="shared" si="92"/>
        <v>0</v>
      </c>
      <c r="U1019" s="1" t="str">
        <f t="shared" si="95"/>
        <v/>
      </c>
      <c r="W1019" s="21" t="str">
        <f>IF(C1019&gt;0,CONCATENATE("0x",(DEC2HEX(IF(B1019&lt;&gt;"",VLOOKUP(B1019,Notes!$A$2:$B$37,2,FALSE)*1024,0) + C1019*16 + IF(D1019="",7,D1019)*2 + IF(E1019&gt;0, 1, 0))),","),"")</f>
        <v/>
      </c>
      <c r="X1019" s="21" t="str">
        <f>IF(J1019&gt;0,CONCATENATE("0x",(DEC2HEX(IF(I1019&lt;&gt;"",VLOOKUP(I1019,Notes!$A$2:$B$37,2,FALSE)*1024,0) + J1019*16 + IF(K1019="",7,K1019)*2 + IF(L1019&gt;0, 1, 0))),","),"")</f>
        <v/>
      </c>
      <c r="Y1019" s="21" t="str">
        <f>IF(Q1019&gt;0,CONCATENATE("0x",(DEC2HEX(IF(P1019&lt;&gt;"",VLOOKUP(P1019,Notes!$A$2:$B$37,2,FALSE)*1024,0) + Q1019*16 + IF(R1019="",7,R1019)*2 + IF(S1019&gt;0, 1, 0))),","),"")</f>
        <v/>
      </c>
    </row>
    <row r="1020" spans="2:25" x14ac:dyDescent="0.25">
      <c r="F1020" s="18">
        <f t="shared" si="90"/>
        <v>0</v>
      </c>
      <c r="G1020" s="1" t="str">
        <f t="shared" si="93"/>
        <v/>
      </c>
      <c r="M1020" s="18">
        <f t="shared" si="91"/>
        <v>0</v>
      </c>
      <c r="N1020" s="1" t="str">
        <f t="shared" si="94"/>
        <v/>
      </c>
      <c r="T1020" s="18">
        <f t="shared" si="92"/>
        <v>0</v>
      </c>
      <c r="U1020" s="1" t="str">
        <f t="shared" si="95"/>
        <v/>
      </c>
      <c r="W1020" s="21" t="str">
        <f>IF(C1020&gt;0,CONCATENATE("0x",(DEC2HEX(IF(B1020&lt;&gt;"",VLOOKUP(B1020,Notes!$A$2:$B$37,2,FALSE)*1024,0) + C1020*16 + IF(D1020="",7,D1020)*2 + IF(E1020&gt;0, 1, 0))),","),"")</f>
        <v/>
      </c>
      <c r="X1020" s="21" t="str">
        <f>IF(J1020&gt;0,CONCATENATE("0x",(DEC2HEX(IF(I1020&lt;&gt;"",VLOOKUP(I1020,Notes!$A$2:$B$37,2,FALSE)*1024,0) + J1020*16 + IF(K1020="",7,K1020)*2 + IF(L1020&gt;0, 1, 0))),","),"")</f>
        <v/>
      </c>
      <c r="Y1020" s="21" t="str">
        <f>IF(Q1020&gt;0,CONCATENATE("0x",(DEC2HEX(IF(P1020&lt;&gt;"",VLOOKUP(P1020,Notes!$A$2:$B$37,2,FALSE)*1024,0) + Q1020*16 + IF(R1020="",7,R1020)*2 + IF(S1020&gt;0, 1, 0))),","),"")</f>
        <v/>
      </c>
    </row>
    <row r="1021" spans="2:25" x14ac:dyDescent="0.25">
      <c r="F1021" s="18">
        <f t="shared" si="90"/>
        <v>0</v>
      </c>
      <c r="G1021" s="1" t="str">
        <f t="shared" si="93"/>
        <v/>
      </c>
      <c r="M1021" s="18">
        <f t="shared" si="91"/>
        <v>0</v>
      </c>
      <c r="N1021" s="1" t="str">
        <f t="shared" si="94"/>
        <v/>
      </c>
      <c r="T1021" s="18">
        <f t="shared" si="92"/>
        <v>0</v>
      </c>
      <c r="U1021" s="1" t="str">
        <f t="shared" si="95"/>
        <v/>
      </c>
      <c r="W1021" s="21" t="str">
        <f>IF(C1021&gt;0,CONCATENATE("0x",(DEC2HEX(IF(B1021&lt;&gt;"",VLOOKUP(B1021,Notes!$A$2:$B$37,2,FALSE)*1024,0) + C1021*16 + IF(D1021="",7,D1021)*2 + IF(E1021&gt;0, 1, 0))),","),"")</f>
        <v/>
      </c>
      <c r="X1021" s="21" t="str">
        <f>IF(J1021&gt;0,CONCATENATE("0x",(DEC2HEX(IF(I1021&lt;&gt;"",VLOOKUP(I1021,Notes!$A$2:$B$37,2,FALSE)*1024,0) + J1021*16 + IF(K1021="",7,K1021)*2 + IF(L1021&gt;0, 1, 0))),","),"")</f>
        <v/>
      </c>
      <c r="Y1021" s="21" t="str">
        <f>IF(Q1021&gt;0,CONCATENATE("0x",(DEC2HEX(IF(P1021&lt;&gt;"",VLOOKUP(P1021,Notes!$A$2:$B$37,2,FALSE)*1024,0) + Q1021*16 + IF(R1021="",7,R1021)*2 + IF(S1021&gt;0, 1, 0))),","),"")</f>
        <v/>
      </c>
    </row>
    <row r="1022" spans="2:25" x14ac:dyDescent="0.25">
      <c r="F1022" s="18">
        <f t="shared" si="90"/>
        <v>0</v>
      </c>
      <c r="G1022" s="1" t="str">
        <f t="shared" si="93"/>
        <v/>
      </c>
      <c r="M1022" s="18">
        <f t="shared" si="91"/>
        <v>0</v>
      </c>
      <c r="N1022" s="1" t="str">
        <f t="shared" si="94"/>
        <v/>
      </c>
      <c r="T1022" s="18">
        <f t="shared" si="92"/>
        <v>0</v>
      </c>
      <c r="U1022" s="1" t="str">
        <f t="shared" si="95"/>
        <v/>
      </c>
      <c r="W1022" s="21" t="str">
        <f>IF(C1022&gt;0,CONCATENATE("0x",(DEC2HEX(IF(B1022&lt;&gt;"",VLOOKUP(B1022,Notes!$A$2:$B$37,2,FALSE)*1024,0) + C1022*16 + IF(D1022="",7,D1022)*2 + IF(E1022&gt;0, 1, 0))),","),"")</f>
        <v/>
      </c>
      <c r="X1022" s="21" t="str">
        <f>IF(J1022&gt;0,CONCATENATE("0x",(DEC2HEX(IF(I1022&lt;&gt;"",VLOOKUP(I1022,Notes!$A$2:$B$37,2,FALSE)*1024,0) + J1022*16 + IF(K1022="",7,K1022)*2 + IF(L1022&gt;0, 1, 0))),","),"")</f>
        <v/>
      </c>
      <c r="Y1022" s="21" t="str">
        <f>IF(Q1022&gt;0,CONCATENATE("0x",(DEC2HEX(IF(P1022&lt;&gt;"",VLOOKUP(P1022,Notes!$A$2:$B$37,2,FALSE)*1024,0) + Q1022*16 + IF(R1022="",7,R1022)*2 + IF(S1022&gt;0, 1, 0))),","),"")</f>
        <v/>
      </c>
    </row>
    <row r="1023" spans="2:25" x14ac:dyDescent="0.25">
      <c r="F1023" s="18">
        <f t="shared" si="90"/>
        <v>0</v>
      </c>
      <c r="G1023" s="1" t="str">
        <f t="shared" si="93"/>
        <v/>
      </c>
      <c r="M1023" s="18">
        <f t="shared" si="91"/>
        <v>0</v>
      </c>
      <c r="N1023" s="1" t="str">
        <f t="shared" si="94"/>
        <v/>
      </c>
      <c r="T1023" s="18">
        <f t="shared" si="92"/>
        <v>0</v>
      </c>
      <c r="U1023" s="1" t="str">
        <f t="shared" si="95"/>
        <v/>
      </c>
      <c r="W1023" s="21" t="str">
        <f>IF(C1023&gt;0,CONCATENATE("0x",(DEC2HEX(IF(B1023&lt;&gt;"",VLOOKUP(B1023,Notes!$A$2:$B$37,2,FALSE)*1024,0) + C1023*16 + IF(D1023="",7,D1023)*2 + IF(E1023&gt;0, 1, 0))),","),"")</f>
        <v/>
      </c>
      <c r="X1023" s="21" t="str">
        <f>IF(J1023&gt;0,CONCATENATE("0x",(DEC2HEX(IF(I1023&lt;&gt;"",VLOOKUP(I1023,Notes!$A$2:$B$37,2,FALSE)*1024,0) + J1023*16 + IF(K1023="",7,K1023)*2 + IF(L1023&gt;0, 1, 0))),","),"")</f>
        <v/>
      </c>
      <c r="Y1023" s="21" t="str">
        <f>IF(Q1023&gt;0,CONCATENATE("0x",(DEC2HEX(IF(P1023&lt;&gt;"",VLOOKUP(P1023,Notes!$A$2:$B$37,2,FALSE)*1024,0) + Q1023*16 + IF(R1023="",7,R1023)*2 + IF(S1023&gt;0, 1, 0))),","),"")</f>
        <v/>
      </c>
    </row>
    <row r="1024" spans="2:25" x14ac:dyDescent="0.25">
      <c r="F1024" s="18">
        <f t="shared" si="90"/>
        <v>0</v>
      </c>
      <c r="G1024" s="1" t="str">
        <f t="shared" si="93"/>
        <v/>
      </c>
      <c r="M1024" s="18">
        <f t="shared" si="91"/>
        <v>0</v>
      </c>
      <c r="N1024" s="1" t="str">
        <f t="shared" si="94"/>
        <v/>
      </c>
      <c r="T1024" s="18">
        <f t="shared" si="92"/>
        <v>0</v>
      </c>
      <c r="U1024" s="1" t="str">
        <f t="shared" si="95"/>
        <v/>
      </c>
      <c r="W1024" s="21" t="str">
        <f>IF(C1024&gt;0,CONCATENATE("0x",(DEC2HEX(IF(B1024&lt;&gt;"",VLOOKUP(B1024,Notes!$A$2:$B$37,2,FALSE)*1024,0) + C1024*16 + IF(D1024="",7,D1024)*2 + IF(E1024&gt;0, 1, 0))),","),"")</f>
        <v/>
      </c>
      <c r="X1024" s="21" t="str">
        <f>IF(J1024&gt;0,CONCATENATE("0x",(DEC2HEX(IF(I1024&lt;&gt;"",VLOOKUP(I1024,Notes!$A$2:$B$37,2,FALSE)*1024,0) + J1024*16 + IF(K1024="",7,K1024)*2 + IF(L1024&gt;0, 1, 0))),","),"")</f>
        <v/>
      </c>
      <c r="Y1024" s="21" t="str">
        <f>IF(Q1024&gt;0,CONCATENATE("0x",(DEC2HEX(IF(P1024&lt;&gt;"",VLOOKUP(P1024,Notes!$A$2:$B$37,2,FALSE)*1024,0) + Q1024*16 + IF(R1024="",7,R1024)*2 + IF(S1024&gt;0, 1, 0))),","),"")</f>
        <v/>
      </c>
    </row>
    <row r="1025" spans="1:25" ht="16.5" thickBot="1" x14ac:dyDescent="0.3">
      <c r="B1025" s="15"/>
      <c r="C1025" s="16"/>
      <c r="D1025" s="16"/>
      <c r="E1025" s="17"/>
      <c r="F1025" s="18">
        <f t="shared" si="90"/>
        <v>0</v>
      </c>
      <c r="G1025" s="1" t="str">
        <f t="shared" si="93"/>
        <v/>
      </c>
      <c r="I1025" s="15"/>
      <c r="J1025" s="16"/>
      <c r="K1025" s="16"/>
      <c r="L1025" s="17"/>
      <c r="M1025" s="18">
        <f t="shared" si="91"/>
        <v>0</v>
      </c>
      <c r="N1025" s="1" t="str">
        <f t="shared" si="94"/>
        <v/>
      </c>
      <c r="P1025" s="15"/>
      <c r="Q1025" s="16"/>
      <c r="R1025" s="16"/>
      <c r="S1025" s="17"/>
      <c r="T1025" s="18">
        <f t="shared" si="92"/>
        <v>0</v>
      </c>
      <c r="U1025" s="1" t="str">
        <f t="shared" si="95"/>
        <v/>
      </c>
      <c r="W1025" s="21" t="str">
        <f>IF(C1025&gt;0,CONCATENATE("0x",(DEC2HEX(IF(B1025&lt;&gt;"",VLOOKUP(B1025,Notes!$A$2:$B$37,2,FALSE)*1024,0) + C1025*16 + IF(D1025="",7,D1025)*2 + IF(E1025&gt;0, 1, 0))),","),"")</f>
        <v/>
      </c>
      <c r="X1025" s="21" t="str">
        <f>IF(J1025&gt;0,CONCATENATE("0x",(DEC2HEX(IF(I1025&lt;&gt;"",VLOOKUP(I1025,Notes!$A$2:$B$37,2,FALSE)*1024,0) + J1025*16 + IF(K1025="",7,K1025)*2 + IF(L1025&gt;0, 1, 0))),","),"")</f>
        <v/>
      </c>
      <c r="Y1025" s="21" t="str">
        <f>IF(Q1025&gt;0,CONCATENATE("0x",(DEC2HEX(IF(P1025&lt;&gt;"",VLOOKUP(P1025,Notes!$A$2:$B$37,2,FALSE)*1024,0) + Q1025*16 + IF(R1025="",7,R1025)*2 + IF(S1025&gt;0, 1, 0))),","),"")</f>
        <v/>
      </c>
    </row>
    <row r="1026" spans="1:25" ht="16.5" thickTop="1" x14ac:dyDescent="0.25">
      <c r="A1026" s="1">
        <v>33</v>
      </c>
      <c r="F1026" s="18">
        <f t="shared" si="90"/>
        <v>0</v>
      </c>
      <c r="G1026" s="1" t="str">
        <f t="shared" si="93"/>
        <v/>
      </c>
      <c r="M1026" s="18">
        <f t="shared" si="91"/>
        <v>0</v>
      </c>
      <c r="N1026" s="1" t="str">
        <f t="shared" si="94"/>
        <v/>
      </c>
      <c r="T1026" s="18">
        <f t="shared" si="92"/>
        <v>0</v>
      </c>
      <c r="U1026" s="1" t="str">
        <f t="shared" si="95"/>
        <v/>
      </c>
      <c r="W1026" s="21" t="str">
        <f>IF(C1026&gt;0,CONCATENATE("0x",(DEC2HEX(IF(B1026&lt;&gt;"",VLOOKUP(B1026,Notes!$A$2:$B$37,2,FALSE)*1024,0) + C1026*16 + IF(D1026="",7,D1026)*2 + IF(E1026&gt;0, 1, 0))),","),"")</f>
        <v/>
      </c>
      <c r="X1026" s="21" t="str">
        <f>IF(J1026&gt;0,CONCATENATE("0x",(DEC2HEX(IF(I1026&lt;&gt;"",VLOOKUP(I1026,Notes!$A$2:$B$37,2,FALSE)*1024,0) + J1026*16 + IF(K1026="",7,K1026)*2 + IF(L1026&gt;0, 1, 0))),","),"")</f>
        <v/>
      </c>
      <c r="Y1026" s="21" t="str">
        <f>IF(Q1026&gt;0,CONCATENATE("0x",(DEC2HEX(IF(P1026&lt;&gt;"",VLOOKUP(P1026,Notes!$A$2:$B$37,2,FALSE)*1024,0) + Q1026*16 + IF(R1026="",7,R1026)*2 + IF(S1026&gt;0, 1, 0))),","),"")</f>
        <v/>
      </c>
    </row>
    <row r="1027" spans="1:25" x14ac:dyDescent="0.25">
      <c r="F1027" s="18">
        <f t="shared" ref="F1027:F1090" si="96">IF(C1027&gt;0, C1027, MAX(F1026-1,0))</f>
        <v>0</v>
      </c>
      <c r="G1027" s="1" t="str">
        <f t="shared" si="93"/>
        <v/>
      </c>
      <c r="M1027" s="18">
        <f t="shared" ref="M1027:M1090" si="97">IF(J1027&gt;0, J1027, MAX(M1026-1,0))</f>
        <v>0</v>
      </c>
      <c r="N1027" s="1" t="str">
        <f t="shared" si="94"/>
        <v/>
      </c>
      <c r="T1027" s="18">
        <f t="shared" ref="T1027:T1090" si="98">IF(Q1027&gt;0, Q1027, MAX(T1026-1,0))</f>
        <v>0</v>
      </c>
      <c r="U1027" s="1" t="str">
        <f t="shared" si="95"/>
        <v/>
      </c>
      <c r="W1027" s="21" t="str">
        <f>IF(C1027&gt;0,CONCATENATE("0x",(DEC2HEX(IF(B1027&lt;&gt;"",VLOOKUP(B1027,Notes!$A$2:$B$37,2,FALSE)*1024,0) + C1027*16 + IF(D1027="",7,D1027)*2 + IF(E1027&gt;0, 1, 0))),","),"")</f>
        <v/>
      </c>
      <c r="X1027" s="21" t="str">
        <f>IF(J1027&gt;0,CONCATENATE("0x",(DEC2HEX(IF(I1027&lt;&gt;"",VLOOKUP(I1027,Notes!$A$2:$B$37,2,FALSE)*1024,0) + J1027*16 + IF(K1027="",7,K1027)*2 + IF(L1027&gt;0, 1, 0))),","),"")</f>
        <v/>
      </c>
      <c r="Y1027" s="21" t="str">
        <f>IF(Q1027&gt;0,CONCATENATE("0x",(DEC2HEX(IF(P1027&lt;&gt;"",VLOOKUP(P1027,Notes!$A$2:$B$37,2,FALSE)*1024,0) + Q1027*16 + IF(R1027="",7,R1027)*2 + IF(S1027&gt;0, 1, 0))),","),"")</f>
        <v/>
      </c>
    </row>
    <row r="1028" spans="1:25" x14ac:dyDescent="0.25">
      <c r="F1028" s="18">
        <f t="shared" si="96"/>
        <v>0</v>
      </c>
      <c r="G1028" s="1" t="str">
        <f t="shared" ref="G1028:G1091" si="99">IF(AND(F1027&gt;1,C1028&gt;0), "OVERLAPPING","")</f>
        <v/>
      </c>
      <c r="M1028" s="18">
        <f t="shared" si="97"/>
        <v>0</v>
      </c>
      <c r="N1028" s="1" t="str">
        <f t="shared" ref="N1028:N1091" si="100">IF(AND(M1027&gt;1,J1028&gt;0), "OVERLAPPING","")</f>
        <v/>
      </c>
      <c r="T1028" s="18">
        <f t="shared" si="98"/>
        <v>0</v>
      </c>
      <c r="U1028" s="1" t="str">
        <f t="shared" ref="U1028:U1091" si="101">IF(AND(T1027&gt;1,Q1028&gt;0), "OVERLAPPING","")</f>
        <v/>
      </c>
      <c r="W1028" s="21" t="str">
        <f>IF(C1028&gt;0,CONCATENATE("0x",(DEC2HEX(IF(B1028&lt;&gt;"",VLOOKUP(B1028,Notes!$A$2:$B$37,2,FALSE)*1024,0) + C1028*16 + IF(D1028="",7,D1028)*2 + IF(E1028&gt;0, 1, 0))),","),"")</f>
        <v/>
      </c>
      <c r="X1028" s="21" t="str">
        <f>IF(J1028&gt;0,CONCATENATE("0x",(DEC2HEX(IF(I1028&lt;&gt;"",VLOOKUP(I1028,Notes!$A$2:$B$37,2,FALSE)*1024,0) + J1028*16 + IF(K1028="",7,K1028)*2 + IF(L1028&gt;0, 1, 0))),","),"")</f>
        <v/>
      </c>
      <c r="Y1028" s="21" t="str">
        <f>IF(Q1028&gt;0,CONCATENATE("0x",(DEC2HEX(IF(P1028&lt;&gt;"",VLOOKUP(P1028,Notes!$A$2:$B$37,2,FALSE)*1024,0) + Q1028*16 + IF(R1028="",7,R1028)*2 + IF(S1028&gt;0, 1, 0))),","),"")</f>
        <v/>
      </c>
    </row>
    <row r="1029" spans="1:25" x14ac:dyDescent="0.25">
      <c r="F1029" s="18">
        <f t="shared" si="96"/>
        <v>0</v>
      </c>
      <c r="G1029" s="1" t="str">
        <f t="shared" si="99"/>
        <v/>
      </c>
      <c r="M1029" s="18">
        <f t="shared" si="97"/>
        <v>0</v>
      </c>
      <c r="N1029" s="1" t="str">
        <f t="shared" si="100"/>
        <v/>
      </c>
      <c r="T1029" s="18">
        <f t="shared" si="98"/>
        <v>0</v>
      </c>
      <c r="U1029" s="1" t="str">
        <f t="shared" si="101"/>
        <v/>
      </c>
      <c r="W1029" s="21" t="str">
        <f>IF(C1029&gt;0,CONCATENATE("0x",(DEC2HEX(IF(B1029&lt;&gt;"",VLOOKUP(B1029,Notes!$A$2:$B$37,2,FALSE)*1024,0) + C1029*16 + IF(D1029="",7,D1029)*2 + IF(E1029&gt;0, 1, 0))),","),"")</f>
        <v/>
      </c>
      <c r="X1029" s="21" t="str">
        <f>IF(J1029&gt;0,CONCATENATE("0x",(DEC2HEX(IF(I1029&lt;&gt;"",VLOOKUP(I1029,Notes!$A$2:$B$37,2,FALSE)*1024,0) + J1029*16 + IF(K1029="",7,K1029)*2 + IF(L1029&gt;0, 1, 0))),","),"")</f>
        <v/>
      </c>
      <c r="Y1029" s="21" t="str">
        <f>IF(Q1029&gt;0,CONCATENATE("0x",(DEC2HEX(IF(P1029&lt;&gt;"",VLOOKUP(P1029,Notes!$A$2:$B$37,2,FALSE)*1024,0) + Q1029*16 + IF(R1029="",7,R1029)*2 + IF(S1029&gt;0, 1, 0))),","),"")</f>
        <v/>
      </c>
    </row>
    <row r="1030" spans="1:25" x14ac:dyDescent="0.25">
      <c r="F1030" s="18">
        <f t="shared" si="96"/>
        <v>0</v>
      </c>
      <c r="G1030" s="1" t="str">
        <f t="shared" si="99"/>
        <v/>
      </c>
      <c r="M1030" s="18">
        <f t="shared" si="97"/>
        <v>0</v>
      </c>
      <c r="N1030" s="1" t="str">
        <f t="shared" si="100"/>
        <v/>
      </c>
      <c r="T1030" s="18">
        <f t="shared" si="98"/>
        <v>0</v>
      </c>
      <c r="U1030" s="1" t="str">
        <f t="shared" si="101"/>
        <v/>
      </c>
      <c r="W1030" s="21" t="str">
        <f>IF(C1030&gt;0,CONCATENATE("0x",(DEC2HEX(IF(B1030&lt;&gt;"",VLOOKUP(B1030,Notes!$A$2:$B$37,2,FALSE)*1024,0) + C1030*16 + IF(D1030="",7,D1030)*2 + IF(E1030&gt;0, 1, 0))),","),"")</f>
        <v/>
      </c>
      <c r="X1030" s="21" t="str">
        <f>IF(J1030&gt;0,CONCATENATE("0x",(DEC2HEX(IF(I1030&lt;&gt;"",VLOOKUP(I1030,Notes!$A$2:$B$37,2,FALSE)*1024,0) + J1030*16 + IF(K1030="",7,K1030)*2 + IF(L1030&gt;0, 1, 0))),","),"")</f>
        <v/>
      </c>
      <c r="Y1030" s="21" t="str">
        <f>IF(Q1030&gt;0,CONCATENATE("0x",(DEC2HEX(IF(P1030&lt;&gt;"",VLOOKUP(P1030,Notes!$A$2:$B$37,2,FALSE)*1024,0) + Q1030*16 + IF(R1030="",7,R1030)*2 + IF(S1030&gt;0, 1, 0))),","),"")</f>
        <v/>
      </c>
    </row>
    <row r="1031" spans="1:25" x14ac:dyDescent="0.25">
      <c r="F1031" s="18">
        <f t="shared" si="96"/>
        <v>0</v>
      </c>
      <c r="G1031" s="1" t="str">
        <f t="shared" si="99"/>
        <v/>
      </c>
      <c r="M1031" s="18">
        <f t="shared" si="97"/>
        <v>0</v>
      </c>
      <c r="N1031" s="1" t="str">
        <f t="shared" si="100"/>
        <v/>
      </c>
      <c r="T1031" s="18">
        <f t="shared" si="98"/>
        <v>0</v>
      </c>
      <c r="U1031" s="1" t="str">
        <f t="shared" si="101"/>
        <v/>
      </c>
      <c r="W1031" s="21" t="str">
        <f>IF(C1031&gt;0,CONCATENATE("0x",(DEC2HEX(IF(B1031&lt;&gt;"",VLOOKUP(B1031,Notes!$A$2:$B$37,2,FALSE)*1024,0) + C1031*16 + IF(D1031="",7,D1031)*2 + IF(E1031&gt;0, 1, 0))),","),"")</f>
        <v/>
      </c>
      <c r="X1031" s="21" t="str">
        <f>IF(J1031&gt;0,CONCATENATE("0x",(DEC2HEX(IF(I1031&lt;&gt;"",VLOOKUP(I1031,Notes!$A$2:$B$37,2,FALSE)*1024,0) + J1031*16 + IF(K1031="",7,K1031)*2 + IF(L1031&gt;0, 1, 0))),","),"")</f>
        <v/>
      </c>
      <c r="Y1031" s="21" t="str">
        <f>IF(Q1031&gt;0,CONCATENATE("0x",(DEC2HEX(IF(P1031&lt;&gt;"",VLOOKUP(P1031,Notes!$A$2:$B$37,2,FALSE)*1024,0) + Q1031*16 + IF(R1031="",7,R1031)*2 + IF(S1031&gt;0, 1, 0))),","),"")</f>
        <v/>
      </c>
    </row>
    <row r="1032" spans="1:25" x14ac:dyDescent="0.25">
      <c r="F1032" s="18">
        <f t="shared" si="96"/>
        <v>0</v>
      </c>
      <c r="G1032" s="1" t="str">
        <f t="shared" si="99"/>
        <v/>
      </c>
      <c r="M1032" s="18">
        <f t="shared" si="97"/>
        <v>0</v>
      </c>
      <c r="N1032" s="1" t="str">
        <f t="shared" si="100"/>
        <v/>
      </c>
      <c r="T1032" s="18">
        <f t="shared" si="98"/>
        <v>0</v>
      </c>
      <c r="U1032" s="1" t="str">
        <f t="shared" si="101"/>
        <v/>
      </c>
      <c r="W1032" s="21" t="str">
        <f>IF(C1032&gt;0,CONCATENATE("0x",(DEC2HEX(IF(B1032&lt;&gt;"",VLOOKUP(B1032,Notes!$A$2:$B$37,2,FALSE)*1024,0) + C1032*16 + IF(D1032="",7,D1032)*2 + IF(E1032&gt;0, 1, 0))),","),"")</f>
        <v/>
      </c>
      <c r="X1032" s="21" t="str">
        <f>IF(J1032&gt;0,CONCATENATE("0x",(DEC2HEX(IF(I1032&lt;&gt;"",VLOOKUP(I1032,Notes!$A$2:$B$37,2,FALSE)*1024,0) + J1032*16 + IF(K1032="",7,K1032)*2 + IF(L1032&gt;0, 1, 0))),","),"")</f>
        <v/>
      </c>
      <c r="Y1032" s="21" t="str">
        <f>IF(Q1032&gt;0,CONCATENATE("0x",(DEC2HEX(IF(P1032&lt;&gt;"",VLOOKUP(P1032,Notes!$A$2:$B$37,2,FALSE)*1024,0) + Q1032*16 + IF(R1032="",7,R1032)*2 + IF(S1032&gt;0, 1, 0))),","),"")</f>
        <v/>
      </c>
    </row>
    <row r="1033" spans="1:25" x14ac:dyDescent="0.25">
      <c r="B1033" s="12"/>
      <c r="C1033" s="13"/>
      <c r="D1033" s="13"/>
      <c r="E1033" s="14"/>
      <c r="F1033" s="18">
        <f t="shared" si="96"/>
        <v>0</v>
      </c>
      <c r="G1033" s="1" t="str">
        <f t="shared" si="99"/>
        <v/>
      </c>
      <c r="I1033" s="12"/>
      <c r="J1033" s="13"/>
      <c r="K1033" s="13"/>
      <c r="L1033" s="14"/>
      <c r="M1033" s="18">
        <f t="shared" si="97"/>
        <v>0</v>
      </c>
      <c r="N1033" s="1" t="str">
        <f t="shared" si="100"/>
        <v/>
      </c>
      <c r="P1033" s="12"/>
      <c r="Q1033" s="13"/>
      <c r="R1033" s="13"/>
      <c r="S1033" s="14"/>
      <c r="T1033" s="18">
        <f t="shared" si="98"/>
        <v>0</v>
      </c>
      <c r="U1033" s="1" t="str">
        <f t="shared" si="101"/>
        <v/>
      </c>
      <c r="W1033" s="21" t="str">
        <f>IF(C1033&gt;0,CONCATENATE("0x",(DEC2HEX(IF(B1033&lt;&gt;"",VLOOKUP(B1033,Notes!$A$2:$B$37,2,FALSE)*1024,0) + C1033*16 + IF(D1033="",7,D1033)*2 + IF(E1033&gt;0, 1, 0))),","),"")</f>
        <v/>
      </c>
      <c r="X1033" s="21" t="str">
        <f>IF(J1033&gt;0,CONCATENATE("0x",(DEC2HEX(IF(I1033&lt;&gt;"",VLOOKUP(I1033,Notes!$A$2:$B$37,2,FALSE)*1024,0) + J1033*16 + IF(K1033="",7,K1033)*2 + IF(L1033&gt;0, 1, 0))),","),"")</f>
        <v/>
      </c>
      <c r="Y1033" s="21" t="str">
        <f>IF(Q1033&gt;0,CONCATENATE("0x",(DEC2HEX(IF(P1033&lt;&gt;"",VLOOKUP(P1033,Notes!$A$2:$B$37,2,FALSE)*1024,0) + Q1033*16 + IF(R1033="",7,R1033)*2 + IF(S1033&gt;0, 1, 0))),","),"")</f>
        <v/>
      </c>
    </row>
    <row r="1034" spans="1:25" x14ac:dyDescent="0.25">
      <c r="F1034" s="18">
        <f t="shared" si="96"/>
        <v>0</v>
      </c>
      <c r="G1034" s="1" t="str">
        <f t="shared" si="99"/>
        <v/>
      </c>
      <c r="M1034" s="18">
        <f t="shared" si="97"/>
        <v>0</v>
      </c>
      <c r="N1034" s="1" t="str">
        <f t="shared" si="100"/>
        <v/>
      </c>
      <c r="T1034" s="18">
        <f t="shared" si="98"/>
        <v>0</v>
      </c>
      <c r="U1034" s="1" t="str">
        <f t="shared" si="101"/>
        <v/>
      </c>
      <c r="W1034" s="21" t="str">
        <f>IF(C1034&gt;0,CONCATENATE("0x",(DEC2HEX(IF(B1034&lt;&gt;"",VLOOKUP(B1034,Notes!$A$2:$B$37,2,FALSE)*1024,0) + C1034*16 + IF(D1034="",7,D1034)*2 + IF(E1034&gt;0, 1, 0))),","),"")</f>
        <v/>
      </c>
      <c r="X1034" s="21" t="str">
        <f>IF(J1034&gt;0,CONCATENATE("0x",(DEC2HEX(IF(I1034&lt;&gt;"",VLOOKUP(I1034,Notes!$A$2:$B$37,2,FALSE)*1024,0) + J1034*16 + IF(K1034="",7,K1034)*2 + IF(L1034&gt;0, 1, 0))),","),"")</f>
        <v/>
      </c>
      <c r="Y1034" s="21" t="str">
        <f>IF(Q1034&gt;0,CONCATENATE("0x",(DEC2HEX(IF(P1034&lt;&gt;"",VLOOKUP(P1034,Notes!$A$2:$B$37,2,FALSE)*1024,0) + Q1034*16 + IF(R1034="",7,R1034)*2 + IF(S1034&gt;0, 1, 0))),","),"")</f>
        <v/>
      </c>
    </row>
    <row r="1035" spans="1:25" x14ac:dyDescent="0.25">
      <c r="F1035" s="18">
        <f t="shared" si="96"/>
        <v>0</v>
      </c>
      <c r="G1035" s="1" t="str">
        <f t="shared" si="99"/>
        <v/>
      </c>
      <c r="M1035" s="18">
        <f t="shared" si="97"/>
        <v>0</v>
      </c>
      <c r="N1035" s="1" t="str">
        <f t="shared" si="100"/>
        <v/>
      </c>
      <c r="T1035" s="18">
        <f t="shared" si="98"/>
        <v>0</v>
      </c>
      <c r="U1035" s="1" t="str">
        <f t="shared" si="101"/>
        <v/>
      </c>
      <c r="W1035" s="21" t="str">
        <f>IF(C1035&gt;0,CONCATENATE("0x",(DEC2HEX(IF(B1035&lt;&gt;"",VLOOKUP(B1035,Notes!$A$2:$B$37,2,FALSE)*1024,0) + C1035*16 + IF(D1035="",7,D1035)*2 + IF(E1035&gt;0, 1, 0))),","),"")</f>
        <v/>
      </c>
      <c r="X1035" s="21" t="str">
        <f>IF(J1035&gt;0,CONCATENATE("0x",(DEC2HEX(IF(I1035&lt;&gt;"",VLOOKUP(I1035,Notes!$A$2:$B$37,2,FALSE)*1024,0) + J1035*16 + IF(K1035="",7,K1035)*2 + IF(L1035&gt;0, 1, 0))),","),"")</f>
        <v/>
      </c>
      <c r="Y1035" s="21" t="str">
        <f>IF(Q1035&gt;0,CONCATENATE("0x",(DEC2HEX(IF(P1035&lt;&gt;"",VLOOKUP(P1035,Notes!$A$2:$B$37,2,FALSE)*1024,0) + Q1035*16 + IF(R1035="",7,R1035)*2 + IF(S1035&gt;0, 1, 0))),","),"")</f>
        <v/>
      </c>
    </row>
    <row r="1036" spans="1:25" x14ac:dyDescent="0.25">
      <c r="F1036" s="18">
        <f t="shared" si="96"/>
        <v>0</v>
      </c>
      <c r="G1036" s="1" t="str">
        <f t="shared" si="99"/>
        <v/>
      </c>
      <c r="M1036" s="18">
        <f t="shared" si="97"/>
        <v>0</v>
      </c>
      <c r="N1036" s="1" t="str">
        <f t="shared" si="100"/>
        <v/>
      </c>
      <c r="T1036" s="18">
        <f t="shared" si="98"/>
        <v>0</v>
      </c>
      <c r="U1036" s="1" t="str">
        <f t="shared" si="101"/>
        <v/>
      </c>
      <c r="W1036" s="21" t="str">
        <f>IF(C1036&gt;0,CONCATENATE("0x",(DEC2HEX(IF(B1036&lt;&gt;"",VLOOKUP(B1036,Notes!$A$2:$B$37,2,FALSE)*1024,0) + C1036*16 + IF(D1036="",7,D1036)*2 + IF(E1036&gt;0, 1, 0))),","),"")</f>
        <v/>
      </c>
      <c r="X1036" s="21" t="str">
        <f>IF(J1036&gt;0,CONCATENATE("0x",(DEC2HEX(IF(I1036&lt;&gt;"",VLOOKUP(I1036,Notes!$A$2:$B$37,2,FALSE)*1024,0) + J1036*16 + IF(K1036="",7,K1036)*2 + IF(L1036&gt;0, 1, 0))),","),"")</f>
        <v/>
      </c>
      <c r="Y1036" s="21" t="str">
        <f>IF(Q1036&gt;0,CONCATENATE("0x",(DEC2HEX(IF(P1036&lt;&gt;"",VLOOKUP(P1036,Notes!$A$2:$B$37,2,FALSE)*1024,0) + Q1036*16 + IF(R1036="",7,R1036)*2 + IF(S1036&gt;0, 1, 0))),","),"")</f>
        <v/>
      </c>
    </row>
    <row r="1037" spans="1:25" x14ac:dyDescent="0.25">
      <c r="F1037" s="18">
        <f t="shared" si="96"/>
        <v>0</v>
      </c>
      <c r="G1037" s="1" t="str">
        <f t="shared" si="99"/>
        <v/>
      </c>
      <c r="M1037" s="18">
        <f t="shared" si="97"/>
        <v>0</v>
      </c>
      <c r="N1037" s="1" t="str">
        <f t="shared" si="100"/>
        <v/>
      </c>
      <c r="T1037" s="18">
        <f t="shared" si="98"/>
        <v>0</v>
      </c>
      <c r="U1037" s="1" t="str">
        <f t="shared" si="101"/>
        <v/>
      </c>
      <c r="W1037" s="21" t="str">
        <f>IF(C1037&gt;0,CONCATENATE("0x",(DEC2HEX(IF(B1037&lt;&gt;"",VLOOKUP(B1037,Notes!$A$2:$B$37,2,FALSE)*1024,0) + C1037*16 + IF(D1037="",7,D1037)*2 + IF(E1037&gt;0, 1, 0))),","),"")</f>
        <v/>
      </c>
      <c r="X1037" s="21" t="str">
        <f>IF(J1037&gt;0,CONCATENATE("0x",(DEC2HEX(IF(I1037&lt;&gt;"",VLOOKUP(I1037,Notes!$A$2:$B$37,2,FALSE)*1024,0) + J1037*16 + IF(K1037="",7,K1037)*2 + IF(L1037&gt;0, 1, 0))),","),"")</f>
        <v/>
      </c>
      <c r="Y1037" s="21" t="str">
        <f>IF(Q1037&gt;0,CONCATENATE("0x",(DEC2HEX(IF(P1037&lt;&gt;"",VLOOKUP(P1037,Notes!$A$2:$B$37,2,FALSE)*1024,0) + Q1037*16 + IF(R1037="",7,R1037)*2 + IF(S1037&gt;0, 1, 0))),","),"")</f>
        <v/>
      </c>
    </row>
    <row r="1038" spans="1:25" x14ac:dyDescent="0.25">
      <c r="F1038" s="18">
        <f t="shared" si="96"/>
        <v>0</v>
      </c>
      <c r="G1038" s="1" t="str">
        <f t="shared" si="99"/>
        <v/>
      </c>
      <c r="M1038" s="18">
        <f t="shared" si="97"/>
        <v>0</v>
      </c>
      <c r="N1038" s="1" t="str">
        <f t="shared" si="100"/>
        <v/>
      </c>
      <c r="T1038" s="18">
        <f t="shared" si="98"/>
        <v>0</v>
      </c>
      <c r="U1038" s="1" t="str">
        <f t="shared" si="101"/>
        <v/>
      </c>
      <c r="W1038" s="21" t="str">
        <f>IF(C1038&gt;0,CONCATENATE("0x",(DEC2HEX(IF(B1038&lt;&gt;"",VLOOKUP(B1038,Notes!$A$2:$B$37,2,FALSE)*1024,0) + C1038*16 + IF(D1038="",7,D1038)*2 + IF(E1038&gt;0, 1, 0))),","),"")</f>
        <v/>
      </c>
      <c r="X1038" s="21" t="str">
        <f>IF(J1038&gt;0,CONCATENATE("0x",(DEC2HEX(IF(I1038&lt;&gt;"",VLOOKUP(I1038,Notes!$A$2:$B$37,2,FALSE)*1024,0) + J1038*16 + IF(K1038="",7,K1038)*2 + IF(L1038&gt;0, 1, 0))),","),"")</f>
        <v/>
      </c>
      <c r="Y1038" s="21" t="str">
        <f>IF(Q1038&gt;0,CONCATENATE("0x",(DEC2HEX(IF(P1038&lt;&gt;"",VLOOKUP(P1038,Notes!$A$2:$B$37,2,FALSE)*1024,0) + Q1038*16 + IF(R1038="",7,R1038)*2 + IF(S1038&gt;0, 1, 0))),","),"")</f>
        <v/>
      </c>
    </row>
    <row r="1039" spans="1:25" x14ac:dyDescent="0.25">
      <c r="F1039" s="18">
        <f t="shared" si="96"/>
        <v>0</v>
      </c>
      <c r="G1039" s="1" t="str">
        <f t="shared" si="99"/>
        <v/>
      </c>
      <c r="M1039" s="18">
        <f t="shared" si="97"/>
        <v>0</v>
      </c>
      <c r="N1039" s="1" t="str">
        <f t="shared" si="100"/>
        <v/>
      </c>
      <c r="T1039" s="18">
        <f t="shared" si="98"/>
        <v>0</v>
      </c>
      <c r="U1039" s="1" t="str">
        <f t="shared" si="101"/>
        <v/>
      </c>
      <c r="W1039" s="21" t="str">
        <f>IF(C1039&gt;0,CONCATENATE("0x",(DEC2HEX(IF(B1039&lt;&gt;"",VLOOKUP(B1039,Notes!$A$2:$B$37,2,FALSE)*1024,0) + C1039*16 + IF(D1039="",7,D1039)*2 + IF(E1039&gt;0, 1, 0))),","),"")</f>
        <v/>
      </c>
      <c r="X1039" s="21" t="str">
        <f>IF(J1039&gt;0,CONCATENATE("0x",(DEC2HEX(IF(I1039&lt;&gt;"",VLOOKUP(I1039,Notes!$A$2:$B$37,2,FALSE)*1024,0) + J1039*16 + IF(K1039="",7,K1039)*2 + IF(L1039&gt;0, 1, 0))),","),"")</f>
        <v/>
      </c>
      <c r="Y1039" s="21" t="str">
        <f>IF(Q1039&gt;0,CONCATENATE("0x",(DEC2HEX(IF(P1039&lt;&gt;"",VLOOKUP(P1039,Notes!$A$2:$B$37,2,FALSE)*1024,0) + Q1039*16 + IF(R1039="",7,R1039)*2 + IF(S1039&gt;0, 1, 0))),","),"")</f>
        <v/>
      </c>
    </row>
    <row r="1040" spans="1:25" x14ac:dyDescent="0.25">
      <c r="F1040" s="18">
        <f t="shared" si="96"/>
        <v>0</v>
      </c>
      <c r="G1040" s="1" t="str">
        <f t="shared" si="99"/>
        <v/>
      </c>
      <c r="M1040" s="18">
        <f t="shared" si="97"/>
        <v>0</v>
      </c>
      <c r="N1040" s="1" t="str">
        <f t="shared" si="100"/>
        <v/>
      </c>
      <c r="T1040" s="18">
        <f t="shared" si="98"/>
        <v>0</v>
      </c>
      <c r="U1040" s="1" t="str">
        <f t="shared" si="101"/>
        <v/>
      </c>
      <c r="W1040" s="21" t="str">
        <f>IF(C1040&gt;0,CONCATENATE("0x",(DEC2HEX(IF(B1040&lt;&gt;"",VLOOKUP(B1040,Notes!$A$2:$B$37,2,FALSE)*1024,0) + C1040*16 + IF(D1040="",7,D1040)*2 + IF(E1040&gt;0, 1, 0))),","),"")</f>
        <v/>
      </c>
      <c r="X1040" s="21" t="str">
        <f>IF(J1040&gt;0,CONCATENATE("0x",(DEC2HEX(IF(I1040&lt;&gt;"",VLOOKUP(I1040,Notes!$A$2:$B$37,2,FALSE)*1024,0) + J1040*16 + IF(K1040="",7,K1040)*2 + IF(L1040&gt;0, 1, 0))),","),"")</f>
        <v/>
      </c>
      <c r="Y1040" s="21" t="str">
        <f>IF(Q1040&gt;0,CONCATENATE("0x",(DEC2HEX(IF(P1040&lt;&gt;"",VLOOKUP(P1040,Notes!$A$2:$B$37,2,FALSE)*1024,0) + Q1040*16 + IF(R1040="",7,R1040)*2 + IF(S1040&gt;0, 1, 0))),","),"")</f>
        <v/>
      </c>
    </row>
    <row r="1041" spans="2:25" x14ac:dyDescent="0.25">
      <c r="B1041" s="12"/>
      <c r="C1041" s="13"/>
      <c r="D1041" s="13"/>
      <c r="E1041" s="14"/>
      <c r="F1041" s="18">
        <f t="shared" si="96"/>
        <v>0</v>
      </c>
      <c r="G1041" s="1" t="str">
        <f t="shared" si="99"/>
        <v/>
      </c>
      <c r="I1041" s="12"/>
      <c r="J1041" s="13"/>
      <c r="K1041" s="13"/>
      <c r="L1041" s="14"/>
      <c r="M1041" s="18">
        <f t="shared" si="97"/>
        <v>0</v>
      </c>
      <c r="N1041" s="1" t="str">
        <f t="shared" si="100"/>
        <v/>
      </c>
      <c r="P1041" s="12"/>
      <c r="Q1041" s="13"/>
      <c r="R1041" s="13"/>
      <c r="S1041" s="14"/>
      <c r="T1041" s="18">
        <f t="shared" si="98"/>
        <v>0</v>
      </c>
      <c r="U1041" s="1" t="str">
        <f t="shared" si="101"/>
        <v/>
      </c>
      <c r="W1041" s="21" t="str">
        <f>IF(C1041&gt;0,CONCATENATE("0x",(DEC2HEX(IF(B1041&lt;&gt;"",VLOOKUP(B1041,Notes!$A$2:$B$37,2,FALSE)*1024,0) + C1041*16 + IF(D1041="",7,D1041)*2 + IF(E1041&gt;0, 1, 0))),","),"")</f>
        <v/>
      </c>
      <c r="X1041" s="21" t="str">
        <f>IF(J1041&gt;0,CONCATENATE("0x",(DEC2HEX(IF(I1041&lt;&gt;"",VLOOKUP(I1041,Notes!$A$2:$B$37,2,FALSE)*1024,0) + J1041*16 + IF(K1041="",7,K1041)*2 + IF(L1041&gt;0, 1, 0))),","),"")</f>
        <v/>
      </c>
      <c r="Y1041" s="21" t="str">
        <f>IF(Q1041&gt;0,CONCATENATE("0x",(DEC2HEX(IF(P1041&lt;&gt;"",VLOOKUP(P1041,Notes!$A$2:$B$37,2,FALSE)*1024,0) + Q1041*16 + IF(R1041="",7,R1041)*2 + IF(S1041&gt;0, 1, 0))),","),"")</f>
        <v/>
      </c>
    </row>
    <row r="1042" spans="2:25" x14ac:dyDescent="0.25">
      <c r="F1042" s="18">
        <f t="shared" si="96"/>
        <v>0</v>
      </c>
      <c r="G1042" s="1" t="str">
        <f t="shared" si="99"/>
        <v/>
      </c>
      <c r="M1042" s="18">
        <f t="shared" si="97"/>
        <v>0</v>
      </c>
      <c r="N1042" s="1" t="str">
        <f t="shared" si="100"/>
        <v/>
      </c>
      <c r="T1042" s="18">
        <f t="shared" si="98"/>
        <v>0</v>
      </c>
      <c r="U1042" s="1" t="str">
        <f t="shared" si="101"/>
        <v/>
      </c>
      <c r="W1042" s="21" t="str">
        <f>IF(C1042&gt;0,CONCATENATE("0x",(DEC2HEX(IF(B1042&lt;&gt;"",VLOOKUP(B1042,Notes!$A$2:$B$37,2,FALSE)*1024,0) + C1042*16 + IF(D1042="",7,D1042)*2 + IF(E1042&gt;0, 1, 0))),","),"")</f>
        <v/>
      </c>
      <c r="X1042" s="21" t="str">
        <f>IF(J1042&gt;0,CONCATENATE("0x",(DEC2HEX(IF(I1042&lt;&gt;"",VLOOKUP(I1042,Notes!$A$2:$B$37,2,FALSE)*1024,0) + J1042*16 + IF(K1042="",7,K1042)*2 + IF(L1042&gt;0, 1, 0))),","),"")</f>
        <v/>
      </c>
      <c r="Y1042" s="21" t="str">
        <f>IF(Q1042&gt;0,CONCATENATE("0x",(DEC2HEX(IF(P1042&lt;&gt;"",VLOOKUP(P1042,Notes!$A$2:$B$37,2,FALSE)*1024,0) + Q1042*16 + IF(R1042="",7,R1042)*2 + IF(S1042&gt;0, 1, 0))),","),"")</f>
        <v/>
      </c>
    </row>
    <row r="1043" spans="2:25" x14ac:dyDescent="0.25">
      <c r="F1043" s="18">
        <f t="shared" si="96"/>
        <v>0</v>
      </c>
      <c r="G1043" s="1" t="str">
        <f t="shared" si="99"/>
        <v/>
      </c>
      <c r="M1043" s="18">
        <f t="shared" si="97"/>
        <v>0</v>
      </c>
      <c r="N1043" s="1" t="str">
        <f t="shared" si="100"/>
        <v/>
      </c>
      <c r="T1043" s="18">
        <f t="shared" si="98"/>
        <v>0</v>
      </c>
      <c r="U1043" s="1" t="str">
        <f t="shared" si="101"/>
        <v/>
      </c>
      <c r="W1043" s="21" t="str">
        <f>IF(C1043&gt;0,CONCATENATE("0x",(DEC2HEX(IF(B1043&lt;&gt;"",VLOOKUP(B1043,Notes!$A$2:$B$37,2,FALSE)*1024,0) + C1043*16 + IF(D1043="",7,D1043)*2 + IF(E1043&gt;0, 1, 0))),","),"")</f>
        <v/>
      </c>
      <c r="X1043" s="21" t="str">
        <f>IF(J1043&gt;0,CONCATENATE("0x",(DEC2HEX(IF(I1043&lt;&gt;"",VLOOKUP(I1043,Notes!$A$2:$B$37,2,FALSE)*1024,0) + J1043*16 + IF(K1043="",7,K1043)*2 + IF(L1043&gt;0, 1, 0))),","),"")</f>
        <v/>
      </c>
      <c r="Y1043" s="21" t="str">
        <f>IF(Q1043&gt;0,CONCATENATE("0x",(DEC2HEX(IF(P1043&lt;&gt;"",VLOOKUP(P1043,Notes!$A$2:$B$37,2,FALSE)*1024,0) + Q1043*16 + IF(R1043="",7,R1043)*2 + IF(S1043&gt;0, 1, 0))),","),"")</f>
        <v/>
      </c>
    </row>
    <row r="1044" spans="2:25" x14ac:dyDescent="0.25">
      <c r="F1044" s="18">
        <f t="shared" si="96"/>
        <v>0</v>
      </c>
      <c r="G1044" s="1" t="str">
        <f t="shared" si="99"/>
        <v/>
      </c>
      <c r="M1044" s="18">
        <f t="shared" si="97"/>
        <v>0</v>
      </c>
      <c r="N1044" s="1" t="str">
        <f t="shared" si="100"/>
        <v/>
      </c>
      <c r="T1044" s="18">
        <f t="shared" si="98"/>
        <v>0</v>
      </c>
      <c r="U1044" s="1" t="str">
        <f t="shared" si="101"/>
        <v/>
      </c>
      <c r="W1044" s="21" t="str">
        <f>IF(C1044&gt;0,CONCATENATE("0x",(DEC2HEX(IF(B1044&lt;&gt;"",VLOOKUP(B1044,Notes!$A$2:$B$37,2,FALSE)*1024,0) + C1044*16 + IF(D1044="",7,D1044)*2 + IF(E1044&gt;0, 1, 0))),","),"")</f>
        <v/>
      </c>
      <c r="X1044" s="21" t="str">
        <f>IF(J1044&gt;0,CONCATENATE("0x",(DEC2HEX(IF(I1044&lt;&gt;"",VLOOKUP(I1044,Notes!$A$2:$B$37,2,FALSE)*1024,0) + J1044*16 + IF(K1044="",7,K1044)*2 + IF(L1044&gt;0, 1, 0))),","),"")</f>
        <v/>
      </c>
      <c r="Y1044" s="21" t="str">
        <f>IF(Q1044&gt;0,CONCATENATE("0x",(DEC2HEX(IF(P1044&lt;&gt;"",VLOOKUP(P1044,Notes!$A$2:$B$37,2,FALSE)*1024,0) + Q1044*16 + IF(R1044="",7,R1044)*2 + IF(S1044&gt;0, 1, 0))),","),"")</f>
        <v/>
      </c>
    </row>
    <row r="1045" spans="2:25" x14ac:dyDescent="0.25">
      <c r="F1045" s="18">
        <f t="shared" si="96"/>
        <v>0</v>
      </c>
      <c r="G1045" s="1" t="str">
        <f t="shared" si="99"/>
        <v/>
      </c>
      <c r="M1045" s="18">
        <f t="shared" si="97"/>
        <v>0</v>
      </c>
      <c r="N1045" s="1" t="str">
        <f t="shared" si="100"/>
        <v/>
      </c>
      <c r="T1045" s="18">
        <f t="shared" si="98"/>
        <v>0</v>
      </c>
      <c r="U1045" s="1" t="str">
        <f t="shared" si="101"/>
        <v/>
      </c>
      <c r="W1045" s="21" t="str">
        <f>IF(C1045&gt;0,CONCATENATE("0x",(DEC2HEX(IF(B1045&lt;&gt;"",VLOOKUP(B1045,Notes!$A$2:$B$37,2,FALSE)*1024,0) + C1045*16 + IF(D1045="",7,D1045)*2 + IF(E1045&gt;0, 1, 0))),","),"")</f>
        <v/>
      </c>
      <c r="X1045" s="21" t="str">
        <f>IF(J1045&gt;0,CONCATENATE("0x",(DEC2HEX(IF(I1045&lt;&gt;"",VLOOKUP(I1045,Notes!$A$2:$B$37,2,FALSE)*1024,0) + J1045*16 + IF(K1045="",7,K1045)*2 + IF(L1045&gt;0, 1, 0))),","),"")</f>
        <v/>
      </c>
      <c r="Y1045" s="21" t="str">
        <f>IF(Q1045&gt;0,CONCATENATE("0x",(DEC2HEX(IF(P1045&lt;&gt;"",VLOOKUP(P1045,Notes!$A$2:$B$37,2,FALSE)*1024,0) + Q1045*16 + IF(R1045="",7,R1045)*2 + IF(S1045&gt;0, 1, 0))),","),"")</f>
        <v/>
      </c>
    </row>
    <row r="1046" spans="2:25" x14ac:dyDescent="0.25">
      <c r="F1046" s="18">
        <f t="shared" si="96"/>
        <v>0</v>
      </c>
      <c r="G1046" s="1" t="str">
        <f t="shared" si="99"/>
        <v/>
      </c>
      <c r="M1046" s="18">
        <f t="shared" si="97"/>
        <v>0</v>
      </c>
      <c r="N1046" s="1" t="str">
        <f t="shared" si="100"/>
        <v/>
      </c>
      <c r="T1046" s="18">
        <f t="shared" si="98"/>
        <v>0</v>
      </c>
      <c r="U1046" s="1" t="str">
        <f t="shared" si="101"/>
        <v/>
      </c>
      <c r="W1046" s="21" t="str">
        <f>IF(C1046&gt;0,CONCATENATE("0x",(DEC2HEX(IF(B1046&lt;&gt;"",VLOOKUP(B1046,Notes!$A$2:$B$37,2,FALSE)*1024,0) + C1046*16 + IF(D1046="",7,D1046)*2 + IF(E1046&gt;0, 1, 0))),","),"")</f>
        <v/>
      </c>
      <c r="X1046" s="21" t="str">
        <f>IF(J1046&gt;0,CONCATENATE("0x",(DEC2HEX(IF(I1046&lt;&gt;"",VLOOKUP(I1046,Notes!$A$2:$B$37,2,FALSE)*1024,0) + J1046*16 + IF(K1046="",7,K1046)*2 + IF(L1046&gt;0, 1, 0))),","),"")</f>
        <v/>
      </c>
      <c r="Y1046" s="21" t="str">
        <f>IF(Q1046&gt;0,CONCATENATE("0x",(DEC2HEX(IF(P1046&lt;&gt;"",VLOOKUP(P1046,Notes!$A$2:$B$37,2,FALSE)*1024,0) + Q1046*16 + IF(R1046="",7,R1046)*2 + IF(S1046&gt;0, 1, 0))),","),"")</f>
        <v/>
      </c>
    </row>
    <row r="1047" spans="2:25" x14ac:dyDescent="0.25">
      <c r="F1047" s="18">
        <f t="shared" si="96"/>
        <v>0</v>
      </c>
      <c r="G1047" s="1" t="str">
        <f t="shared" si="99"/>
        <v/>
      </c>
      <c r="M1047" s="18">
        <f t="shared" si="97"/>
        <v>0</v>
      </c>
      <c r="N1047" s="1" t="str">
        <f t="shared" si="100"/>
        <v/>
      </c>
      <c r="T1047" s="18">
        <f t="shared" si="98"/>
        <v>0</v>
      </c>
      <c r="U1047" s="1" t="str">
        <f t="shared" si="101"/>
        <v/>
      </c>
      <c r="W1047" s="21" t="str">
        <f>IF(C1047&gt;0,CONCATENATE("0x",(DEC2HEX(IF(B1047&lt;&gt;"",VLOOKUP(B1047,Notes!$A$2:$B$37,2,FALSE)*1024,0) + C1047*16 + IF(D1047="",7,D1047)*2 + IF(E1047&gt;0, 1, 0))),","),"")</f>
        <v/>
      </c>
      <c r="X1047" s="21" t="str">
        <f>IF(J1047&gt;0,CONCATENATE("0x",(DEC2HEX(IF(I1047&lt;&gt;"",VLOOKUP(I1047,Notes!$A$2:$B$37,2,FALSE)*1024,0) + J1047*16 + IF(K1047="",7,K1047)*2 + IF(L1047&gt;0, 1, 0))),","),"")</f>
        <v/>
      </c>
      <c r="Y1047" s="21" t="str">
        <f>IF(Q1047&gt;0,CONCATENATE("0x",(DEC2HEX(IF(P1047&lt;&gt;"",VLOOKUP(P1047,Notes!$A$2:$B$37,2,FALSE)*1024,0) + Q1047*16 + IF(R1047="",7,R1047)*2 + IF(S1047&gt;0, 1, 0))),","),"")</f>
        <v/>
      </c>
    </row>
    <row r="1048" spans="2:25" x14ac:dyDescent="0.25">
      <c r="F1048" s="18">
        <f t="shared" si="96"/>
        <v>0</v>
      </c>
      <c r="G1048" s="1" t="str">
        <f t="shared" si="99"/>
        <v/>
      </c>
      <c r="M1048" s="18">
        <f t="shared" si="97"/>
        <v>0</v>
      </c>
      <c r="N1048" s="1" t="str">
        <f t="shared" si="100"/>
        <v/>
      </c>
      <c r="T1048" s="18">
        <f t="shared" si="98"/>
        <v>0</v>
      </c>
      <c r="U1048" s="1" t="str">
        <f t="shared" si="101"/>
        <v/>
      </c>
      <c r="W1048" s="21" t="str">
        <f>IF(C1048&gt;0,CONCATENATE("0x",(DEC2HEX(IF(B1048&lt;&gt;"",VLOOKUP(B1048,Notes!$A$2:$B$37,2,FALSE)*1024,0) + C1048*16 + IF(D1048="",7,D1048)*2 + IF(E1048&gt;0, 1, 0))),","),"")</f>
        <v/>
      </c>
      <c r="X1048" s="21" t="str">
        <f>IF(J1048&gt;0,CONCATENATE("0x",(DEC2HEX(IF(I1048&lt;&gt;"",VLOOKUP(I1048,Notes!$A$2:$B$37,2,FALSE)*1024,0) + J1048*16 + IF(K1048="",7,K1048)*2 + IF(L1048&gt;0, 1, 0))),","),"")</f>
        <v/>
      </c>
      <c r="Y1048" s="21" t="str">
        <f>IF(Q1048&gt;0,CONCATENATE("0x",(DEC2HEX(IF(P1048&lt;&gt;"",VLOOKUP(P1048,Notes!$A$2:$B$37,2,FALSE)*1024,0) + Q1048*16 + IF(R1048="",7,R1048)*2 + IF(S1048&gt;0, 1, 0))),","),"")</f>
        <v/>
      </c>
    </row>
    <row r="1049" spans="2:25" x14ac:dyDescent="0.25">
      <c r="B1049" s="12"/>
      <c r="C1049" s="13"/>
      <c r="D1049" s="13"/>
      <c r="E1049" s="14"/>
      <c r="F1049" s="18">
        <f t="shared" si="96"/>
        <v>0</v>
      </c>
      <c r="G1049" s="1" t="str">
        <f t="shared" si="99"/>
        <v/>
      </c>
      <c r="I1049" s="12"/>
      <c r="J1049" s="13"/>
      <c r="K1049" s="13"/>
      <c r="L1049" s="14"/>
      <c r="M1049" s="18">
        <f t="shared" si="97"/>
        <v>0</v>
      </c>
      <c r="N1049" s="1" t="str">
        <f t="shared" si="100"/>
        <v/>
      </c>
      <c r="P1049" s="12"/>
      <c r="Q1049" s="13"/>
      <c r="R1049" s="13"/>
      <c r="S1049" s="14"/>
      <c r="T1049" s="18">
        <f t="shared" si="98"/>
        <v>0</v>
      </c>
      <c r="U1049" s="1" t="str">
        <f t="shared" si="101"/>
        <v/>
      </c>
      <c r="W1049" s="21" t="str">
        <f>IF(C1049&gt;0,CONCATENATE("0x",(DEC2HEX(IF(B1049&lt;&gt;"",VLOOKUP(B1049,Notes!$A$2:$B$37,2,FALSE)*1024,0) + C1049*16 + IF(D1049="",7,D1049)*2 + IF(E1049&gt;0, 1, 0))),","),"")</f>
        <v/>
      </c>
      <c r="X1049" s="21" t="str">
        <f>IF(J1049&gt;0,CONCATENATE("0x",(DEC2HEX(IF(I1049&lt;&gt;"",VLOOKUP(I1049,Notes!$A$2:$B$37,2,FALSE)*1024,0) + J1049*16 + IF(K1049="",7,K1049)*2 + IF(L1049&gt;0, 1, 0))),","),"")</f>
        <v/>
      </c>
      <c r="Y1049" s="21" t="str">
        <f>IF(Q1049&gt;0,CONCATENATE("0x",(DEC2HEX(IF(P1049&lt;&gt;"",VLOOKUP(P1049,Notes!$A$2:$B$37,2,FALSE)*1024,0) + Q1049*16 + IF(R1049="",7,R1049)*2 + IF(S1049&gt;0, 1, 0))),","),"")</f>
        <v/>
      </c>
    </row>
    <row r="1050" spans="2:25" x14ac:dyDescent="0.25">
      <c r="F1050" s="18">
        <f t="shared" si="96"/>
        <v>0</v>
      </c>
      <c r="G1050" s="1" t="str">
        <f t="shared" si="99"/>
        <v/>
      </c>
      <c r="M1050" s="18">
        <f t="shared" si="97"/>
        <v>0</v>
      </c>
      <c r="N1050" s="1" t="str">
        <f t="shared" si="100"/>
        <v/>
      </c>
      <c r="T1050" s="18">
        <f t="shared" si="98"/>
        <v>0</v>
      </c>
      <c r="U1050" s="1" t="str">
        <f t="shared" si="101"/>
        <v/>
      </c>
      <c r="W1050" s="21" t="str">
        <f>IF(C1050&gt;0,CONCATENATE("0x",(DEC2HEX(IF(B1050&lt;&gt;"",VLOOKUP(B1050,Notes!$A$2:$B$37,2,FALSE)*1024,0) + C1050*16 + IF(D1050="",7,D1050)*2 + IF(E1050&gt;0, 1, 0))),","),"")</f>
        <v/>
      </c>
      <c r="X1050" s="21" t="str">
        <f>IF(J1050&gt;0,CONCATENATE("0x",(DEC2HEX(IF(I1050&lt;&gt;"",VLOOKUP(I1050,Notes!$A$2:$B$37,2,FALSE)*1024,0) + J1050*16 + IF(K1050="",7,K1050)*2 + IF(L1050&gt;0, 1, 0))),","),"")</f>
        <v/>
      </c>
      <c r="Y1050" s="21" t="str">
        <f>IF(Q1050&gt;0,CONCATENATE("0x",(DEC2HEX(IF(P1050&lt;&gt;"",VLOOKUP(P1050,Notes!$A$2:$B$37,2,FALSE)*1024,0) + Q1050*16 + IF(R1050="",7,R1050)*2 + IF(S1050&gt;0, 1, 0))),","),"")</f>
        <v/>
      </c>
    </row>
    <row r="1051" spans="2:25" x14ac:dyDescent="0.25">
      <c r="F1051" s="18">
        <f t="shared" si="96"/>
        <v>0</v>
      </c>
      <c r="G1051" s="1" t="str">
        <f t="shared" si="99"/>
        <v/>
      </c>
      <c r="M1051" s="18">
        <f t="shared" si="97"/>
        <v>0</v>
      </c>
      <c r="N1051" s="1" t="str">
        <f t="shared" si="100"/>
        <v/>
      </c>
      <c r="T1051" s="18">
        <f t="shared" si="98"/>
        <v>0</v>
      </c>
      <c r="U1051" s="1" t="str">
        <f t="shared" si="101"/>
        <v/>
      </c>
      <c r="W1051" s="21" t="str">
        <f>IF(C1051&gt;0,CONCATENATE("0x",(DEC2HEX(IF(B1051&lt;&gt;"",VLOOKUP(B1051,Notes!$A$2:$B$37,2,FALSE)*1024,0) + C1051*16 + IF(D1051="",7,D1051)*2 + IF(E1051&gt;0, 1, 0))),","),"")</f>
        <v/>
      </c>
      <c r="X1051" s="21" t="str">
        <f>IF(J1051&gt;0,CONCATENATE("0x",(DEC2HEX(IF(I1051&lt;&gt;"",VLOOKUP(I1051,Notes!$A$2:$B$37,2,FALSE)*1024,0) + J1051*16 + IF(K1051="",7,K1051)*2 + IF(L1051&gt;0, 1, 0))),","),"")</f>
        <v/>
      </c>
      <c r="Y1051" s="21" t="str">
        <f>IF(Q1051&gt;0,CONCATENATE("0x",(DEC2HEX(IF(P1051&lt;&gt;"",VLOOKUP(P1051,Notes!$A$2:$B$37,2,FALSE)*1024,0) + Q1051*16 + IF(R1051="",7,R1051)*2 + IF(S1051&gt;0, 1, 0))),","),"")</f>
        <v/>
      </c>
    </row>
    <row r="1052" spans="2:25" x14ac:dyDescent="0.25">
      <c r="F1052" s="18">
        <f t="shared" si="96"/>
        <v>0</v>
      </c>
      <c r="G1052" s="1" t="str">
        <f t="shared" si="99"/>
        <v/>
      </c>
      <c r="M1052" s="18">
        <f t="shared" si="97"/>
        <v>0</v>
      </c>
      <c r="N1052" s="1" t="str">
        <f t="shared" si="100"/>
        <v/>
      </c>
      <c r="T1052" s="18">
        <f t="shared" si="98"/>
        <v>0</v>
      </c>
      <c r="U1052" s="1" t="str">
        <f t="shared" si="101"/>
        <v/>
      </c>
      <c r="W1052" s="21" t="str">
        <f>IF(C1052&gt;0,CONCATENATE("0x",(DEC2HEX(IF(B1052&lt;&gt;"",VLOOKUP(B1052,Notes!$A$2:$B$37,2,FALSE)*1024,0) + C1052*16 + IF(D1052="",7,D1052)*2 + IF(E1052&gt;0, 1, 0))),","),"")</f>
        <v/>
      </c>
      <c r="X1052" s="21" t="str">
        <f>IF(J1052&gt;0,CONCATENATE("0x",(DEC2HEX(IF(I1052&lt;&gt;"",VLOOKUP(I1052,Notes!$A$2:$B$37,2,FALSE)*1024,0) + J1052*16 + IF(K1052="",7,K1052)*2 + IF(L1052&gt;0, 1, 0))),","),"")</f>
        <v/>
      </c>
      <c r="Y1052" s="21" t="str">
        <f>IF(Q1052&gt;0,CONCATENATE("0x",(DEC2HEX(IF(P1052&lt;&gt;"",VLOOKUP(P1052,Notes!$A$2:$B$37,2,FALSE)*1024,0) + Q1052*16 + IF(R1052="",7,R1052)*2 + IF(S1052&gt;0, 1, 0))),","),"")</f>
        <v/>
      </c>
    </row>
    <row r="1053" spans="2:25" x14ac:dyDescent="0.25">
      <c r="F1053" s="18">
        <f t="shared" si="96"/>
        <v>0</v>
      </c>
      <c r="G1053" s="1" t="str">
        <f t="shared" si="99"/>
        <v/>
      </c>
      <c r="M1053" s="18">
        <f t="shared" si="97"/>
        <v>0</v>
      </c>
      <c r="N1053" s="1" t="str">
        <f t="shared" si="100"/>
        <v/>
      </c>
      <c r="T1053" s="18">
        <f t="shared" si="98"/>
        <v>0</v>
      </c>
      <c r="U1053" s="1" t="str">
        <f t="shared" si="101"/>
        <v/>
      </c>
      <c r="W1053" s="21" t="str">
        <f>IF(C1053&gt;0,CONCATENATE("0x",(DEC2HEX(IF(B1053&lt;&gt;"",VLOOKUP(B1053,Notes!$A$2:$B$37,2,FALSE)*1024,0) + C1053*16 + IF(D1053="",7,D1053)*2 + IF(E1053&gt;0, 1, 0))),","),"")</f>
        <v/>
      </c>
      <c r="X1053" s="21" t="str">
        <f>IF(J1053&gt;0,CONCATENATE("0x",(DEC2HEX(IF(I1053&lt;&gt;"",VLOOKUP(I1053,Notes!$A$2:$B$37,2,FALSE)*1024,0) + J1053*16 + IF(K1053="",7,K1053)*2 + IF(L1053&gt;0, 1, 0))),","),"")</f>
        <v/>
      </c>
      <c r="Y1053" s="21" t="str">
        <f>IF(Q1053&gt;0,CONCATENATE("0x",(DEC2HEX(IF(P1053&lt;&gt;"",VLOOKUP(P1053,Notes!$A$2:$B$37,2,FALSE)*1024,0) + Q1053*16 + IF(R1053="",7,R1053)*2 + IF(S1053&gt;0, 1, 0))),","),"")</f>
        <v/>
      </c>
    </row>
    <row r="1054" spans="2:25" x14ac:dyDescent="0.25">
      <c r="F1054" s="18">
        <f t="shared" si="96"/>
        <v>0</v>
      </c>
      <c r="G1054" s="1" t="str">
        <f t="shared" si="99"/>
        <v/>
      </c>
      <c r="M1054" s="18">
        <f t="shared" si="97"/>
        <v>0</v>
      </c>
      <c r="N1054" s="1" t="str">
        <f t="shared" si="100"/>
        <v/>
      </c>
      <c r="T1054" s="18">
        <f t="shared" si="98"/>
        <v>0</v>
      </c>
      <c r="U1054" s="1" t="str">
        <f t="shared" si="101"/>
        <v/>
      </c>
      <c r="W1054" s="21" t="str">
        <f>IF(C1054&gt;0,CONCATENATE("0x",(DEC2HEX(IF(B1054&lt;&gt;"",VLOOKUP(B1054,Notes!$A$2:$B$37,2,FALSE)*1024,0) + C1054*16 + IF(D1054="",7,D1054)*2 + IF(E1054&gt;0, 1, 0))),","),"")</f>
        <v/>
      </c>
      <c r="X1054" s="21" t="str">
        <f>IF(J1054&gt;0,CONCATENATE("0x",(DEC2HEX(IF(I1054&lt;&gt;"",VLOOKUP(I1054,Notes!$A$2:$B$37,2,FALSE)*1024,0) + J1054*16 + IF(K1054="",7,K1054)*2 + IF(L1054&gt;0, 1, 0))),","),"")</f>
        <v/>
      </c>
      <c r="Y1054" s="21" t="str">
        <f>IF(Q1054&gt;0,CONCATENATE("0x",(DEC2HEX(IF(P1054&lt;&gt;"",VLOOKUP(P1054,Notes!$A$2:$B$37,2,FALSE)*1024,0) + Q1054*16 + IF(R1054="",7,R1054)*2 + IF(S1054&gt;0, 1, 0))),","),"")</f>
        <v/>
      </c>
    </row>
    <row r="1055" spans="2:25" x14ac:dyDescent="0.25">
      <c r="F1055" s="18">
        <f t="shared" si="96"/>
        <v>0</v>
      </c>
      <c r="G1055" s="1" t="str">
        <f t="shared" si="99"/>
        <v/>
      </c>
      <c r="M1055" s="18">
        <f t="shared" si="97"/>
        <v>0</v>
      </c>
      <c r="N1055" s="1" t="str">
        <f t="shared" si="100"/>
        <v/>
      </c>
      <c r="T1055" s="18">
        <f t="shared" si="98"/>
        <v>0</v>
      </c>
      <c r="U1055" s="1" t="str">
        <f t="shared" si="101"/>
        <v/>
      </c>
      <c r="W1055" s="21" t="str">
        <f>IF(C1055&gt;0,CONCATENATE("0x",(DEC2HEX(IF(B1055&lt;&gt;"",VLOOKUP(B1055,Notes!$A$2:$B$37,2,FALSE)*1024,0) + C1055*16 + IF(D1055="",7,D1055)*2 + IF(E1055&gt;0, 1, 0))),","),"")</f>
        <v/>
      </c>
      <c r="X1055" s="21" t="str">
        <f>IF(J1055&gt;0,CONCATENATE("0x",(DEC2HEX(IF(I1055&lt;&gt;"",VLOOKUP(I1055,Notes!$A$2:$B$37,2,FALSE)*1024,0) + J1055*16 + IF(K1055="",7,K1055)*2 + IF(L1055&gt;0, 1, 0))),","),"")</f>
        <v/>
      </c>
      <c r="Y1055" s="21" t="str">
        <f>IF(Q1055&gt;0,CONCATENATE("0x",(DEC2HEX(IF(P1055&lt;&gt;"",VLOOKUP(P1055,Notes!$A$2:$B$37,2,FALSE)*1024,0) + Q1055*16 + IF(R1055="",7,R1055)*2 + IF(S1055&gt;0, 1, 0))),","),"")</f>
        <v/>
      </c>
    </row>
    <row r="1056" spans="2:25" x14ac:dyDescent="0.25">
      <c r="F1056" s="18">
        <f t="shared" si="96"/>
        <v>0</v>
      </c>
      <c r="G1056" s="1" t="str">
        <f t="shared" si="99"/>
        <v/>
      </c>
      <c r="M1056" s="18">
        <f t="shared" si="97"/>
        <v>0</v>
      </c>
      <c r="N1056" s="1" t="str">
        <f t="shared" si="100"/>
        <v/>
      </c>
      <c r="T1056" s="18">
        <f t="shared" si="98"/>
        <v>0</v>
      </c>
      <c r="U1056" s="1" t="str">
        <f t="shared" si="101"/>
        <v/>
      </c>
      <c r="W1056" s="21" t="str">
        <f>IF(C1056&gt;0,CONCATENATE("0x",(DEC2HEX(IF(B1056&lt;&gt;"",VLOOKUP(B1056,Notes!$A$2:$B$37,2,FALSE)*1024,0) + C1056*16 + IF(D1056="",7,D1056)*2 + IF(E1056&gt;0, 1, 0))),","),"")</f>
        <v/>
      </c>
      <c r="X1056" s="21" t="str">
        <f>IF(J1056&gt;0,CONCATENATE("0x",(DEC2HEX(IF(I1056&lt;&gt;"",VLOOKUP(I1056,Notes!$A$2:$B$37,2,FALSE)*1024,0) + J1056*16 + IF(K1056="",7,K1056)*2 + IF(L1056&gt;0, 1, 0))),","),"")</f>
        <v/>
      </c>
      <c r="Y1056" s="21" t="str">
        <f>IF(Q1056&gt;0,CONCATENATE("0x",(DEC2HEX(IF(P1056&lt;&gt;"",VLOOKUP(P1056,Notes!$A$2:$B$37,2,FALSE)*1024,0) + Q1056*16 + IF(R1056="",7,R1056)*2 + IF(S1056&gt;0, 1, 0))),","),"")</f>
        <v/>
      </c>
    </row>
    <row r="1057" spans="1:25" ht="16.5" thickBot="1" x14ac:dyDescent="0.3">
      <c r="B1057" s="15"/>
      <c r="C1057" s="16"/>
      <c r="D1057" s="16"/>
      <c r="E1057" s="17"/>
      <c r="F1057" s="18">
        <f t="shared" si="96"/>
        <v>0</v>
      </c>
      <c r="G1057" s="1" t="str">
        <f t="shared" si="99"/>
        <v/>
      </c>
      <c r="I1057" s="15"/>
      <c r="J1057" s="16"/>
      <c r="K1057" s="16"/>
      <c r="L1057" s="17"/>
      <c r="M1057" s="18">
        <f t="shared" si="97"/>
        <v>0</v>
      </c>
      <c r="N1057" s="1" t="str">
        <f t="shared" si="100"/>
        <v/>
      </c>
      <c r="P1057" s="15"/>
      <c r="Q1057" s="16"/>
      <c r="R1057" s="16"/>
      <c r="S1057" s="17"/>
      <c r="T1057" s="18">
        <f t="shared" si="98"/>
        <v>0</v>
      </c>
      <c r="U1057" s="1" t="str">
        <f t="shared" si="101"/>
        <v/>
      </c>
      <c r="W1057" s="21" t="str">
        <f>IF(C1057&gt;0,CONCATENATE("0x",(DEC2HEX(IF(B1057&lt;&gt;"",VLOOKUP(B1057,Notes!$A$2:$B$37,2,FALSE)*1024,0) + C1057*16 + IF(D1057="",7,D1057)*2 + IF(E1057&gt;0, 1, 0))),","),"")</f>
        <v/>
      </c>
      <c r="X1057" s="21" t="str">
        <f>IF(J1057&gt;0,CONCATENATE("0x",(DEC2HEX(IF(I1057&lt;&gt;"",VLOOKUP(I1057,Notes!$A$2:$B$37,2,FALSE)*1024,0) + J1057*16 + IF(K1057="",7,K1057)*2 + IF(L1057&gt;0, 1, 0))),","),"")</f>
        <v/>
      </c>
      <c r="Y1057" s="21" t="str">
        <f>IF(Q1057&gt;0,CONCATENATE("0x",(DEC2HEX(IF(P1057&lt;&gt;"",VLOOKUP(P1057,Notes!$A$2:$B$37,2,FALSE)*1024,0) + Q1057*16 + IF(R1057="",7,R1057)*2 + IF(S1057&gt;0, 1, 0))),","),"")</f>
        <v/>
      </c>
    </row>
    <row r="1058" spans="1:25" ht="16.5" thickTop="1" x14ac:dyDescent="0.25">
      <c r="A1058" s="1">
        <v>34</v>
      </c>
      <c r="F1058" s="18">
        <f t="shared" si="96"/>
        <v>0</v>
      </c>
      <c r="G1058" s="1" t="str">
        <f t="shared" si="99"/>
        <v/>
      </c>
      <c r="M1058" s="18">
        <f t="shared" si="97"/>
        <v>0</v>
      </c>
      <c r="N1058" s="1" t="str">
        <f t="shared" si="100"/>
        <v/>
      </c>
      <c r="T1058" s="18">
        <f t="shared" si="98"/>
        <v>0</v>
      </c>
      <c r="U1058" s="1" t="str">
        <f t="shared" si="101"/>
        <v/>
      </c>
      <c r="W1058" s="21" t="str">
        <f>IF(C1058&gt;0,CONCATENATE("0x",(DEC2HEX(IF(B1058&lt;&gt;"",VLOOKUP(B1058,Notes!$A$2:$B$37,2,FALSE)*1024,0) + C1058*16 + IF(D1058="",7,D1058)*2 + IF(E1058&gt;0, 1, 0))),","),"")</f>
        <v/>
      </c>
      <c r="X1058" s="21" t="str">
        <f>IF(J1058&gt;0,CONCATENATE("0x",(DEC2HEX(IF(I1058&lt;&gt;"",VLOOKUP(I1058,Notes!$A$2:$B$37,2,FALSE)*1024,0) + J1058*16 + IF(K1058="",7,K1058)*2 + IF(L1058&gt;0, 1, 0))),","),"")</f>
        <v/>
      </c>
      <c r="Y1058" s="21" t="str">
        <f>IF(Q1058&gt;0,CONCATENATE("0x",(DEC2HEX(IF(P1058&lt;&gt;"",VLOOKUP(P1058,Notes!$A$2:$B$37,2,FALSE)*1024,0) + Q1058*16 + IF(R1058="",7,R1058)*2 + IF(S1058&gt;0, 1, 0))),","),"")</f>
        <v/>
      </c>
    </row>
    <row r="1059" spans="1:25" x14ac:dyDescent="0.25">
      <c r="F1059" s="18">
        <f t="shared" si="96"/>
        <v>0</v>
      </c>
      <c r="G1059" s="1" t="str">
        <f t="shared" si="99"/>
        <v/>
      </c>
      <c r="M1059" s="18">
        <f t="shared" si="97"/>
        <v>0</v>
      </c>
      <c r="N1059" s="1" t="str">
        <f t="shared" si="100"/>
        <v/>
      </c>
      <c r="T1059" s="18">
        <f t="shared" si="98"/>
        <v>0</v>
      </c>
      <c r="U1059" s="1" t="str">
        <f t="shared" si="101"/>
        <v/>
      </c>
      <c r="W1059" s="21" t="str">
        <f>IF(C1059&gt;0,CONCATENATE("0x",(DEC2HEX(IF(B1059&lt;&gt;"",VLOOKUP(B1059,Notes!$A$2:$B$37,2,FALSE)*1024,0) + C1059*16 + IF(D1059="",7,D1059)*2 + IF(E1059&gt;0, 1, 0))),","),"")</f>
        <v/>
      </c>
      <c r="X1059" s="21" t="str">
        <f>IF(J1059&gt;0,CONCATENATE("0x",(DEC2HEX(IF(I1059&lt;&gt;"",VLOOKUP(I1059,Notes!$A$2:$B$37,2,FALSE)*1024,0) + J1059*16 + IF(K1059="",7,K1059)*2 + IF(L1059&gt;0, 1, 0))),","),"")</f>
        <v/>
      </c>
      <c r="Y1059" s="21" t="str">
        <f>IF(Q1059&gt;0,CONCATENATE("0x",(DEC2HEX(IF(P1059&lt;&gt;"",VLOOKUP(P1059,Notes!$A$2:$B$37,2,FALSE)*1024,0) + Q1059*16 + IF(R1059="",7,R1059)*2 + IF(S1059&gt;0, 1, 0))),","),"")</f>
        <v/>
      </c>
    </row>
    <row r="1060" spans="1:25" x14ac:dyDescent="0.25">
      <c r="F1060" s="18">
        <f t="shared" si="96"/>
        <v>0</v>
      </c>
      <c r="G1060" s="1" t="str">
        <f t="shared" si="99"/>
        <v/>
      </c>
      <c r="M1060" s="18">
        <f t="shared" si="97"/>
        <v>0</v>
      </c>
      <c r="N1060" s="1" t="str">
        <f t="shared" si="100"/>
        <v/>
      </c>
      <c r="T1060" s="18">
        <f t="shared" si="98"/>
        <v>0</v>
      </c>
      <c r="U1060" s="1" t="str">
        <f t="shared" si="101"/>
        <v/>
      </c>
      <c r="W1060" s="21" t="str">
        <f>IF(C1060&gt;0,CONCATENATE("0x",(DEC2HEX(IF(B1060&lt;&gt;"",VLOOKUP(B1060,Notes!$A$2:$B$37,2,FALSE)*1024,0) + C1060*16 + IF(D1060="",7,D1060)*2 + IF(E1060&gt;0, 1, 0))),","),"")</f>
        <v/>
      </c>
      <c r="X1060" s="21" t="str">
        <f>IF(J1060&gt;0,CONCATENATE("0x",(DEC2HEX(IF(I1060&lt;&gt;"",VLOOKUP(I1060,Notes!$A$2:$B$37,2,FALSE)*1024,0) + J1060*16 + IF(K1060="",7,K1060)*2 + IF(L1060&gt;0, 1, 0))),","),"")</f>
        <v/>
      </c>
      <c r="Y1060" s="21" t="str">
        <f>IF(Q1060&gt;0,CONCATENATE("0x",(DEC2HEX(IF(P1060&lt;&gt;"",VLOOKUP(P1060,Notes!$A$2:$B$37,2,FALSE)*1024,0) + Q1060*16 + IF(R1060="",7,R1060)*2 + IF(S1060&gt;0, 1, 0))),","),"")</f>
        <v/>
      </c>
    </row>
    <row r="1061" spans="1:25" x14ac:dyDescent="0.25">
      <c r="F1061" s="18">
        <f t="shared" si="96"/>
        <v>0</v>
      </c>
      <c r="G1061" s="1" t="str">
        <f t="shared" si="99"/>
        <v/>
      </c>
      <c r="M1061" s="18">
        <f t="shared" si="97"/>
        <v>0</v>
      </c>
      <c r="N1061" s="1" t="str">
        <f t="shared" si="100"/>
        <v/>
      </c>
      <c r="T1061" s="18">
        <f t="shared" si="98"/>
        <v>0</v>
      </c>
      <c r="U1061" s="1" t="str">
        <f t="shared" si="101"/>
        <v/>
      </c>
      <c r="W1061" s="21" t="str">
        <f>IF(C1061&gt;0,CONCATENATE("0x",(DEC2HEX(IF(B1061&lt;&gt;"",VLOOKUP(B1061,Notes!$A$2:$B$37,2,FALSE)*1024,0) + C1061*16 + IF(D1061="",7,D1061)*2 + IF(E1061&gt;0, 1, 0))),","),"")</f>
        <v/>
      </c>
      <c r="X1061" s="21" t="str">
        <f>IF(J1061&gt;0,CONCATENATE("0x",(DEC2HEX(IF(I1061&lt;&gt;"",VLOOKUP(I1061,Notes!$A$2:$B$37,2,FALSE)*1024,0) + J1061*16 + IF(K1061="",7,K1061)*2 + IF(L1061&gt;0, 1, 0))),","),"")</f>
        <v/>
      </c>
      <c r="Y1061" s="21" t="str">
        <f>IF(Q1061&gt;0,CONCATENATE("0x",(DEC2HEX(IF(P1061&lt;&gt;"",VLOOKUP(P1061,Notes!$A$2:$B$37,2,FALSE)*1024,0) + Q1061*16 + IF(R1061="",7,R1061)*2 + IF(S1061&gt;0, 1, 0))),","),"")</f>
        <v/>
      </c>
    </row>
    <row r="1062" spans="1:25" x14ac:dyDescent="0.25">
      <c r="F1062" s="18">
        <f t="shared" si="96"/>
        <v>0</v>
      </c>
      <c r="G1062" s="1" t="str">
        <f t="shared" si="99"/>
        <v/>
      </c>
      <c r="M1062" s="18">
        <f t="shared" si="97"/>
        <v>0</v>
      </c>
      <c r="N1062" s="1" t="str">
        <f t="shared" si="100"/>
        <v/>
      </c>
      <c r="T1062" s="18">
        <f t="shared" si="98"/>
        <v>0</v>
      </c>
      <c r="U1062" s="1" t="str">
        <f t="shared" si="101"/>
        <v/>
      </c>
      <c r="W1062" s="21" t="str">
        <f>IF(C1062&gt;0,CONCATENATE("0x",(DEC2HEX(IF(B1062&lt;&gt;"",VLOOKUP(B1062,Notes!$A$2:$B$37,2,FALSE)*1024,0) + C1062*16 + IF(D1062="",7,D1062)*2 + IF(E1062&gt;0, 1, 0))),","),"")</f>
        <v/>
      </c>
      <c r="X1062" s="21" t="str">
        <f>IF(J1062&gt;0,CONCATENATE("0x",(DEC2HEX(IF(I1062&lt;&gt;"",VLOOKUP(I1062,Notes!$A$2:$B$37,2,FALSE)*1024,0) + J1062*16 + IF(K1062="",7,K1062)*2 + IF(L1062&gt;0, 1, 0))),","),"")</f>
        <v/>
      </c>
      <c r="Y1062" s="21" t="str">
        <f>IF(Q1062&gt;0,CONCATENATE("0x",(DEC2HEX(IF(P1062&lt;&gt;"",VLOOKUP(P1062,Notes!$A$2:$B$37,2,FALSE)*1024,0) + Q1062*16 + IF(R1062="",7,R1062)*2 + IF(S1062&gt;0, 1, 0))),","),"")</f>
        <v/>
      </c>
    </row>
    <row r="1063" spans="1:25" x14ac:dyDescent="0.25">
      <c r="F1063" s="18">
        <f t="shared" si="96"/>
        <v>0</v>
      </c>
      <c r="G1063" s="1" t="str">
        <f t="shared" si="99"/>
        <v/>
      </c>
      <c r="M1063" s="18">
        <f t="shared" si="97"/>
        <v>0</v>
      </c>
      <c r="N1063" s="1" t="str">
        <f t="shared" si="100"/>
        <v/>
      </c>
      <c r="T1063" s="18">
        <f t="shared" si="98"/>
        <v>0</v>
      </c>
      <c r="U1063" s="1" t="str">
        <f t="shared" si="101"/>
        <v/>
      </c>
      <c r="W1063" s="21" t="str">
        <f>IF(C1063&gt;0,CONCATENATE("0x",(DEC2HEX(IF(B1063&lt;&gt;"",VLOOKUP(B1063,Notes!$A$2:$B$37,2,FALSE)*1024,0) + C1063*16 + IF(D1063="",7,D1063)*2 + IF(E1063&gt;0, 1, 0))),","),"")</f>
        <v/>
      </c>
      <c r="X1063" s="21" t="str">
        <f>IF(J1063&gt;0,CONCATENATE("0x",(DEC2HEX(IF(I1063&lt;&gt;"",VLOOKUP(I1063,Notes!$A$2:$B$37,2,FALSE)*1024,0) + J1063*16 + IF(K1063="",7,K1063)*2 + IF(L1063&gt;0, 1, 0))),","),"")</f>
        <v/>
      </c>
      <c r="Y1063" s="21" t="str">
        <f>IF(Q1063&gt;0,CONCATENATE("0x",(DEC2HEX(IF(P1063&lt;&gt;"",VLOOKUP(P1063,Notes!$A$2:$B$37,2,FALSE)*1024,0) + Q1063*16 + IF(R1063="",7,R1063)*2 + IF(S1063&gt;0, 1, 0))),","),"")</f>
        <v/>
      </c>
    </row>
    <row r="1064" spans="1:25" x14ac:dyDescent="0.25">
      <c r="F1064" s="18">
        <f t="shared" si="96"/>
        <v>0</v>
      </c>
      <c r="G1064" s="1" t="str">
        <f t="shared" si="99"/>
        <v/>
      </c>
      <c r="M1064" s="18">
        <f t="shared" si="97"/>
        <v>0</v>
      </c>
      <c r="N1064" s="1" t="str">
        <f t="shared" si="100"/>
        <v/>
      </c>
      <c r="T1064" s="18">
        <f t="shared" si="98"/>
        <v>0</v>
      </c>
      <c r="U1064" s="1" t="str">
        <f t="shared" si="101"/>
        <v/>
      </c>
      <c r="W1064" s="21" t="str">
        <f>IF(C1064&gt;0,CONCATENATE("0x",(DEC2HEX(IF(B1064&lt;&gt;"",VLOOKUP(B1064,Notes!$A$2:$B$37,2,FALSE)*1024,0) + C1064*16 + IF(D1064="",7,D1064)*2 + IF(E1064&gt;0, 1, 0))),","),"")</f>
        <v/>
      </c>
      <c r="X1064" s="21" t="str">
        <f>IF(J1064&gt;0,CONCATENATE("0x",(DEC2HEX(IF(I1064&lt;&gt;"",VLOOKUP(I1064,Notes!$A$2:$B$37,2,FALSE)*1024,0) + J1064*16 + IF(K1064="",7,K1064)*2 + IF(L1064&gt;0, 1, 0))),","),"")</f>
        <v/>
      </c>
      <c r="Y1064" s="21" t="str">
        <f>IF(Q1064&gt;0,CONCATENATE("0x",(DEC2HEX(IF(P1064&lt;&gt;"",VLOOKUP(P1064,Notes!$A$2:$B$37,2,FALSE)*1024,0) + Q1064*16 + IF(R1064="",7,R1064)*2 + IF(S1064&gt;0, 1, 0))),","),"")</f>
        <v/>
      </c>
    </row>
    <row r="1065" spans="1:25" x14ac:dyDescent="0.25">
      <c r="B1065" s="12"/>
      <c r="C1065" s="13"/>
      <c r="D1065" s="13"/>
      <c r="E1065" s="14"/>
      <c r="F1065" s="18">
        <f t="shared" si="96"/>
        <v>0</v>
      </c>
      <c r="G1065" s="1" t="str">
        <f t="shared" si="99"/>
        <v/>
      </c>
      <c r="I1065" s="12"/>
      <c r="J1065" s="13"/>
      <c r="K1065" s="13"/>
      <c r="L1065" s="14"/>
      <c r="M1065" s="18">
        <f t="shared" si="97"/>
        <v>0</v>
      </c>
      <c r="N1065" s="1" t="str">
        <f t="shared" si="100"/>
        <v/>
      </c>
      <c r="P1065" s="12"/>
      <c r="Q1065" s="13"/>
      <c r="R1065" s="13"/>
      <c r="S1065" s="14"/>
      <c r="T1065" s="18">
        <f t="shared" si="98"/>
        <v>0</v>
      </c>
      <c r="U1065" s="1" t="str">
        <f t="shared" si="101"/>
        <v/>
      </c>
      <c r="W1065" s="21" t="str">
        <f>IF(C1065&gt;0,CONCATENATE("0x",(DEC2HEX(IF(B1065&lt;&gt;"",VLOOKUP(B1065,Notes!$A$2:$B$37,2,FALSE)*1024,0) + C1065*16 + IF(D1065="",7,D1065)*2 + IF(E1065&gt;0, 1, 0))),","),"")</f>
        <v/>
      </c>
      <c r="X1065" s="21" t="str">
        <f>IF(J1065&gt;0,CONCATENATE("0x",(DEC2HEX(IF(I1065&lt;&gt;"",VLOOKUP(I1065,Notes!$A$2:$B$37,2,FALSE)*1024,0) + J1065*16 + IF(K1065="",7,K1065)*2 + IF(L1065&gt;0, 1, 0))),","),"")</f>
        <v/>
      </c>
      <c r="Y1065" s="21" t="str">
        <f>IF(Q1065&gt;0,CONCATENATE("0x",(DEC2HEX(IF(P1065&lt;&gt;"",VLOOKUP(P1065,Notes!$A$2:$B$37,2,FALSE)*1024,0) + Q1065*16 + IF(R1065="",7,R1065)*2 + IF(S1065&gt;0, 1, 0))),","),"")</f>
        <v/>
      </c>
    </row>
    <row r="1066" spans="1:25" x14ac:dyDescent="0.25">
      <c r="F1066" s="18">
        <f t="shared" si="96"/>
        <v>0</v>
      </c>
      <c r="G1066" s="1" t="str">
        <f t="shared" si="99"/>
        <v/>
      </c>
      <c r="M1066" s="18">
        <f t="shared" si="97"/>
        <v>0</v>
      </c>
      <c r="N1066" s="1" t="str">
        <f t="shared" si="100"/>
        <v/>
      </c>
      <c r="T1066" s="18">
        <f t="shared" si="98"/>
        <v>0</v>
      </c>
      <c r="U1066" s="1" t="str">
        <f t="shared" si="101"/>
        <v/>
      </c>
      <c r="W1066" s="21" t="str">
        <f>IF(C1066&gt;0,CONCATENATE("0x",(DEC2HEX(IF(B1066&lt;&gt;"",VLOOKUP(B1066,Notes!$A$2:$B$37,2,FALSE)*1024,0) + C1066*16 + IF(D1066="",7,D1066)*2 + IF(E1066&gt;0, 1, 0))),","),"")</f>
        <v/>
      </c>
      <c r="X1066" s="21" t="str">
        <f>IF(J1066&gt;0,CONCATENATE("0x",(DEC2HEX(IF(I1066&lt;&gt;"",VLOOKUP(I1066,Notes!$A$2:$B$37,2,FALSE)*1024,0) + J1066*16 + IF(K1066="",7,K1066)*2 + IF(L1066&gt;0, 1, 0))),","),"")</f>
        <v/>
      </c>
      <c r="Y1066" s="21" t="str">
        <f>IF(Q1066&gt;0,CONCATENATE("0x",(DEC2HEX(IF(P1066&lt;&gt;"",VLOOKUP(P1066,Notes!$A$2:$B$37,2,FALSE)*1024,0) + Q1066*16 + IF(R1066="",7,R1066)*2 + IF(S1066&gt;0, 1, 0))),","),"")</f>
        <v/>
      </c>
    </row>
    <row r="1067" spans="1:25" x14ac:dyDescent="0.25">
      <c r="F1067" s="18">
        <f t="shared" si="96"/>
        <v>0</v>
      </c>
      <c r="G1067" s="1" t="str">
        <f t="shared" si="99"/>
        <v/>
      </c>
      <c r="M1067" s="18">
        <f t="shared" si="97"/>
        <v>0</v>
      </c>
      <c r="N1067" s="1" t="str">
        <f t="shared" si="100"/>
        <v/>
      </c>
      <c r="T1067" s="18">
        <f t="shared" si="98"/>
        <v>0</v>
      </c>
      <c r="U1067" s="1" t="str">
        <f t="shared" si="101"/>
        <v/>
      </c>
      <c r="W1067" s="21" t="str">
        <f>IF(C1067&gt;0,CONCATENATE("0x",(DEC2HEX(IF(B1067&lt;&gt;"",VLOOKUP(B1067,Notes!$A$2:$B$37,2,FALSE)*1024,0) + C1067*16 + IF(D1067="",7,D1067)*2 + IF(E1067&gt;0, 1, 0))),","),"")</f>
        <v/>
      </c>
      <c r="X1067" s="21" t="str">
        <f>IF(J1067&gt;0,CONCATENATE("0x",(DEC2HEX(IF(I1067&lt;&gt;"",VLOOKUP(I1067,Notes!$A$2:$B$37,2,FALSE)*1024,0) + J1067*16 + IF(K1067="",7,K1067)*2 + IF(L1067&gt;0, 1, 0))),","),"")</f>
        <v/>
      </c>
      <c r="Y1067" s="21" t="str">
        <f>IF(Q1067&gt;0,CONCATENATE("0x",(DEC2HEX(IF(P1067&lt;&gt;"",VLOOKUP(P1067,Notes!$A$2:$B$37,2,FALSE)*1024,0) + Q1067*16 + IF(R1067="",7,R1067)*2 + IF(S1067&gt;0, 1, 0))),","),"")</f>
        <v/>
      </c>
    </row>
    <row r="1068" spans="1:25" x14ac:dyDescent="0.25">
      <c r="F1068" s="18">
        <f t="shared" si="96"/>
        <v>0</v>
      </c>
      <c r="G1068" s="1" t="str">
        <f t="shared" si="99"/>
        <v/>
      </c>
      <c r="M1068" s="18">
        <f t="shared" si="97"/>
        <v>0</v>
      </c>
      <c r="N1068" s="1" t="str">
        <f t="shared" si="100"/>
        <v/>
      </c>
      <c r="T1068" s="18">
        <f t="shared" si="98"/>
        <v>0</v>
      </c>
      <c r="U1068" s="1" t="str">
        <f t="shared" si="101"/>
        <v/>
      </c>
      <c r="W1068" s="21" t="str">
        <f>IF(C1068&gt;0,CONCATENATE("0x",(DEC2HEX(IF(B1068&lt;&gt;"",VLOOKUP(B1068,Notes!$A$2:$B$37,2,FALSE)*1024,0) + C1068*16 + IF(D1068="",7,D1068)*2 + IF(E1068&gt;0, 1, 0))),","),"")</f>
        <v/>
      </c>
      <c r="X1068" s="21" t="str">
        <f>IF(J1068&gt;0,CONCATENATE("0x",(DEC2HEX(IF(I1068&lt;&gt;"",VLOOKUP(I1068,Notes!$A$2:$B$37,2,FALSE)*1024,0) + J1068*16 + IF(K1068="",7,K1068)*2 + IF(L1068&gt;0, 1, 0))),","),"")</f>
        <v/>
      </c>
      <c r="Y1068" s="21" t="str">
        <f>IF(Q1068&gt;0,CONCATENATE("0x",(DEC2HEX(IF(P1068&lt;&gt;"",VLOOKUP(P1068,Notes!$A$2:$B$37,2,FALSE)*1024,0) + Q1068*16 + IF(R1068="",7,R1068)*2 + IF(S1068&gt;0, 1, 0))),","),"")</f>
        <v/>
      </c>
    </row>
    <row r="1069" spans="1:25" x14ac:dyDescent="0.25">
      <c r="F1069" s="18">
        <f t="shared" si="96"/>
        <v>0</v>
      </c>
      <c r="G1069" s="1" t="str">
        <f t="shared" si="99"/>
        <v/>
      </c>
      <c r="M1069" s="18">
        <f t="shared" si="97"/>
        <v>0</v>
      </c>
      <c r="N1069" s="1" t="str">
        <f t="shared" si="100"/>
        <v/>
      </c>
      <c r="T1069" s="18">
        <f t="shared" si="98"/>
        <v>0</v>
      </c>
      <c r="U1069" s="1" t="str">
        <f t="shared" si="101"/>
        <v/>
      </c>
      <c r="W1069" s="21" t="str">
        <f>IF(C1069&gt;0,CONCATENATE("0x",(DEC2HEX(IF(B1069&lt;&gt;"",VLOOKUP(B1069,Notes!$A$2:$B$37,2,FALSE)*1024,0) + C1069*16 + IF(D1069="",7,D1069)*2 + IF(E1069&gt;0, 1, 0))),","),"")</f>
        <v/>
      </c>
      <c r="X1069" s="21" t="str">
        <f>IF(J1069&gt;0,CONCATENATE("0x",(DEC2HEX(IF(I1069&lt;&gt;"",VLOOKUP(I1069,Notes!$A$2:$B$37,2,FALSE)*1024,0) + J1069*16 + IF(K1069="",7,K1069)*2 + IF(L1069&gt;0, 1, 0))),","),"")</f>
        <v/>
      </c>
      <c r="Y1069" s="21" t="str">
        <f>IF(Q1069&gt;0,CONCATENATE("0x",(DEC2HEX(IF(P1069&lt;&gt;"",VLOOKUP(P1069,Notes!$A$2:$B$37,2,FALSE)*1024,0) + Q1069*16 + IF(R1069="",7,R1069)*2 + IF(S1069&gt;0, 1, 0))),","),"")</f>
        <v/>
      </c>
    </row>
    <row r="1070" spans="1:25" x14ac:dyDescent="0.25">
      <c r="F1070" s="18">
        <f t="shared" si="96"/>
        <v>0</v>
      </c>
      <c r="G1070" s="1" t="str">
        <f t="shared" si="99"/>
        <v/>
      </c>
      <c r="M1070" s="18">
        <f t="shared" si="97"/>
        <v>0</v>
      </c>
      <c r="N1070" s="1" t="str">
        <f t="shared" si="100"/>
        <v/>
      </c>
      <c r="T1070" s="18">
        <f t="shared" si="98"/>
        <v>0</v>
      </c>
      <c r="U1070" s="1" t="str">
        <f t="shared" si="101"/>
        <v/>
      </c>
      <c r="W1070" s="21" t="str">
        <f>IF(C1070&gt;0,CONCATENATE("0x",(DEC2HEX(IF(B1070&lt;&gt;"",VLOOKUP(B1070,Notes!$A$2:$B$37,2,FALSE)*1024,0) + C1070*16 + IF(D1070="",7,D1070)*2 + IF(E1070&gt;0, 1, 0))),","),"")</f>
        <v/>
      </c>
      <c r="X1070" s="21" t="str">
        <f>IF(J1070&gt;0,CONCATENATE("0x",(DEC2HEX(IF(I1070&lt;&gt;"",VLOOKUP(I1070,Notes!$A$2:$B$37,2,FALSE)*1024,0) + J1070*16 + IF(K1070="",7,K1070)*2 + IF(L1070&gt;0, 1, 0))),","),"")</f>
        <v/>
      </c>
      <c r="Y1070" s="21" t="str">
        <f>IF(Q1070&gt;0,CONCATENATE("0x",(DEC2HEX(IF(P1070&lt;&gt;"",VLOOKUP(P1070,Notes!$A$2:$B$37,2,FALSE)*1024,0) + Q1070*16 + IF(R1070="",7,R1070)*2 + IF(S1070&gt;0, 1, 0))),","),"")</f>
        <v/>
      </c>
    </row>
    <row r="1071" spans="1:25" x14ac:dyDescent="0.25">
      <c r="F1071" s="18">
        <f t="shared" si="96"/>
        <v>0</v>
      </c>
      <c r="G1071" s="1" t="str">
        <f t="shared" si="99"/>
        <v/>
      </c>
      <c r="M1071" s="18">
        <f t="shared" si="97"/>
        <v>0</v>
      </c>
      <c r="N1071" s="1" t="str">
        <f t="shared" si="100"/>
        <v/>
      </c>
      <c r="T1071" s="18">
        <f t="shared" si="98"/>
        <v>0</v>
      </c>
      <c r="U1071" s="1" t="str">
        <f t="shared" si="101"/>
        <v/>
      </c>
      <c r="W1071" s="21" t="str">
        <f>IF(C1071&gt;0,CONCATENATE("0x",(DEC2HEX(IF(B1071&lt;&gt;"",VLOOKUP(B1071,Notes!$A$2:$B$37,2,FALSE)*1024,0) + C1071*16 + IF(D1071="",7,D1071)*2 + IF(E1071&gt;0, 1, 0))),","),"")</f>
        <v/>
      </c>
      <c r="X1071" s="21" t="str">
        <f>IF(J1071&gt;0,CONCATENATE("0x",(DEC2HEX(IF(I1071&lt;&gt;"",VLOOKUP(I1071,Notes!$A$2:$B$37,2,FALSE)*1024,0) + J1071*16 + IF(K1071="",7,K1071)*2 + IF(L1071&gt;0, 1, 0))),","),"")</f>
        <v/>
      </c>
      <c r="Y1071" s="21" t="str">
        <f>IF(Q1071&gt;0,CONCATENATE("0x",(DEC2HEX(IF(P1071&lt;&gt;"",VLOOKUP(P1071,Notes!$A$2:$B$37,2,FALSE)*1024,0) + Q1071*16 + IF(R1071="",7,R1071)*2 + IF(S1071&gt;0, 1, 0))),","),"")</f>
        <v/>
      </c>
    </row>
    <row r="1072" spans="1:25" x14ac:dyDescent="0.25">
      <c r="F1072" s="18">
        <f t="shared" si="96"/>
        <v>0</v>
      </c>
      <c r="G1072" s="1" t="str">
        <f t="shared" si="99"/>
        <v/>
      </c>
      <c r="M1072" s="18">
        <f t="shared" si="97"/>
        <v>0</v>
      </c>
      <c r="N1072" s="1" t="str">
        <f t="shared" si="100"/>
        <v/>
      </c>
      <c r="T1072" s="18">
        <f t="shared" si="98"/>
        <v>0</v>
      </c>
      <c r="U1072" s="1" t="str">
        <f t="shared" si="101"/>
        <v/>
      </c>
      <c r="W1072" s="21" t="str">
        <f>IF(C1072&gt;0,CONCATENATE("0x",(DEC2HEX(IF(B1072&lt;&gt;"",VLOOKUP(B1072,Notes!$A$2:$B$37,2,FALSE)*1024,0) + C1072*16 + IF(D1072="",7,D1072)*2 + IF(E1072&gt;0, 1, 0))),","),"")</f>
        <v/>
      </c>
      <c r="X1072" s="21" t="str">
        <f>IF(J1072&gt;0,CONCATENATE("0x",(DEC2HEX(IF(I1072&lt;&gt;"",VLOOKUP(I1072,Notes!$A$2:$B$37,2,FALSE)*1024,0) + J1072*16 + IF(K1072="",7,K1072)*2 + IF(L1072&gt;0, 1, 0))),","),"")</f>
        <v/>
      </c>
      <c r="Y1072" s="21" t="str">
        <f>IF(Q1072&gt;0,CONCATENATE("0x",(DEC2HEX(IF(P1072&lt;&gt;"",VLOOKUP(P1072,Notes!$A$2:$B$37,2,FALSE)*1024,0) + Q1072*16 + IF(R1072="",7,R1072)*2 + IF(S1072&gt;0, 1, 0))),","),"")</f>
        <v/>
      </c>
    </row>
    <row r="1073" spans="2:25" x14ac:dyDescent="0.25">
      <c r="B1073" s="12"/>
      <c r="C1073" s="13"/>
      <c r="D1073" s="13"/>
      <c r="E1073" s="14"/>
      <c r="F1073" s="18">
        <f t="shared" si="96"/>
        <v>0</v>
      </c>
      <c r="G1073" s="1" t="str">
        <f t="shared" si="99"/>
        <v/>
      </c>
      <c r="I1073" s="12"/>
      <c r="J1073" s="13"/>
      <c r="K1073" s="13"/>
      <c r="L1073" s="14"/>
      <c r="M1073" s="18">
        <f t="shared" si="97"/>
        <v>0</v>
      </c>
      <c r="N1073" s="1" t="str">
        <f t="shared" si="100"/>
        <v/>
      </c>
      <c r="P1073" s="12"/>
      <c r="Q1073" s="13"/>
      <c r="R1073" s="13"/>
      <c r="S1073" s="14"/>
      <c r="T1073" s="18">
        <f t="shared" si="98"/>
        <v>0</v>
      </c>
      <c r="U1073" s="1" t="str">
        <f t="shared" si="101"/>
        <v/>
      </c>
      <c r="W1073" s="21" t="str">
        <f>IF(C1073&gt;0,CONCATENATE("0x",(DEC2HEX(IF(B1073&lt;&gt;"",VLOOKUP(B1073,Notes!$A$2:$B$37,2,FALSE)*1024,0) + C1073*16 + IF(D1073="",7,D1073)*2 + IF(E1073&gt;0, 1, 0))),","),"")</f>
        <v/>
      </c>
      <c r="X1073" s="21" t="str">
        <f>IF(J1073&gt;0,CONCATENATE("0x",(DEC2HEX(IF(I1073&lt;&gt;"",VLOOKUP(I1073,Notes!$A$2:$B$37,2,FALSE)*1024,0) + J1073*16 + IF(K1073="",7,K1073)*2 + IF(L1073&gt;0, 1, 0))),","),"")</f>
        <v/>
      </c>
      <c r="Y1073" s="21" t="str">
        <f>IF(Q1073&gt;0,CONCATENATE("0x",(DEC2HEX(IF(P1073&lt;&gt;"",VLOOKUP(P1073,Notes!$A$2:$B$37,2,FALSE)*1024,0) + Q1073*16 + IF(R1073="",7,R1073)*2 + IF(S1073&gt;0, 1, 0))),","),"")</f>
        <v/>
      </c>
    </row>
    <row r="1074" spans="2:25" x14ac:dyDescent="0.25">
      <c r="F1074" s="18">
        <f t="shared" si="96"/>
        <v>0</v>
      </c>
      <c r="G1074" s="1" t="str">
        <f t="shared" si="99"/>
        <v/>
      </c>
      <c r="M1074" s="18">
        <f t="shared" si="97"/>
        <v>0</v>
      </c>
      <c r="N1074" s="1" t="str">
        <f t="shared" si="100"/>
        <v/>
      </c>
      <c r="T1074" s="18">
        <f t="shared" si="98"/>
        <v>0</v>
      </c>
      <c r="U1074" s="1" t="str">
        <f t="shared" si="101"/>
        <v/>
      </c>
      <c r="W1074" s="21" t="str">
        <f>IF(C1074&gt;0,CONCATENATE("0x",(DEC2HEX(IF(B1074&lt;&gt;"",VLOOKUP(B1074,Notes!$A$2:$B$37,2,FALSE)*1024,0) + C1074*16 + IF(D1074="",7,D1074)*2 + IF(E1074&gt;0, 1, 0))),","),"")</f>
        <v/>
      </c>
      <c r="X1074" s="21" t="str">
        <f>IF(J1074&gt;0,CONCATENATE("0x",(DEC2HEX(IF(I1074&lt;&gt;"",VLOOKUP(I1074,Notes!$A$2:$B$37,2,FALSE)*1024,0) + J1074*16 + IF(K1074="",7,K1074)*2 + IF(L1074&gt;0, 1, 0))),","),"")</f>
        <v/>
      </c>
      <c r="Y1074" s="21" t="str">
        <f>IF(Q1074&gt;0,CONCATENATE("0x",(DEC2HEX(IF(P1074&lt;&gt;"",VLOOKUP(P1074,Notes!$A$2:$B$37,2,FALSE)*1024,0) + Q1074*16 + IF(R1074="",7,R1074)*2 + IF(S1074&gt;0, 1, 0))),","),"")</f>
        <v/>
      </c>
    </row>
    <row r="1075" spans="2:25" x14ac:dyDescent="0.25">
      <c r="F1075" s="18">
        <f t="shared" si="96"/>
        <v>0</v>
      </c>
      <c r="G1075" s="1" t="str">
        <f t="shared" si="99"/>
        <v/>
      </c>
      <c r="M1075" s="18">
        <f t="shared" si="97"/>
        <v>0</v>
      </c>
      <c r="N1075" s="1" t="str">
        <f t="shared" si="100"/>
        <v/>
      </c>
      <c r="T1075" s="18">
        <f t="shared" si="98"/>
        <v>0</v>
      </c>
      <c r="U1075" s="1" t="str">
        <f t="shared" si="101"/>
        <v/>
      </c>
      <c r="W1075" s="21" t="str">
        <f>IF(C1075&gt;0,CONCATENATE("0x",(DEC2HEX(IF(B1075&lt;&gt;"",VLOOKUP(B1075,Notes!$A$2:$B$37,2,FALSE)*1024,0) + C1075*16 + IF(D1075="",7,D1075)*2 + IF(E1075&gt;0, 1, 0))),","),"")</f>
        <v/>
      </c>
      <c r="X1075" s="21" t="str">
        <f>IF(J1075&gt;0,CONCATENATE("0x",(DEC2HEX(IF(I1075&lt;&gt;"",VLOOKUP(I1075,Notes!$A$2:$B$37,2,FALSE)*1024,0) + J1075*16 + IF(K1075="",7,K1075)*2 + IF(L1075&gt;0, 1, 0))),","),"")</f>
        <v/>
      </c>
      <c r="Y1075" s="21" t="str">
        <f>IF(Q1075&gt;0,CONCATENATE("0x",(DEC2HEX(IF(P1075&lt;&gt;"",VLOOKUP(P1075,Notes!$A$2:$B$37,2,FALSE)*1024,0) + Q1075*16 + IF(R1075="",7,R1075)*2 + IF(S1075&gt;0, 1, 0))),","),"")</f>
        <v/>
      </c>
    </row>
    <row r="1076" spans="2:25" x14ac:dyDescent="0.25">
      <c r="F1076" s="18">
        <f t="shared" si="96"/>
        <v>0</v>
      </c>
      <c r="G1076" s="1" t="str">
        <f t="shared" si="99"/>
        <v/>
      </c>
      <c r="M1076" s="18">
        <f t="shared" si="97"/>
        <v>0</v>
      </c>
      <c r="N1076" s="1" t="str">
        <f t="shared" si="100"/>
        <v/>
      </c>
      <c r="T1076" s="18">
        <f t="shared" si="98"/>
        <v>0</v>
      </c>
      <c r="U1076" s="1" t="str">
        <f t="shared" si="101"/>
        <v/>
      </c>
      <c r="W1076" s="21" t="str">
        <f>IF(C1076&gt;0,CONCATENATE("0x",(DEC2HEX(IF(B1076&lt;&gt;"",VLOOKUP(B1076,Notes!$A$2:$B$37,2,FALSE)*1024,0) + C1076*16 + IF(D1076="",7,D1076)*2 + IF(E1076&gt;0, 1, 0))),","),"")</f>
        <v/>
      </c>
      <c r="X1076" s="21" t="str">
        <f>IF(J1076&gt;0,CONCATENATE("0x",(DEC2HEX(IF(I1076&lt;&gt;"",VLOOKUP(I1076,Notes!$A$2:$B$37,2,FALSE)*1024,0) + J1076*16 + IF(K1076="",7,K1076)*2 + IF(L1076&gt;0, 1, 0))),","),"")</f>
        <v/>
      </c>
      <c r="Y1076" s="21" t="str">
        <f>IF(Q1076&gt;0,CONCATENATE("0x",(DEC2HEX(IF(P1076&lt;&gt;"",VLOOKUP(P1076,Notes!$A$2:$B$37,2,FALSE)*1024,0) + Q1076*16 + IF(R1076="",7,R1076)*2 + IF(S1076&gt;0, 1, 0))),","),"")</f>
        <v/>
      </c>
    </row>
    <row r="1077" spans="2:25" x14ac:dyDescent="0.25">
      <c r="F1077" s="18">
        <f t="shared" si="96"/>
        <v>0</v>
      </c>
      <c r="G1077" s="1" t="str">
        <f t="shared" si="99"/>
        <v/>
      </c>
      <c r="M1077" s="18">
        <f t="shared" si="97"/>
        <v>0</v>
      </c>
      <c r="N1077" s="1" t="str">
        <f t="shared" si="100"/>
        <v/>
      </c>
      <c r="T1077" s="18">
        <f t="shared" si="98"/>
        <v>0</v>
      </c>
      <c r="U1077" s="1" t="str">
        <f t="shared" si="101"/>
        <v/>
      </c>
      <c r="W1077" s="21" t="str">
        <f>IF(C1077&gt;0,CONCATENATE("0x",(DEC2HEX(IF(B1077&lt;&gt;"",VLOOKUP(B1077,Notes!$A$2:$B$37,2,FALSE)*1024,0) + C1077*16 + IF(D1077="",7,D1077)*2 + IF(E1077&gt;0, 1, 0))),","),"")</f>
        <v/>
      </c>
      <c r="X1077" s="21" t="str">
        <f>IF(J1077&gt;0,CONCATENATE("0x",(DEC2HEX(IF(I1077&lt;&gt;"",VLOOKUP(I1077,Notes!$A$2:$B$37,2,FALSE)*1024,0) + J1077*16 + IF(K1077="",7,K1077)*2 + IF(L1077&gt;0, 1, 0))),","),"")</f>
        <v/>
      </c>
      <c r="Y1077" s="21" t="str">
        <f>IF(Q1077&gt;0,CONCATENATE("0x",(DEC2HEX(IF(P1077&lt;&gt;"",VLOOKUP(P1077,Notes!$A$2:$B$37,2,FALSE)*1024,0) + Q1077*16 + IF(R1077="",7,R1077)*2 + IF(S1077&gt;0, 1, 0))),","),"")</f>
        <v/>
      </c>
    </row>
    <row r="1078" spans="2:25" x14ac:dyDescent="0.25">
      <c r="F1078" s="18">
        <f t="shared" si="96"/>
        <v>0</v>
      </c>
      <c r="G1078" s="1" t="str">
        <f t="shared" si="99"/>
        <v/>
      </c>
      <c r="M1078" s="18">
        <f t="shared" si="97"/>
        <v>0</v>
      </c>
      <c r="N1078" s="1" t="str">
        <f t="shared" si="100"/>
        <v/>
      </c>
      <c r="T1078" s="18">
        <f t="shared" si="98"/>
        <v>0</v>
      </c>
      <c r="U1078" s="1" t="str">
        <f t="shared" si="101"/>
        <v/>
      </c>
      <c r="W1078" s="21" t="str">
        <f>IF(C1078&gt;0,CONCATENATE("0x",(DEC2HEX(IF(B1078&lt;&gt;"",VLOOKUP(B1078,Notes!$A$2:$B$37,2,FALSE)*1024,0) + C1078*16 + IF(D1078="",7,D1078)*2 + IF(E1078&gt;0, 1, 0))),","),"")</f>
        <v/>
      </c>
      <c r="X1078" s="21" t="str">
        <f>IF(J1078&gt;0,CONCATENATE("0x",(DEC2HEX(IF(I1078&lt;&gt;"",VLOOKUP(I1078,Notes!$A$2:$B$37,2,FALSE)*1024,0) + J1078*16 + IF(K1078="",7,K1078)*2 + IF(L1078&gt;0, 1, 0))),","),"")</f>
        <v/>
      </c>
      <c r="Y1078" s="21" t="str">
        <f>IF(Q1078&gt;0,CONCATENATE("0x",(DEC2HEX(IF(P1078&lt;&gt;"",VLOOKUP(P1078,Notes!$A$2:$B$37,2,FALSE)*1024,0) + Q1078*16 + IF(R1078="",7,R1078)*2 + IF(S1078&gt;0, 1, 0))),","),"")</f>
        <v/>
      </c>
    </row>
    <row r="1079" spans="2:25" x14ac:dyDescent="0.25">
      <c r="F1079" s="18">
        <f t="shared" si="96"/>
        <v>0</v>
      </c>
      <c r="G1079" s="1" t="str">
        <f t="shared" si="99"/>
        <v/>
      </c>
      <c r="M1079" s="18">
        <f t="shared" si="97"/>
        <v>0</v>
      </c>
      <c r="N1079" s="1" t="str">
        <f t="shared" si="100"/>
        <v/>
      </c>
      <c r="T1079" s="18">
        <f t="shared" si="98"/>
        <v>0</v>
      </c>
      <c r="U1079" s="1" t="str">
        <f t="shared" si="101"/>
        <v/>
      </c>
      <c r="W1079" s="21" t="str">
        <f>IF(C1079&gt;0,CONCATENATE("0x",(DEC2HEX(IF(B1079&lt;&gt;"",VLOOKUP(B1079,Notes!$A$2:$B$37,2,FALSE)*1024,0) + C1079*16 + IF(D1079="",7,D1079)*2 + IF(E1079&gt;0, 1, 0))),","),"")</f>
        <v/>
      </c>
      <c r="X1079" s="21" t="str">
        <f>IF(J1079&gt;0,CONCATENATE("0x",(DEC2HEX(IF(I1079&lt;&gt;"",VLOOKUP(I1079,Notes!$A$2:$B$37,2,FALSE)*1024,0) + J1079*16 + IF(K1079="",7,K1079)*2 + IF(L1079&gt;0, 1, 0))),","),"")</f>
        <v/>
      </c>
      <c r="Y1079" s="21" t="str">
        <f>IF(Q1079&gt;0,CONCATENATE("0x",(DEC2HEX(IF(P1079&lt;&gt;"",VLOOKUP(P1079,Notes!$A$2:$B$37,2,FALSE)*1024,0) + Q1079*16 + IF(R1079="",7,R1079)*2 + IF(S1079&gt;0, 1, 0))),","),"")</f>
        <v/>
      </c>
    </row>
    <row r="1080" spans="2:25" x14ac:dyDescent="0.25">
      <c r="F1080" s="18">
        <f t="shared" si="96"/>
        <v>0</v>
      </c>
      <c r="G1080" s="1" t="str">
        <f t="shared" si="99"/>
        <v/>
      </c>
      <c r="M1080" s="18">
        <f t="shared" si="97"/>
        <v>0</v>
      </c>
      <c r="N1080" s="1" t="str">
        <f t="shared" si="100"/>
        <v/>
      </c>
      <c r="T1080" s="18">
        <f t="shared" si="98"/>
        <v>0</v>
      </c>
      <c r="U1080" s="1" t="str">
        <f t="shared" si="101"/>
        <v/>
      </c>
      <c r="W1080" s="21" t="str">
        <f>IF(C1080&gt;0,CONCATENATE("0x",(DEC2HEX(IF(B1080&lt;&gt;"",VLOOKUP(B1080,Notes!$A$2:$B$37,2,FALSE)*1024,0) + C1080*16 + IF(D1080="",7,D1080)*2 + IF(E1080&gt;0, 1, 0))),","),"")</f>
        <v/>
      </c>
      <c r="X1080" s="21" t="str">
        <f>IF(J1080&gt;0,CONCATENATE("0x",(DEC2HEX(IF(I1080&lt;&gt;"",VLOOKUP(I1080,Notes!$A$2:$B$37,2,FALSE)*1024,0) + J1080*16 + IF(K1080="",7,K1080)*2 + IF(L1080&gt;0, 1, 0))),","),"")</f>
        <v/>
      </c>
      <c r="Y1080" s="21" t="str">
        <f>IF(Q1080&gt;0,CONCATENATE("0x",(DEC2HEX(IF(P1080&lt;&gt;"",VLOOKUP(P1080,Notes!$A$2:$B$37,2,FALSE)*1024,0) + Q1080*16 + IF(R1080="",7,R1080)*2 + IF(S1080&gt;0, 1, 0))),","),"")</f>
        <v/>
      </c>
    </row>
    <row r="1081" spans="2:25" x14ac:dyDescent="0.25">
      <c r="B1081" s="12"/>
      <c r="C1081" s="13"/>
      <c r="D1081" s="13"/>
      <c r="E1081" s="14"/>
      <c r="F1081" s="18">
        <f t="shared" si="96"/>
        <v>0</v>
      </c>
      <c r="G1081" s="1" t="str">
        <f t="shared" si="99"/>
        <v/>
      </c>
      <c r="I1081" s="12"/>
      <c r="J1081" s="13"/>
      <c r="K1081" s="13"/>
      <c r="L1081" s="14"/>
      <c r="M1081" s="18">
        <f t="shared" si="97"/>
        <v>0</v>
      </c>
      <c r="N1081" s="1" t="str">
        <f t="shared" si="100"/>
        <v/>
      </c>
      <c r="P1081" s="12"/>
      <c r="Q1081" s="13"/>
      <c r="R1081" s="13"/>
      <c r="S1081" s="14"/>
      <c r="T1081" s="18">
        <f t="shared" si="98"/>
        <v>0</v>
      </c>
      <c r="U1081" s="1" t="str">
        <f t="shared" si="101"/>
        <v/>
      </c>
      <c r="W1081" s="21" t="str">
        <f>IF(C1081&gt;0,CONCATENATE("0x",(DEC2HEX(IF(B1081&lt;&gt;"",VLOOKUP(B1081,Notes!$A$2:$B$37,2,FALSE)*1024,0) + C1081*16 + IF(D1081="",7,D1081)*2 + IF(E1081&gt;0, 1, 0))),","),"")</f>
        <v/>
      </c>
      <c r="X1081" s="21" t="str">
        <f>IF(J1081&gt;0,CONCATENATE("0x",(DEC2HEX(IF(I1081&lt;&gt;"",VLOOKUP(I1081,Notes!$A$2:$B$37,2,FALSE)*1024,0) + J1081*16 + IF(K1081="",7,K1081)*2 + IF(L1081&gt;0, 1, 0))),","),"")</f>
        <v/>
      </c>
      <c r="Y1081" s="21" t="str">
        <f>IF(Q1081&gt;0,CONCATENATE("0x",(DEC2HEX(IF(P1081&lt;&gt;"",VLOOKUP(P1081,Notes!$A$2:$B$37,2,FALSE)*1024,0) + Q1081*16 + IF(R1081="",7,R1081)*2 + IF(S1081&gt;0, 1, 0))),","),"")</f>
        <v/>
      </c>
    </row>
    <row r="1082" spans="2:25" x14ac:dyDescent="0.25">
      <c r="F1082" s="18">
        <f t="shared" si="96"/>
        <v>0</v>
      </c>
      <c r="G1082" s="1" t="str">
        <f t="shared" si="99"/>
        <v/>
      </c>
      <c r="M1082" s="18">
        <f t="shared" si="97"/>
        <v>0</v>
      </c>
      <c r="N1082" s="1" t="str">
        <f t="shared" si="100"/>
        <v/>
      </c>
      <c r="T1082" s="18">
        <f t="shared" si="98"/>
        <v>0</v>
      </c>
      <c r="U1082" s="1" t="str">
        <f t="shared" si="101"/>
        <v/>
      </c>
      <c r="W1082" s="21" t="str">
        <f>IF(C1082&gt;0,CONCATENATE("0x",(DEC2HEX(IF(B1082&lt;&gt;"",VLOOKUP(B1082,Notes!$A$2:$B$37,2,FALSE)*1024,0) + C1082*16 + IF(D1082="",7,D1082)*2 + IF(E1082&gt;0, 1, 0))),","),"")</f>
        <v/>
      </c>
      <c r="X1082" s="21" t="str">
        <f>IF(J1082&gt;0,CONCATENATE("0x",(DEC2HEX(IF(I1082&lt;&gt;"",VLOOKUP(I1082,Notes!$A$2:$B$37,2,FALSE)*1024,0) + J1082*16 + IF(K1082="",7,K1082)*2 + IF(L1082&gt;0, 1, 0))),","),"")</f>
        <v/>
      </c>
      <c r="Y1082" s="21" t="str">
        <f>IF(Q1082&gt;0,CONCATENATE("0x",(DEC2HEX(IF(P1082&lt;&gt;"",VLOOKUP(P1082,Notes!$A$2:$B$37,2,FALSE)*1024,0) + Q1082*16 + IF(R1082="",7,R1082)*2 + IF(S1082&gt;0, 1, 0))),","),"")</f>
        <v/>
      </c>
    </row>
    <row r="1083" spans="2:25" x14ac:dyDescent="0.25">
      <c r="F1083" s="18">
        <f t="shared" si="96"/>
        <v>0</v>
      </c>
      <c r="G1083" s="1" t="str">
        <f t="shared" si="99"/>
        <v/>
      </c>
      <c r="M1083" s="18">
        <f t="shared" si="97"/>
        <v>0</v>
      </c>
      <c r="N1083" s="1" t="str">
        <f t="shared" si="100"/>
        <v/>
      </c>
      <c r="T1083" s="18">
        <f t="shared" si="98"/>
        <v>0</v>
      </c>
      <c r="U1083" s="1" t="str">
        <f t="shared" si="101"/>
        <v/>
      </c>
      <c r="W1083" s="21" t="str">
        <f>IF(C1083&gt;0,CONCATENATE("0x",(DEC2HEX(IF(B1083&lt;&gt;"",VLOOKUP(B1083,Notes!$A$2:$B$37,2,FALSE)*1024,0) + C1083*16 + IF(D1083="",7,D1083)*2 + IF(E1083&gt;0, 1, 0))),","),"")</f>
        <v/>
      </c>
      <c r="X1083" s="21" t="str">
        <f>IF(J1083&gt;0,CONCATENATE("0x",(DEC2HEX(IF(I1083&lt;&gt;"",VLOOKUP(I1083,Notes!$A$2:$B$37,2,FALSE)*1024,0) + J1083*16 + IF(K1083="",7,K1083)*2 + IF(L1083&gt;0, 1, 0))),","),"")</f>
        <v/>
      </c>
      <c r="Y1083" s="21" t="str">
        <f>IF(Q1083&gt;0,CONCATENATE("0x",(DEC2HEX(IF(P1083&lt;&gt;"",VLOOKUP(P1083,Notes!$A$2:$B$37,2,FALSE)*1024,0) + Q1083*16 + IF(R1083="",7,R1083)*2 + IF(S1083&gt;0, 1, 0))),","),"")</f>
        <v/>
      </c>
    </row>
    <row r="1084" spans="2:25" x14ac:dyDescent="0.25">
      <c r="F1084" s="18">
        <f t="shared" si="96"/>
        <v>0</v>
      </c>
      <c r="G1084" s="1" t="str">
        <f t="shared" si="99"/>
        <v/>
      </c>
      <c r="M1084" s="18">
        <f t="shared" si="97"/>
        <v>0</v>
      </c>
      <c r="N1084" s="1" t="str">
        <f t="shared" si="100"/>
        <v/>
      </c>
      <c r="T1084" s="18">
        <f t="shared" si="98"/>
        <v>0</v>
      </c>
      <c r="U1084" s="1" t="str">
        <f t="shared" si="101"/>
        <v/>
      </c>
      <c r="W1084" s="21" t="str">
        <f>IF(C1084&gt;0,CONCATENATE("0x",(DEC2HEX(IF(B1084&lt;&gt;"",VLOOKUP(B1084,Notes!$A$2:$B$37,2,FALSE)*1024,0) + C1084*16 + IF(D1084="",7,D1084)*2 + IF(E1084&gt;0, 1, 0))),","),"")</f>
        <v/>
      </c>
      <c r="X1084" s="21" t="str">
        <f>IF(J1084&gt;0,CONCATENATE("0x",(DEC2HEX(IF(I1084&lt;&gt;"",VLOOKUP(I1084,Notes!$A$2:$B$37,2,FALSE)*1024,0) + J1084*16 + IF(K1084="",7,K1084)*2 + IF(L1084&gt;0, 1, 0))),","),"")</f>
        <v/>
      </c>
      <c r="Y1084" s="21" t="str">
        <f>IF(Q1084&gt;0,CONCATENATE("0x",(DEC2HEX(IF(P1084&lt;&gt;"",VLOOKUP(P1084,Notes!$A$2:$B$37,2,FALSE)*1024,0) + Q1084*16 + IF(R1084="",7,R1084)*2 + IF(S1084&gt;0, 1, 0))),","),"")</f>
        <v/>
      </c>
    </row>
    <row r="1085" spans="2:25" x14ac:dyDescent="0.25">
      <c r="F1085" s="18">
        <f t="shared" si="96"/>
        <v>0</v>
      </c>
      <c r="G1085" s="1" t="str">
        <f t="shared" si="99"/>
        <v/>
      </c>
      <c r="M1085" s="18">
        <f t="shared" si="97"/>
        <v>0</v>
      </c>
      <c r="N1085" s="1" t="str">
        <f t="shared" si="100"/>
        <v/>
      </c>
      <c r="T1085" s="18">
        <f t="shared" si="98"/>
        <v>0</v>
      </c>
      <c r="U1085" s="1" t="str">
        <f t="shared" si="101"/>
        <v/>
      </c>
      <c r="W1085" s="21" t="str">
        <f>IF(C1085&gt;0,CONCATENATE("0x",(DEC2HEX(IF(B1085&lt;&gt;"",VLOOKUP(B1085,Notes!$A$2:$B$37,2,FALSE)*1024,0) + C1085*16 + IF(D1085="",7,D1085)*2 + IF(E1085&gt;0, 1, 0))),","),"")</f>
        <v/>
      </c>
      <c r="X1085" s="21" t="str">
        <f>IF(J1085&gt;0,CONCATENATE("0x",(DEC2HEX(IF(I1085&lt;&gt;"",VLOOKUP(I1085,Notes!$A$2:$B$37,2,FALSE)*1024,0) + J1085*16 + IF(K1085="",7,K1085)*2 + IF(L1085&gt;0, 1, 0))),","),"")</f>
        <v/>
      </c>
      <c r="Y1085" s="21" t="str">
        <f>IF(Q1085&gt;0,CONCATENATE("0x",(DEC2HEX(IF(P1085&lt;&gt;"",VLOOKUP(P1085,Notes!$A$2:$B$37,2,FALSE)*1024,0) + Q1085*16 + IF(R1085="",7,R1085)*2 + IF(S1085&gt;0, 1, 0))),","),"")</f>
        <v/>
      </c>
    </row>
    <row r="1086" spans="2:25" x14ac:dyDescent="0.25">
      <c r="F1086" s="18">
        <f t="shared" si="96"/>
        <v>0</v>
      </c>
      <c r="G1086" s="1" t="str">
        <f t="shared" si="99"/>
        <v/>
      </c>
      <c r="M1086" s="18">
        <f t="shared" si="97"/>
        <v>0</v>
      </c>
      <c r="N1086" s="1" t="str">
        <f t="shared" si="100"/>
        <v/>
      </c>
      <c r="T1086" s="18">
        <f t="shared" si="98"/>
        <v>0</v>
      </c>
      <c r="U1086" s="1" t="str">
        <f t="shared" si="101"/>
        <v/>
      </c>
      <c r="W1086" s="21" t="str">
        <f>IF(C1086&gt;0,CONCATENATE("0x",(DEC2HEX(IF(B1086&lt;&gt;"",VLOOKUP(B1086,Notes!$A$2:$B$37,2,FALSE)*1024,0) + C1086*16 + IF(D1086="",7,D1086)*2 + IF(E1086&gt;0, 1, 0))),","),"")</f>
        <v/>
      </c>
      <c r="X1086" s="21" t="str">
        <f>IF(J1086&gt;0,CONCATENATE("0x",(DEC2HEX(IF(I1086&lt;&gt;"",VLOOKUP(I1086,Notes!$A$2:$B$37,2,FALSE)*1024,0) + J1086*16 + IF(K1086="",7,K1086)*2 + IF(L1086&gt;0, 1, 0))),","),"")</f>
        <v/>
      </c>
      <c r="Y1086" s="21" t="str">
        <f>IF(Q1086&gt;0,CONCATENATE("0x",(DEC2HEX(IF(P1086&lt;&gt;"",VLOOKUP(P1086,Notes!$A$2:$B$37,2,FALSE)*1024,0) + Q1086*16 + IF(R1086="",7,R1086)*2 + IF(S1086&gt;0, 1, 0))),","),"")</f>
        <v/>
      </c>
    </row>
    <row r="1087" spans="2:25" x14ac:dyDescent="0.25">
      <c r="F1087" s="18">
        <f t="shared" si="96"/>
        <v>0</v>
      </c>
      <c r="G1087" s="1" t="str">
        <f t="shared" si="99"/>
        <v/>
      </c>
      <c r="M1087" s="18">
        <f t="shared" si="97"/>
        <v>0</v>
      </c>
      <c r="N1087" s="1" t="str">
        <f t="shared" si="100"/>
        <v/>
      </c>
      <c r="T1087" s="18">
        <f t="shared" si="98"/>
        <v>0</v>
      </c>
      <c r="U1087" s="1" t="str">
        <f t="shared" si="101"/>
        <v/>
      </c>
      <c r="W1087" s="21" t="str">
        <f>IF(C1087&gt;0,CONCATENATE("0x",(DEC2HEX(IF(B1087&lt;&gt;"",VLOOKUP(B1087,Notes!$A$2:$B$37,2,FALSE)*1024,0) + C1087*16 + IF(D1087="",7,D1087)*2 + IF(E1087&gt;0, 1, 0))),","),"")</f>
        <v/>
      </c>
      <c r="X1087" s="21" t="str">
        <f>IF(J1087&gt;0,CONCATENATE("0x",(DEC2HEX(IF(I1087&lt;&gt;"",VLOOKUP(I1087,Notes!$A$2:$B$37,2,FALSE)*1024,0) + J1087*16 + IF(K1087="",7,K1087)*2 + IF(L1087&gt;0, 1, 0))),","),"")</f>
        <v/>
      </c>
      <c r="Y1087" s="21" t="str">
        <f>IF(Q1087&gt;0,CONCATENATE("0x",(DEC2HEX(IF(P1087&lt;&gt;"",VLOOKUP(P1087,Notes!$A$2:$B$37,2,FALSE)*1024,0) + Q1087*16 + IF(R1087="",7,R1087)*2 + IF(S1087&gt;0, 1, 0))),","),"")</f>
        <v/>
      </c>
    </row>
    <row r="1088" spans="2:25" x14ac:dyDescent="0.25">
      <c r="F1088" s="18">
        <f t="shared" si="96"/>
        <v>0</v>
      </c>
      <c r="G1088" s="1" t="str">
        <f t="shared" si="99"/>
        <v/>
      </c>
      <c r="M1088" s="18">
        <f t="shared" si="97"/>
        <v>0</v>
      </c>
      <c r="N1088" s="1" t="str">
        <f t="shared" si="100"/>
        <v/>
      </c>
      <c r="T1088" s="18">
        <f t="shared" si="98"/>
        <v>0</v>
      </c>
      <c r="U1088" s="1" t="str">
        <f t="shared" si="101"/>
        <v/>
      </c>
      <c r="W1088" s="21" t="str">
        <f>IF(C1088&gt;0,CONCATENATE("0x",(DEC2HEX(IF(B1088&lt;&gt;"",VLOOKUP(B1088,Notes!$A$2:$B$37,2,FALSE)*1024,0) + C1088*16 + IF(D1088="",7,D1088)*2 + IF(E1088&gt;0, 1, 0))),","),"")</f>
        <v/>
      </c>
      <c r="X1088" s="21" t="str">
        <f>IF(J1088&gt;0,CONCATENATE("0x",(DEC2HEX(IF(I1088&lt;&gt;"",VLOOKUP(I1088,Notes!$A$2:$B$37,2,FALSE)*1024,0) + J1088*16 + IF(K1088="",7,K1088)*2 + IF(L1088&gt;0, 1, 0))),","),"")</f>
        <v/>
      </c>
      <c r="Y1088" s="21" t="str">
        <f>IF(Q1088&gt;0,CONCATENATE("0x",(DEC2HEX(IF(P1088&lt;&gt;"",VLOOKUP(P1088,Notes!$A$2:$B$37,2,FALSE)*1024,0) + Q1088*16 + IF(R1088="",7,R1088)*2 + IF(S1088&gt;0, 1, 0))),","),"")</f>
        <v/>
      </c>
    </row>
    <row r="1089" spans="1:25" ht="16.5" thickBot="1" x14ac:dyDescent="0.3">
      <c r="B1089" s="15"/>
      <c r="C1089" s="16"/>
      <c r="D1089" s="16"/>
      <c r="E1089" s="17"/>
      <c r="F1089" s="18">
        <f t="shared" si="96"/>
        <v>0</v>
      </c>
      <c r="G1089" s="1" t="str">
        <f t="shared" si="99"/>
        <v/>
      </c>
      <c r="I1089" s="15"/>
      <c r="J1089" s="16"/>
      <c r="K1089" s="16"/>
      <c r="L1089" s="17"/>
      <c r="M1089" s="18">
        <f t="shared" si="97"/>
        <v>0</v>
      </c>
      <c r="N1089" s="1" t="str">
        <f t="shared" si="100"/>
        <v/>
      </c>
      <c r="P1089" s="15"/>
      <c r="Q1089" s="16"/>
      <c r="R1089" s="16"/>
      <c r="S1089" s="17"/>
      <c r="T1089" s="18">
        <f t="shared" si="98"/>
        <v>0</v>
      </c>
      <c r="U1089" s="1" t="str">
        <f t="shared" si="101"/>
        <v/>
      </c>
      <c r="W1089" s="21" t="str">
        <f>IF(C1089&gt;0,CONCATENATE("0x",(DEC2HEX(IF(B1089&lt;&gt;"",VLOOKUP(B1089,Notes!$A$2:$B$37,2,FALSE)*1024,0) + C1089*16 + IF(D1089="",7,D1089)*2 + IF(E1089&gt;0, 1, 0))),","),"")</f>
        <v/>
      </c>
      <c r="X1089" s="21" t="str">
        <f>IF(J1089&gt;0,CONCATENATE("0x",(DEC2HEX(IF(I1089&lt;&gt;"",VLOOKUP(I1089,Notes!$A$2:$B$37,2,FALSE)*1024,0) + J1089*16 + IF(K1089="",7,K1089)*2 + IF(L1089&gt;0, 1, 0))),","),"")</f>
        <v/>
      </c>
      <c r="Y1089" s="21" t="str">
        <f>IF(Q1089&gt;0,CONCATENATE("0x",(DEC2HEX(IF(P1089&lt;&gt;"",VLOOKUP(P1089,Notes!$A$2:$B$37,2,FALSE)*1024,0) + Q1089*16 + IF(R1089="",7,R1089)*2 + IF(S1089&gt;0, 1, 0))),","),"")</f>
        <v/>
      </c>
    </row>
    <row r="1090" spans="1:25" ht="16.5" thickTop="1" x14ac:dyDescent="0.25">
      <c r="A1090" s="1">
        <v>35</v>
      </c>
      <c r="F1090" s="18">
        <f t="shared" si="96"/>
        <v>0</v>
      </c>
      <c r="G1090" s="1" t="str">
        <f t="shared" si="99"/>
        <v/>
      </c>
      <c r="M1090" s="18">
        <f t="shared" si="97"/>
        <v>0</v>
      </c>
      <c r="N1090" s="1" t="str">
        <f t="shared" si="100"/>
        <v/>
      </c>
      <c r="T1090" s="18">
        <f t="shared" si="98"/>
        <v>0</v>
      </c>
      <c r="U1090" s="1" t="str">
        <f t="shared" si="101"/>
        <v/>
      </c>
      <c r="W1090" s="21" t="str">
        <f>IF(C1090&gt;0,CONCATENATE("0x",(DEC2HEX(IF(B1090&lt;&gt;"",VLOOKUP(B1090,Notes!$A$2:$B$37,2,FALSE)*1024,0) + C1090*16 + IF(D1090="",7,D1090)*2 + IF(E1090&gt;0, 1, 0))),","),"")</f>
        <v/>
      </c>
      <c r="X1090" s="21" t="str">
        <f>IF(J1090&gt;0,CONCATENATE("0x",(DEC2HEX(IF(I1090&lt;&gt;"",VLOOKUP(I1090,Notes!$A$2:$B$37,2,FALSE)*1024,0) + J1090*16 + IF(K1090="",7,K1090)*2 + IF(L1090&gt;0, 1, 0))),","),"")</f>
        <v/>
      </c>
      <c r="Y1090" s="21" t="str">
        <f>IF(Q1090&gt;0,CONCATENATE("0x",(DEC2HEX(IF(P1090&lt;&gt;"",VLOOKUP(P1090,Notes!$A$2:$B$37,2,FALSE)*1024,0) + Q1090*16 + IF(R1090="",7,R1090)*2 + IF(S1090&gt;0, 1, 0))),","),"")</f>
        <v/>
      </c>
    </row>
    <row r="1091" spans="1:25" x14ac:dyDescent="0.25">
      <c r="F1091" s="18">
        <f t="shared" ref="F1091:F1154" si="102">IF(C1091&gt;0, C1091, MAX(F1090-1,0))</f>
        <v>0</v>
      </c>
      <c r="G1091" s="1" t="str">
        <f t="shared" si="99"/>
        <v/>
      </c>
      <c r="M1091" s="18">
        <f t="shared" ref="M1091:M1154" si="103">IF(J1091&gt;0, J1091, MAX(M1090-1,0))</f>
        <v>0</v>
      </c>
      <c r="N1091" s="1" t="str">
        <f t="shared" si="100"/>
        <v/>
      </c>
      <c r="T1091" s="18">
        <f t="shared" ref="T1091:T1154" si="104">IF(Q1091&gt;0, Q1091, MAX(T1090-1,0))</f>
        <v>0</v>
      </c>
      <c r="U1091" s="1" t="str">
        <f t="shared" si="101"/>
        <v/>
      </c>
      <c r="W1091" s="21" t="str">
        <f>IF(C1091&gt;0,CONCATENATE("0x",(DEC2HEX(IF(B1091&lt;&gt;"",VLOOKUP(B1091,Notes!$A$2:$B$37,2,FALSE)*1024,0) + C1091*16 + IF(D1091="",7,D1091)*2 + IF(E1091&gt;0, 1, 0))),","),"")</f>
        <v/>
      </c>
      <c r="X1091" s="21" t="str">
        <f>IF(J1091&gt;0,CONCATENATE("0x",(DEC2HEX(IF(I1091&lt;&gt;"",VLOOKUP(I1091,Notes!$A$2:$B$37,2,FALSE)*1024,0) + J1091*16 + IF(K1091="",7,K1091)*2 + IF(L1091&gt;0, 1, 0))),","),"")</f>
        <v/>
      </c>
      <c r="Y1091" s="21" t="str">
        <f>IF(Q1091&gt;0,CONCATENATE("0x",(DEC2HEX(IF(P1091&lt;&gt;"",VLOOKUP(P1091,Notes!$A$2:$B$37,2,FALSE)*1024,0) + Q1091*16 + IF(R1091="",7,R1091)*2 + IF(S1091&gt;0, 1, 0))),","),"")</f>
        <v/>
      </c>
    </row>
    <row r="1092" spans="1:25" x14ac:dyDescent="0.25">
      <c r="F1092" s="18">
        <f t="shared" si="102"/>
        <v>0</v>
      </c>
      <c r="G1092" s="1" t="str">
        <f t="shared" ref="G1092:G1155" si="105">IF(AND(F1091&gt;1,C1092&gt;0), "OVERLAPPING","")</f>
        <v/>
      </c>
      <c r="M1092" s="18">
        <f t="shared" si="103"/>
        <v>0</v>
      </c>
      <c r="N1092" s="1" t="str">
        <f t="shared" ref="N1092:N1155" si="106">IF(AND(M1091&gt;1,J1092&gt;0), "OVERLAPPING","")</f>
        <v/>
      </c>
      <c r="T1092" s="18">
        <f t="shared" si="104"/>
        <v>0</v>
      </c>
      <c r="U1092" s="1" t="str">
        <f t="shared" ref="U1092:U1155" si="107">IF(AND(T1091&gt;1,Q1092&gt;0), "OVERLAPPING","")</f>
        <v/>
      </c>
      <c r="W1092" s="21" t="str">
        <f>IF(C1092&gt;0,CONCATENATE("0x",(DEC2HEX(IF(B1092&lt;&gt;"",VLOOKUP(B1092,Notes!$A$2:$B$37,2,FALSE)*1024,0) + C1092*16 + IF(D1092="",7,D1092)*2 + IF(E1092&gt;0, 1, 0))),","),"")</f>
        <v/>
      </c>
      <c r="X1092" s="21" t="str">
        <f>IF(J1092&gt;0,CONCATENATE("0x",(DEC2HEX(IF(I1092&lt;&gt;"",VLOOKUP(I1092,Notes!$A$2:$B$37,2,FALSE)*1024,0) + J1092*16 + IF(K1092="",7,K1092)*2 + IF(L1092&gt;0, 1, 0))),","),"")</f>
        <v/>
      </c>
      <c r="Y1092" s="21" t="str">
        <f>IF(Q1092&gt;0,CONCATENATE("0x",(DEC2HEX(IF(P1092&lt;&gt;"",VLOOKUP(P1092,Notes!$A$2:$B$37,2,FALSE)*1024,0) + Q1092*16 + IF(R1092="",7,R1092)*2 + IF(S1092&gt;0, 1, 0))),","),"")</f>
        <v/>
      </c>
    </row>
    <row r="1093" spans="1:25" x14ac:dyDescent="0.25">
      <c r="F1093" s="18">
        <f t="shared" si="102"/>
        <v>0</v>
      </c>
      <c r="G1093" s="1" t="str">
        <f t="shared" si="105"/>
        <v/>
      </c>
      <c r="M1093" s="18">
        <f t="shared" si="103"/>
        <v>0</v>
      </c>
      <c r="N1093" s="1" t="str">
        <f t="shared" si="106"/>
        <v/>
      </c>
      <c r="T1093" s="18">
        <f t="shared" si="104"/>
        <v>0</v>
      </c>
      <c r="U1093" s="1" t="str">
        <f t="shared" si="107"/>
        <v/>
      </c>
      <c r="W1093" s="21" t="str">
        <f>IF(C1093&gt;0,CONCATENATE("0x",(DEC2HEX(IF(B1093&lt;&gt;"",VLOOKUP(B1093,Notes!$A$2:$B$37,2,FALSE)*1024,0) + C1093*16 + IF(D1093="",7,D1093)*2 + IF(E1093&gt;0, 1, 0))),","),"")</f>
        <v/>
      </c>
      <c r="X1093" s="21" t="str">
        <f>IF(J1093&gt;0,CONCATENATE("0x",(DEC2HEX(IF(I1093&lt;&gt;"",VLOOKUP(I1093,Notes!$A$2:$B$37,2,FALSE)*1024,0) + J1093*16 + IF(K1093="",7,K1093)*2 + IF(L1093&gt;0, 1, 0))),","),"")</f>
        <v/>
      </c>
      <c r="Y1093" s="21" t="str">
        <f>IF(Q1093&gt;0,CONCATENATE("0x",(DEC2HEX(IF(P1093&lt;&gt;"",VLOOKUP(P1093,Notes!$A$2:$B$37,2,FALSE)*1024,0) + Q1093*16 + IF(R1093="",7,R1093)*2 + IF(S1093&gt;0, 1, 0))),","),"")</f>
        <v/>
      </c>
    </row>
    <row r="1094" spans="1:25" x14ac:dyDescent="0.25">
      <c r="F1094" s="18">
        <f t="shared" si="102"/>
        <v>0</v>
      </c>
      <c r="G1094" s="1" t="str">
        <f t="shared" si="105"/>
        <v/>
      </c>
      <c r="M1094" s="18">
        <f t="shared" si="103"/>
        <v>0</v>
      </c>
      <c r="N1094" s="1" t="str">
        <f t="shared" si="106"/>
        <v/>
      </c>
      <c r="T1094" s="18">
        <f t="shared" si="104"/>
        <v>0</v>
      </c>
      <c r="U1094" s="1" t="str">
        <f t="shared" si="107"/>
        <v/>
      </c>
      <c r="W1094" s="21" t="str">
        <f>IF(C1094&gt;0,CONCATENATE("0x",(DEC2HEX(IF(B1094&lt;&gt;"",VLOOKUP(B1094,Notes!$A$2:$B$37,2,FALSE)*1024,0) + C1094*16 + IF(D1094="",7,D1094)*2 + IF(E1094&gt;0, 1, 0))),","),"")</f>
        <v/>
      </c>
      <c r="X1094" s="21" t="str">
        <f>IF(J1094&gt;0,CONCATENATE("0x",(DEC2HEX(IF(I1094&lt;&gt;"",VLOOKUP(I1094,Notes!$A$2:$B$37,2,FALSE)*1024,0) + J1094*16 + IF(K1094="",7,K1094)*2 + IF(L1094&gt;0, 1, 0))),","),"")</f>
        <v/>
      </c>
      <c r="Y1094" s="21" t="str">
        <f>IF(Q1094&gt;0,CONCATENATE("0x",(DEC2HEX(IF(P1094&lt;&gt;"",VLOOKUP(P1094,Notes!$A$2:$B$37,2,FALSE)*1024,0) + Q1094*16 + IF(R1094="",7,R1094)*2 + IF(S1094&gt;0, 1, 0))),","),"")</f>
        <v/>
      </c>
    </row>
    <row r="1095" spans="1:25" x14ac:dyDescent="0.25">
      <c r="F1095" s="18">
        <f t="shared" si="102"/>
        <v>0</v>
      </c>
      <c r="G1095" s="1" t="str">
        <f t="shared" si="105"/>
        <v/>
      </c>
      <c r="M1095" s="18">
        <f t="shared" si="103"/>
        <v>0</v>
      </c>
      <c r="N1095" s="1" t="str">
        <f t="shared" si="106"/>
        <v/>
      </c>
      <c r="T1095" s="18">
        <f t="shared" si="104"/>
        <v>0</v>
      </c>
      <c r="U1095" s="1" t="str">
        <f t="shared" si="107"/>
        <v/>
      </c>
      <c r="W1095" s="21" t="str">
        <f>IF(C1095&gt;0,CONCATENATE("0x",(DEC2HEX(IF(B1095&lt;&gt;"",VLOOKUP(B1095,Notes!$A$2:$B$37,2,FALSE)*1024,0) + C1095*16 + IF(D1095="",7,D1095)*2 + IF(E1095&gt;0, 1, 0))),","),"")</f>
        <v/>
      </c>
      <c r="X1095" s="21" t="str">
        <f>IF(J1095&gt;0,CONCATENATE("0x",(DEC2HEX(IF(I1095&lt;&gt;"",VLOOKUP(I1095,Notes!$A$2:$B$37,2,FALSE)*1024,0) + J1095*16 + IF(K1095="",7,K1095)*2 + IF(L1095&gt;0, 1, 0))),","),"")</f>
        <v/>
      </c>
      <c r="Y1095" s="21" t="str">
        <f>IF(Q1095&gt;0,CONCATENATE("0x",(DEC2HEX(IF(P1095&lt;&gt;"",VLOOKUP(P1095,Notes!$A$2:$B$37,2,FALSE)*1024,0) + Q1095*16 + IF(R1095="",7,R1095)*2 + IF(S1095&gt;0, 1, 0))),","),"")</f>
        <v/>
      </c>
    </row>
    <row r="1096" spans="1:25" x14ac:dyDescent="0.25">
      <c r="F1096" s="18">
        <f t="shared" si="102"/>
        <v>0</v>
      </c>
      <c r="G1096" s="1" t="str">
        <f t="shared" si="105"/>
        <v/>
      </c>
      <c r="M1096" s="18">
        <f t="shared" si="103"/>
        <v>0</v>
      </c>
      <c r="N1096" s="1" t="str">
        <f t="shared" si="106"/>
        <v/>
      </c>
      <c r="T1096" s="18">
        <f t="shared" si="104"/>
        <v>0</v>
      </c>
      <c r="U1096" s="1" t="str">
        <f t="shared" si="107"/>
        <v/>
      </c>
      <c r="W1096" s="21" t="str">
        <f>IF(C1096&gt;0,CONCATENATE("0x",(DEC2HEX(IF(B1096&lt;&gt;"",VLOOKUP(B1096,Notes!$A$2:$B$37,2,FALSE)*1024,0) + C1096*16 + IF(D1096="",7,D1096)*2 + IF(E1096&gt;0, 1, 0))),","),"")</f>
        <v/>
      </c>
      <c r="X1096" s="21" t="str">
        <f>IF(J1096&gt;0,CONCATENATE("0x",(DEC2HEX(IF(I1096&lt;&gt;"",VLOOKUP(I1096,Notes!$A$2:$B$37,2,FALSE)*1024,0) + J1096*16 + IF(K1096="",7,K1096)*2 + IF(L1096&gt;0, 1, 0))),","),"")</f>
        <v/>
      </c>
      <c r="Y1096" s="21" t="str">
        <f>IF(Q1096&gt;0,CONCATENATE("0x",(DEC2HEX(IF(P1096&lt;&gt;"",VLOOKUP(P1096,Notes!$A$2:$B$37,2,FALSE)*1024,0) + Q1096*16 + IF(R1096="",7,R1096)*2 + IF(S1096&gt;0, 1, 0))),","),"")</f>
        <v/>
      </c>
    </row>
    <row r="1097" spans="1:25" x14ac:dyDescent="0.25">
      <c r="B1097" s="12"/>
      <c r="C1097" s="13"/>
      <c r="D1097" s="13"/>
      <c r="E1097" s="14"/>
      <c r="F1097" s="18">
        <f t="shared" si="102"/>
        <v>0</v>
      </c>
      <c r="G1097" s="1" t="str">
        <f t="shared" si="105"/>
        <v/>
      </c>
      <c r="I1097" s="12"/>
      <c r="J1097" s="13"/>
      <c r="K1097" s="13"/>
      <c r="L1097" s="14"/>
      <c r="M1097" s="18">
        <f t="shared" si="103"/>
        <v>0</v>
      </c>
      <c r="N1097" s="1" t="str">
        <f t="shared" si="106"/>
        <v/>
      </c>
      <c r="P1097" s="12"/>
      <c r="Q1097" s="13"/>
      <c r="R1097" s="13"/>
      <c r="S1097" s="14"/>
      <c r="T1097" s="18">
        <f t="shared" si="104"/>
        <v>0</v>
      </c>
      <c r="U1097" s="1" t="str">
        <f t="shared" si="107"/>
        <v/>
      </c>
      <c r="W1097" s="21" t="str">
        <f>IF(C1097&gt;0,CONCATENATE("0x",(DEC2HEX(IF(B1097&lt;&gt;"",VLOOKUP(B1097,Notes!$A$2:$B$37,2,FALSE)*1024,0) + C1097*16 + IF(D1097="",7,D1097)*2 + IF(E1097&gt;0, 1, 0))),","),"")</f>
        <v/>
      </c>
      <c r="X1097" s="21" t="str">
        <f>IF(J1097&gt;0,CONCATENATE("0x",(DEC2HEX(IF(I1097&lt;&gt;"",VLOOKUP(I1097,Notes!$A$2:$B$37,2,FALSE)*1024,0) + J1097*16 + IF(K1097="",7,K1097)*2 + IF(L1097&gt;0, 1, 0))),","),"")</f>
        <v/>
      </c>
      <c r="Y1097" s="21" t="str">
        <f>IF(Q1097&gt;0,CONCATENATE("0x",(DEC2HEX(IF(P1097&lt;&gt;"",VLOOKUP(P1097,Notes!$A$2:$B$37,2,FALSE)*1024,0) + Q1097*16 + IF(R1097="",7,R1097)*2 + IF(S1097&gt;0, 1, 0))),","),"")</f>
        <v/>
      </c>
    </row>
    <row r="1098" spans="1:25" x14ac:dyDescent="0.25">
      <c r="F1098" s="18">
        <f t="shared" si="102"/>
        <v>0</v>
      </c>
      <c r="G1098" s="1" t="str">
        <f t="shared" si="105"/>
        <v/>
      </c>
      <c r="M1098" s="18">
        <f t="shared" si="103"/>
        <v>0</v>
      </c>
      <c r="N1098" s="1" t="str">
        <f t="shared" si="106"/>
        <v/>
      </c>
      <c r="T1098" s="18">
        <f t="shared" si="104"/>
        <v>0</v>
      </c>
      <c r="U1098" s="1" t="str">
        <f t="shared" si="107"/>
        <v/>
      </c>
      <c r="W1098" s="21" t="str">
        <f>IF(C1098&gt;0,CONCATENATE("0x",(DEC2HEX(IF(B1098&lt;&gt;"",VLOOKUP(B1098,Notes!$A$2:$B$37,2,FALSE)*1024,0) + C1098*16 + IF(D1098="",7,D1098)*2 + IF(E1098&gt;0, 1, 0))),","),"")</f>
        <v/>
      </c>
      <c r="X1098" s="21" t="str">
        <f>IF(J1098&gt;0,CONCATENATE("0x",(DEC2HEX(IF(I1098&lt;&gt;"",VLOOKUP(I1098,Notes!$A$2:$B$37,2,FALSE)*1024,0) + J1098*16 + IF(K1098="",7,K1098)*2 + IF(L1098&gt;0, 1, 0))),","),"")</f>
        <v/>
      </c>
      <c r="Y1098" s="21" t="str">
        <f>IF(Q1098&gt;0,CONCATENATE("0x",(DEC2HEX(IF(P1098&lt;&gt;"",VLOOKUP(P1098,Notes!$A$2:$B$37,2,FALSE)*1024,0) + Q1098*16 + IF(R1098="",7,R1098)*2 + IF(S1098&gt;0, 1, 0))),","),"")</f>
        <v/>
      </c>
    </row>
    <row r="1099" spans="1:25" x14ac:dyDescent="0.25">
      <c r="F1099" s="18">
        <f t="shared" si="102"/>
        <v>0</v>
      </c>
      <c r="G1099" s="1" t="str">
        <f t="shared" si="105"/>
        <v/>
      </c>
      <c r="M1099" s="18">
        <f t="shared" si="103"/>
        <v>0</v>
      </c>
      <c r="N1099" s="1" t="str">
        <f t="shared" si="106"/>
        <v/>
      </c>
      <c r="T1099" s="18">
        <f t="shared" si="104"/>
        <v>0</v>
      </c>
      <c r="U1099" s="1" t="str">
        <f t="shared" si="107"/>
        <v/>
      </c>
      <c r="W1099" s="21" t="str">
        <f>IF(C1099&gt;0,CONCATENATE("0x",(DEC2HEX(IF(B1099&lt;&gt;"",VLOOKUP(B1099,Notes!$A$2:$B$37,2,FALSE)*1024,0) + C1099*16 + IF(D1099="",7,D1099)*2 + IF(E1099&gt;0, 1, 0))),","),"")</f>
        <v/>
      </c>
      <c r="X1099" s="21" t="str">
        <f>IF(J1099&gt;0,CONCATENATE("0x",(DEC2HEX(IF(I1099&lt;&gt;"",VLOOKUP(I1099,Notes!$A$2:$B$37,2,FALSE)*1024,0) + J1099*16 + IF(K1099="",7,K1099)*2 + IF(L1099&gt;0, 1, 0))),","),"")</f>
        <v/>
      </c>
      <c r="Y1099" s="21" t="str">
        <f>IF(Q1099&gt;0,CONCATENATE("0x",(DEC2HEX(IF(P1099&lt;&gt;"",VLOOKUP(P1099,Notes!$A$2:$B$37,2,FALSE)*1024,0) + Q1099*16 + IF(R1099="",7,R1099)*2 + IF(S1099&gt;0, 1, 0))),","),"")</f>
        <v/>
      </c>
    </row>
    <row r="1100" spans="1:25" x14ac:dyDescent="0.25">
      <c r="F1100" s="18">
        <f t="shared" si="102"/>
        <v>0</v>
      </c>
      <c r="G1100" s="1" t="str">
        <f t="shared" si="105"/>
        <v/>
      </c>
      <c r="M1100" s="18">
        <f t="shared" si="103"/>
        <v>0</v>
      </c>
      <c r="N1100" s="1" t="str">
        <f t="shared" si="106"/>
        <v/>
      </c>
      <c r="T1100" s="18">
        <f t="shared" si="104"/>
        <v>0</v>
      </c>
      <c r="U1100" s="1" t="str">
        <f t="shared" si="107"/>
        <v/>
      </c>
      <c r="W1100" s="21" t="str">
        <f>IF(C1100&gt;0,CONCATENATE("0x",(DEC2HEX(IF(B1100&lt;&gt;"",VLOOKUP(B1100,Notes!$A$2:$B$37,2,FALSE)*1024,0) + C1100*16 + IF(D1100="",7,D1100)*2 + IF(E1100&gt;0, 1, 0))),","),"")</f>
        <v/>
      </c>
      <c r="X1100" s="21" t="str">
        <f>IF(J1100&gt;0,CONCATENATE("0x",(DEC2HEX(IF(I1100&lt;&gt;"",VLOOKUP(I1100,Notes!$A$2:$B$37,2,FALSE)*1024,0) + J1100*16 + IF(K1100="",7,K1100)*2 + IF(L1100&gt;0, 1, 0))),","),"")</f>
        <v/>
      </c>
      <c r="Y1100" s="21" t="str">
        <f>IF(Q1100&gt;0,CONCATENATE("0x",(DEC2HEX(IF(P1100&lt;&gt;"",VLOOKUP(P1100,Notes!$A$2:$B$37,2,FALSE)*1024,0) + Q1100*16 + IF(R1100="",7,R1100)*2 + IF(S1100&gt;0, 1, 0))),","),"")</f>
        <v/>
      </c>
    </row>
    <row r="1101" spans="1:25" x14ac:dyDescent="0.25">
      <c r="F1101" s="18">
        <f t="shared" si="102"/>
        <v>0</v>
      </c>
      <c r="G1101" s="1" t="str">
        <f t="shared" si="105"/>
        <v/>
      </c>
      <c r="M1101" s="18">
        <f t="shared" si="103"/>
        <v>0</v>
      </c>
      <c r="N1101" s="1" t="str">
        <f t="shared" si="106"/>
        <v/>
      </c>
      <c r="T1101" s="18">
        <f t="shared" si="104"/>
        <v>0</v>
      </c>
      <c r="U1101" s="1" t="str">
        <f t="shared" si="107"/>
        <v/>
      </c>
      <c r="W1101" s="21" t="str">
        <f>IF(C1101&gt;0,CONCATENATE("0x",(DEC2HEX(IF(B1101&lt;&gt;"",VLOOKUP(B1101,Notes!$A$2:$B$37,2,FALSE)*1024,0) + C1101*16 + IF(D1101="",7,D1101)*2 + IF(E1101&gt;0, 1, 0))),","),"")</f>
        <v/>
      </c>
      <c r="X1101" s="21" t="str">
        <f>IF(J1101&gt;0,CONCATENATE("0x",(DEC2HEX(IF(I1101&lt;&gt;"",VLOOKUP(I1101,Notes!$A$2:$B$37,2,FALSE)*1024,0) + J1101*16 + IF(K1101="",7,K1101)*2 + IF(L1101&gt;0, 1, 0))),","),"")</f>
        <v/>
      </c>
      <c r="Y1101" s="21" t="str">
        <f>IF(Q1101&gt;0,CONCATENATE("0x",(DEC2HEX(IF(P1101&lt;&gt;"",VLOOKUP(P1101,Notes!$A$2:$B$37,2,FALSE)*1024,0) + Q1101*16 + IF(R1101="",7,R1101)*2 + IF(S1101&gt;0, 1, 0))),","),"")</f>
        <v/>
      </c>
    </row>
    <row r="1102" spans="1:25" x14ac:dyDescent="0.25">
      <c r="F1102" s="18">
        <f t="shared" si="102"/>
        <v>0</v>
      </c>
      <c r="G1102" s="1" t="str">
        <f t="shared" si="105"/>
        <v/>
      </c>
      <c r="M1102" s="18">
        <f t="shared" si="103"/>
        <v>0</v>
      </c>
      <c r="N1102" s="1" t="str">
        <f t="shared" si="106"/>
        <v/>
      </c>
      <c r="T1102" s="18">
        <f t="shared" si="104"/>
        <v>0</v>
      </c>
      <c r="U1102" s="1" t="str">
        <f t="shared" si="107"/>
        <v/>
      </c>
      <c r="W1102" s="21" t="str">
        <f>IF(C1102&gt;0,CONCATENATE("0x",(DEC2HEX(IF(B1102&lt;&gt;"",VLOOKUP(B1102,Notes!$A$2:$B$37,2,FALSE)*1024,0) + C1102*16 + IF(D1102="",7,D1102)*2 + IF(E1102&gt;0, 1, 0))),","),"")</f>
        <v/>
      </c>
      <c r="X1102" s="21" t="str">
        <f>IF(J1102&gt;0,CONCATENATE("0x",(DEC2HEX(IF(I1102&lt;&gt;"",VLOOKUP(I1102,Notes!$A$2:$B$37,2,FALSE)*1024,0) + J1102*16 + IF(K1102="",7,K1102)*2 + IF(L1102&gt;0, 1, 0))),","),"")</f>
        <v/>
      </c>
      <c r="Y1102" s="21" t="str">
        <f>IF(Q1102&gt;0,CONCATENATE("0x",(DEC2HEX(IF(P1102&lt;&gt;"",VLOOKUP(P1102,Notes!$A$2:$B$37,2,FALSE)*1024,0) + Q1102*16 + IF(R1102="",7,R1102)*2 + IF(S1102&gt;0, 1, 0))),","),"")</f>
        <v/>
      </c>
    </row>
    <row r="1103" spans="1:25" x14ac:dyDescent="0.25">
      <c r="F1103" s="18">
        <f t="shared" si="102"/>
        <v>0</v>
      </c>
      <c r="G1103" s="1" t="str">
        <f t="shared" si="105"/>
        <v/>
      </c>
      <c r="M1103" s="18">
        <f t="shared" si="103"/>
        <v>0</v>
      </c>
      <c r="N1103" s="1" t="str">
        <f t="shared" si="106"/>
        <v/>
      </c>
      <c r="T1103" s="18">
        <f t="shared" si="104"/>
        <v>0</v>
      </c>
      <c r="U1103" s="1" t="str">
        <f t="shared" si="107"/>
        <v/>
      </c>
      <c r="W1103" s="21" t="str">
        <f>IF(C1103&gt;0,CONCATENATE("0x",(DEC2HEX(IF(B1103&lt;&gt;"",VLOOKUP(B1103,Notes!$A$2:$B$37,2,FALSE)*1024,0) + C1103*16 + IF(D1103="",7,D1103)*2 + IF(E1103&gt;0, 1, 0))),","),"")</f>
        <v/>
      </c>
      <c r="X1103" s="21" t="str">
        <f>IF(J1103&gt;0,CONCATENATE("0x",(DEC2HEX(IF(I1103&lt;&gt;"",VLOOKUP(I1103,Notes!$A$2:$B$37,2,FALSE)*1024,0) + J1103*16 + IF(K1103="",7,K1103)*2 + IF(L1103&gt;0, 1, 0))),","),"")</f>
        <v/>
      </c>
      <c r="Y1103" s="21" t="str">
        <f>IF(Q1103&gt;0,CONCATENATE("0x",(DEC2HEX(IF(P1103&lt;&gt;"",VLOOKUP(P1103,Notes!$A$2:$B$37,2,FALSE)*1024,0) + Q1103*16 + IF(R1103="",7,R1103)*2 + IF(S1103&gt;0, 1, 0))),","),"")</f>
        <v/>
      </c>
    </row>
    <row r="1104" spans="1:25" x14ac:dyDescent="0.25">
      <c r="F1104" s="18">
        <f t="shared" si="102"/>
        <v>0</v>
      </c>
      <c r="G1104" s="1" t="str">
        <f t="shared" si="105"/>
        <v/>
      </c>
      <c r="M1104" s="18">
        <f t="shared" si="103"/>
        <v>0</v>
      </c>
      <c r="N1104" s="1" t="str">
        <f t="shared" si="106"/>
        <v/>
      </c>
      <c r="T1104" s="18">
        <f t="shared" si="104"/>
        <v>0</v>
      </c>
      <c r="U1104" s="1" t="str">
        <f t="shared" si="107"/>
        <v/>
      </c>
      <c r="W1104" s="21" t="str">
        <f>IF(C1104&gt;0,CONCATENATE("0x",(DEC2HEX(IF(B1104&lt;&gt;"",VLOOKUP(B1104,Notes!$A$2:$B$37,2,FALSE)*1024,0) + C1104*16 + IF(D1104="",7,D1104)*2 + IF(E1104&gt;0, 1, 0))),","),"")</f>
        <v/>
      </c>
      <c r="X1104" s="21" t="str">
        <f>IF(J1104&gt;0,CONCATENATE("0x",(DEC2HEX(IF(I1104&lt;&gt;"",VLOOKUP(I1104,Notes!$A$2:$B$37,2,FALSE)*1024,0) + J1104*16 + IF(K1104="",7,K1104)*2 + IF(L1104&gt;0, 1, 0))),","),"")</f>
        <v/>
      </c>
      <c r="Y1104" s="21" t="str">
        <f>IF(Q1104&gt;0,CONCATENATE("0x",(DEC2HEX(IF(P1104&lt;&gt;"",VLOOKUP(P1104,Notes!$A$2:$B$37,2,FALSE)*1024,0) + Q1104*16 + IF(R1104="",7,R1104)*2 + IF(S1104&gt;0, 1, 0))),","),"")</f>
        <v/>
      </c>
    </row>
    <row r="1105" spans="2:25" x14ac:dyDescent="0.25">
      <c r="B1105" s="12"/>
      <c r="C1105" s="13"/>
      <c r="D1105" s="13"/>
      <c r="E1105" s="14"/>
      <c r="F1105" s="18">
        <f t="shared" si="102"/>
        <v>0</v>
      </c>
      <c r="G1105" s="1" t="str">
        <f t="shared" si="105"/>
        <v/>
      </c>
      <c r="I1105" s="12"/>
      <c r="J1105" s="13"/>
      <c r="K1105" s="13"/>
      <c r="L1105" s="14"/>
      <c r="M1105" s="18">
        <f t="shared" si="103"/>
        <v>0</v>
      </c>
      <c r="N1105" s="1" t="str">
        <f t="shared" si="106"/>
        <v/>
      </c>
      <c r="P1105" s="12"/>
      <c r="Q1105" s="13"/>
      <c r="R1105" s="13"/>
      <c r="S1105" s="14"/>
      <c r="T1105" s="18">
        <f t="shared" si="104"/>
        <v>0</v>
      </c>
      <c r="U1105" s="1" t="str">
        <f t="shared" si="107"/>
        <v/>
      </c>
      <c r="W1105" s="21" t="str">
        <f>IF(C1105&gt;0,CONCATENATE("0x",(DEC2HEX(IF(B1105&lt;&gt;"",VLOOKUP(B1105,Notes!$A$2:$B$37,2,FALSE)*1024,0) + C1105*16 + IF(D1105="",7,D1105)*2 + IF(E1105&gt;0, 1, 0))),","),"")</f>
        <v/>
      </c>
      <c r="X1105" s="21" t="str">
        <f>IF(J1105&gt;0,CONCATENATE("0x",(DEC2HEX(IF(I1105&lt;&gt;"",VLOOKUP(I1105,Notes!$A$2:$B$37,2,FALSE)*1024,0) + J1105*16 + IF(K1105="",7,K1105)*2 + IF(L1105&gt;0, 1, 0))),","),"")</f>
        <v/>
      </c>
      <c r="Y1105" s="21" t="str">
        <f>IF(Q1105&gt;0,CONCATENATE("0x",(DEC2HEX(IF(P1105&lt;&gt;"",VLOOKUP(P1105,Notes!$A$2:$B$37,2,FALSE)*1024,0) + Q1105*16 + IF(R1105="",7,R1105)*2 + IF(S1105&gt;0, 1, 0))),","),"")</f>
        <v/>
      </c>
    </row>
    <row r="1106" spans="2:25" x14ac:dyDescent="0.25">
      <c r="F1106" s="18">
        <f t="shared" si="102"/>
        <v>0</v>
      </c>
      <c r="G1106" s="1" t="str">
        <f t="shared" si="105"/>
        <v/>
      </c>
      <c r="M1106" s="18">
        <f t="shared" si="103"/>
        <v>0</v>
      </c>
      <c r="N1106" s="1" t="str">
        <f t="shared" si="106"/>
        <v/>
      </c>
      <c r="T1106" s="18">
        <f t="shared" si="104"/>
        <v>0</v>
      </c>
      <c r="U1106" s="1" t="str">
        <f t="shared" si="107"/>
        <v/>
      </c>
      <c r="W1106" s="21" t="str">
        <f>IF(C1106&gt;0,CONCATENATE("0x",(DEC2HEX(IF(B1106&lt;&gt;"",VLOOKUP(B1106,Notes!$A$2:$B$37,2,FALSE)*1024,0) + C1106*16 + IF(D1106="",7,D1106)*2 + IF(E1106&gt;0, 1, 0))),","),"")</f>
        <v/>
      </c>
      <c r="X1106" s="21" t="str">
        <f>IF(J1106&gt;0,CONCATENATE("0x",(DEC2HEX(IF(I1106&lt;&gt;"",VLOOKUP(I1106,Notes!$A$2:$B$37,2,FALSE)*1024,0) + J1106*16 + IF(K1106="",7,K1106)*2 + IF(L1106&gt;0, 1, 0))),","),"")</f>
        <v/>
      </c>
      <c r="Y1106" s="21" t="str">
        <f>IF(Q1106&gt;0,CONCATENATE("0x",(DEC2HEX(IF(P1106&lt;&gt;"",VLOOKUP(P1106,Notes!$A$2:$B$37,2,FALSE)*1024,0) + Q1106*16 + IF(R1106="",7,R1106)*2 + IF(S1106&gt;0, 1, 0))),","),"")</f>
        <v/>
      </c>
    </row>
    <row r="1107" spans="2:25" x14ac:dyDescent="0.25">
      <c r="F1107" s="18">
        <f t="shared" si="102"/>
        <v>0</v>
      </c>
      <c r="G1107" s="1" t="str">
        <f t="shared" si="105"/>
        <v/>
      </c>
      <c r="M1107" s="18">
        <f t="shared" si="103"/>
        <v>0</v>
      </c>
      <c r="N1107" s="1" t="str">
        <f t="shared" si="106"/>
        <v/>
      </c>
      <c r="T1107" s="18">
        <f t="shared" si="104"/>
        <v>0</v>
      </c>
      <c r="U1107" s="1" t="str">
        <f t="shared" si="107"/>
        <v/>
      </c>
      <c r="W1107" s="21" t="str">
        <f>IF(C1107&gt;0,CONCATENATE("0x",(DEC2HEX(IF(B1107&lt;&gt;"",VLOOKUP(B1107,Notes!$A$2:$B$37,2,FALSE)*1024,0) + C1107*16 + IF(D1107="",7,D1107)*2 + IF(E1107&gt;0, 1, 0))),","),"")</f>
        <v/>
      </c>
      <c r="X1107" s="21" t="str">
        <f>IF(J1107&gt;0,CONCATENATE("0x",(DEC2HEX(IF(I1107&lt;&gt;"",VLOOKUP(I1107,Notes!$A$2:$B$37,2,FALSE)*1024,0) + J1107*16 + IF(K1107="",7,K1107)*2 + IF(L1107&gt;0, 1, 0))),","),"")</f>
        <v/>
      </c>
      <c r="Y1107" s="21" t="str">
        <f>IF(Q1107&gt;0,CONCATENATE("0x",(DEC2HEX(IF(P1107&lt;&gt;"",VLOOKUP(P1107,Notes!$A$2:$B$37,2,FALSE)*1024,0) + Q1107*16 + IF(R1107="",7,R1107)*2 + IF(S1107&gt;0, 1, 0))),","),"")</f>
        <v/>
      </c>
    </row>
    <row r="1108" spans="2:25" x14ac:dyDescent="0.25">
      <c r="F1108" s="18">
        <f t="shared" si="102"/>
        <v>0</v>
      </c>
      <c r="G1108" s="1" t="str">
        <f t="shared" si="105"/>
        <v/>
      </c>
      <c r="M1108" s="18">
        <f t="shared" si="103"/>
        <v>0</v>
      </c>
      <c r="N1108" s="1" t="str">
        <f t="shared" si="106"/>
        <v/>
      </c>
      <c r="T1108" s="18">
        <f t="shared" si="104"/>
        <v>0</v>
      </c>
      <c r="U1108" s="1" t="str">
        <f t="shared" si="107"/>
        <v/>
      </c>
      <c r="W1108" s="21" t="str">
        <f>IF(C1108&gt;0,CONCATENATE("0x",(DEC2HEX(IF(B1108&lt;&gt;"",VLOOKUP(B1108,Notes!$A$2:$B$37,2,FALSE)*1024,0) + C1108*16 + IF(D1108="",7,D1108)*2 + IF(E1108&gt;0, 1, 0))),","),"")</f>
        <v/>
      </c>
      <c r="X1108" s="21" t="str">
        <f>IF(J1108&gt;0,CONCATENATE("0x",(DEC2HEX(IF(I1108&lt;&gt;"",VLOOKUP(I1108,Notes!$A$2:$B$37,2,FALSE)*1024,0) + J1108*16 + IF(K1108="",7,K1108)*2 + IF(L1108&gt;0, 1, 0))),","),"")</f>
        <v/>
      </c>
      <c r="Y1108" s="21" t="str">
        <f>IF(Q1108&gt;0,CONCATENATE("0x",(DEC2HEX(IF(P1108&lt;&gt;"",VLOOKUP(P1108,Notes!$A$2:$B$37,2,FALSE)*1024,0) + Q1108*16 + IF(R1108="",7,R1108)*2 + IF(S1108&gt;0, 1, 0))),","),"")</f>
        <v/>
      </c>
    </row>
    <row r="1109" spans="2:25" x14ac:dyDescent="0.25">
      <c r="F1109" s="18">
        <f t="shared" si="102"/>
        <v>0</v>
      </c>
      <c r="G1109" s="1" t="str">
        <f t="shared" si="105"/>
        <v/>
      </c>
      <c r="M1109" s="18">
        <f t="shared" si="103"/>
        <v>0</v>
      </c>
      <c r="N1109" s="1" t="str">
        <f t="shared" si="106"/>
        <v/>
      </c>
      <c r="T1109" s="18">
        <f t="shared" si="104"/>
        <v>0</v>
      </c>
      <c r="U1109" s="1" t="str">
        <f t="shared" si="107"/>
        <v/>
      </c>
      <c r="W1109" s="21" t="str">
        <f>IF(C1109&gt;0,CONCATENATE("0x",(DEC2HEX(IF(B1109&lt;&gt;"",VLOOKUP(B1109,Notes!$A$2:$B$37,2,FALSE)*1024,0) + C1109*16 + IF(D1109="",7,D1109)*2 + IF(E1109&gt;0, 1, 0))),","),"")</f>
        <v/>
      </c>
      <c r="X1109" s="21" t="str">
        <f>IF(J1109&gt;0,CONCATENATE("0x",(DEC2HEX(IF(I1109&lt;&gt;"",VLOOKUP(I1109,Notes!$A$2:$B$37,2,FALSE)*1024,0) + J1109*16 + IF(K1109="",7,K1109)*2 + IF(L1109&gt;0, 1, 0))),","),"")</f>
        <v/>
      </c>
      <c r="Y1109" s="21" t="str">
        <f>IF(Q1109&gt;0,CONCATENATE("0x",(DEC2HEX(IF(P1109&lt;&gt;"",VLOOKUP(P1109,Notes!$A$2:$B$37,2,FALSE)*1024,0) + Q1109*16 + IF(R1109="",7,R1109)*2 + IF(S1109&gt;0, 1, 0))),","),"")</f>
        <v/>
      </c>
    </row>
    <row r="1110" spans="2:25" x14ac:dyDescent="0.25">
      <c r="F1110" s="18">
        <f t="shared" si="102"/>
        <v>0</v>
      </c>
      <c r="G1110" s="1" t="str">
        <f t="shared" si="105"/>
        <v/>
      </c>
      <c r="M1110" s="18">
        <f t="shared" si="103"/>
        <v>0</v>
      </c>
      <c r="N1110" s="1" t="str">
        <f t="shared" si="106"/>
        <v/>
      </c>
      <c r="T1110" s="18">
        <f t="shared" si="104"/>
        <v>0</v>
      </c>
      <c r="U1110" s="1" t="str">
        <f t="shared" si="107"/>
        <v/>
      </c>
      <c r="W1110" s="21" t="str">
        <f>IF(C1110&gt;0,CONCATENATE("0x",(DEC2HEX(IF(B1110&lt;&gt;"",VLOOKUP(B1110,Notes!$A$2:$B$37,2,FALSE)*1024,0) + C1110*16 + IF(D1110="",7,D1110)*2 + IF(E1110&gt;0, 1, 0))),","),"")</f>
        <v/>
      </c>
      <c r="X1110" s="21" t="str">
        <f>IF(J1110&gt;0,CONCATENATE("0x",(DEC2HEX(IF(I1110&lt;&gt;"",VLOOKUP(I1110,Notes!$A$2:$B$37,2,FALSE)*1024,0) + J1110*16 + IF(K1110="",7,K1110)*2 + IF(L1110&gt;0, 1, 0))),","),"")</f>
        <v/>
      </c>
      <c r="Y1110" s="21" t="str">
        <f>IF(Q1110&gt;0,CONCATENATE("0x",(DEC2HEX(IF(P1110&lt;&gt;"",VLOOKUP(P1110,Notes!$A$2:$B$37,2,FALSE)*1024,0) + Q1110*16 + IF(R1110="",7,R1110)*2 + IF(S1110&gt;0, 1, 0))),","),"")</f>
        <v/>
      </c>
    </row>
    <row r="1111" spans="2:25" x14ac:dyDescent="0.25">
      <c r="F1111" s="18">
        <f t="shared" si="102"/>
        <v>0</v>
      </c>
      <c r="G1111" s="1" t="str">
        <f t="shared" si="105"/>
        <v/>
      </c>
      <c r="M1111" s="18">
        <f t="shared" si="103"/>
        <v>0</v>
      </c>
      <c r="N1111" s="1" t="str">
        <f t="shared" si="106"/>
        <v/>
      </c>
      <c r="T1111" s="18">
        <f t="shared" si="104"/>
        <v>0</v>
      </c>
      <c r="U1111" s="1" t="str">
        <f t="shared" si="107"/>
        <v/>
      </c>
      <c r="W1111" s="21" t="str">
        <f>IF(C1111&gt;0,CONCATENATE("0x",(DEC2HEX(IF(B1111&lt;&gt;"",VLOOKUP(B1111,Notes!$A$2:$B$37,2,FALSE)*1024,0) + C1111*16 + IF(D1111="",7,D1111)*2 + IF(E1111&gt;0, 1, 0))),","),"")</f>
        <v/>
      </c>
      <c r="X1111" s="21" t="str">
        <f>IF(J1111&gt;0,CONCATENATE("0x",(DEC2HEX(IF(I1111&lt;&gt;"",VLOOKUP(I1111,Notes!$A$2:$B$37,2,FALSE)*1024,0) + J1111*16 + IF(K1111="",7,K1111)*2 + IF(L1111&gt;0, 1, 0))),","),"")</f>
        <v/>
      </c>
      <c r="Y1111" s="21" t="str">
        <f>IF(Q1111&gt;0,CONCATENATE("0x",(DEC2HEX(IF(P1111&lt;&gt;"",VLOOKUP(P1111,Notes!$A$2:$B$37,2,FALSE)*1024,0) + Q1111*16 + IF(R1111="",7,R1111)*2 + IF(S1111&gt;0, 1, 0))),","),"")</f>
        <v/>
      </c>
    </row>
    <row r="1112" spans="2:25" x14ac:dyDescent="0.25">
      <c r="F1112" s="18">
        <f t="shared" si="102"/>
        <v>0</v>
      </c>
      <c r="G1112" s="1" t="str">
        <f t="shared" si="105"/>
        <v/>
      </c>
      <c r="M1112" s="18">
        <f t="shared" si="103"/>
        <v>0</v>
      </c>
      <c r="N1112" s="1" t="str">
        <f t="shared" si="106"/>
        <v/>
      </c>
      <c r="T1112" s="18">
        <f t="shared" si="104"/>
        <v>0</v>
      </c>
      <c r="U1112" s="1" t="str">
        <f t="shared" si="107"/>
        <v/>
      </c>
      <c r="W1112" s="21" t="str">
        <f>IF(C1112&gt;0,CONCATENATE("0x",(DEC2HEX(IF(B1112&lt;&gt;"",VLOOKUP(B1112,Notes!$A$2:$B$37,2,FALSE)*1024,0) + C1112*16 + IF(D1112="",7,D1112)*2 + IF(E1112&gt;0, 1, 0))),","),"")</f>
        <v/>
      </c>
      <c r="X1112" s="21" t="str">
        <f>IF(J1112&gt;0,CONCATENATE("0x",(DEC2HEX(IF(I1112&lt;&gt;"",VLOOKUP(I1112,Notes!$A$2:$B$37,2,FALSE)*1024,0) + J1112*16 + IF(K1112="",7,K1112)*2 + IF(L1112&gt;0, 1, 0))),","),"")</f>
        <v/>
      </c>
      <c r="Y1112" s="21" t="str">
        <f>IF(Q1112&gt;0,CONCATENATE("0x",(DEC2HEX(IF(P1112&lt;&gt;"",VLOOKUP(P1112,Notes!$A$2:$B$37,2,FALSE)*1024,0) + Q1112*16 + IF(R1112="",7,R1112)*2 + IF(S1112&gt;0, 1, 0))),","),"")</f>
        <v/>
      </c>
    </row>
    <row r="1113" spans="2:25" x14ac:dyDescent="0.25">
      <c r="B1113" s="12"/>
      <c r="C1113" s="13"/>
      <c r="D1113" s="13"/>
      <c r="E1113" s="14"/>
      <c r="F1113" s="18">
        <f t="shared" si="102"/>
        <v>0</v>
      </c>
      <c r="G1113" s="1" t="str">
        <f t="shared" si="105"/>
        <v/>
      </c>
      <c r="I1113" s="12"/>
      <c r="J1113" s="13"/>
      <c r="K1113" s="13"/>
      <c r="L1113" s="14"/>
      <c r="M1113" s="18">
        <f t="shared" si="103"/>
        <v>0</v>
      </c>
      <c r="N1113" s="1" t="str">
        <f t="shared" si="106"/>
        <v/>
      </c>
      <c r="P1113" s="12"/>
      <c r="Q1113" s="13"/>
      <c r="R1113" s="13"/>
      <c r="S1113" s="14"/>
      <c r="T1113" s="18">
        <f t="shared" si="104"/>
        <v>0</v>
      </c>
      <c r="U1113" s="1" t="str">
        <f t="shared" si="107"/>
        <v/>
      </c>
      <c r="W1113" s="21" t="str">
        <f>IF(C1113&gt;0,CONCATENATE("0x",(DEC2HEX(IF(B1113&lt;&gt;"",VLOOKUP(B1113,Notes!$A$2:$B$37,2,FALSE)*1024,0) + C1113*16 + IF(D1113="",7,D1113)*2 + IF(E1113&gt;0, 1, 0))),","),"")</f>
        <v/>
      </c>
      <c r="X1113" s="21" t="str">
        <f>IF(J1113&gt;0,CONCATENATE("0x",(DEC2HEX(IF(I1113&lt;&gt;"",VLOOKUP(I1113,Notes!$A$2:$B$37,2,FALSE)*1024,0) + J1113*16 + IF(K1113="",7,K1113)*2 + IF(L1113&gt;0, 1, 0))),","),"")</f>
        <v/>
      </c>
      <c r="Y1113" s="21" t="str">
        <f>IF(Q1113&gt;0,CONCATENATE("0x",(DEC2HEX(IF(P1113&lt;&gt;"",VLOOKUP(P1113,Notes!$A$2:$B$37,2,FALSE)*1024,0) + Q1113*16 + IF(R1113="",7,R1113)*2 + IF(S1113&gt;0, 1, 0))),","),"")</f>
        <v/>
      </c>
    </row>
    <row r="1114" spans="2:25" x14ac:dyDescent="0.25">
      <c r="F1114" s="18">
        <f t="shared" si="102"/>
        <v>0</v>
      </c>
      <c r="G1114" s="1" t="str">
        <f t="shared" si="105"/>
        <v/>
      </c>
      <c r="M1114" s="18">
        <f t="shared" si="103"/>
        <v>0</v>
      </c>
      <c r="N1114" s="1" t="str">
        <f t="shared" si="106"/>
        <v/>
      </c>
      <c r="T1114" s="18">
        <f t="shared" si="104"/>
        <v>0</v>
      </c>
      <c r="U1114" s="1" t="str">
        <f t="shared" si="107"/>
        <v/>
      </c>
      <c r="W1114" s="21" t="str">
        <f>IF(C1114&gt;0,CONCATENATE("0x",(DEC2HEX(IF(B1114&lt;&gt;"",VLOOKUP(B1114,Notes!$A$2:$B$37,2,FALSE)*1024,0) + C1114*16 + IF(D1114="",7,D1114)*2 + IF(E1114&gt;0, 1, 0))),","),"")</f>
        <v/>
      </c>
      <c r="X1114" s="21" t="str">
        <f>IF(J1114&gt;0,CONCATENATE("0x",(DEC2HEX(IF(I1114&lt;&gt;"",VLOOKUP(I1114,Notes!$A$2:$B$37,2,FALSE)*1024,0) + J1114*16 + IF(K1114="",7,K1114)*2 + IF(L1114&gt;0, 1, 0))),","),"")</f>
        <v/>
      </c>
      <c r="Y1114" s="21" t="str">
        <f>IF(Q1114&gt;0,CONCATENATE("0x",(DEC2HEX(IF(P1114&lt;&gt;"",VLOOKUP(P1114,Notes!$A$2:$B$37,2,FALSE)*1024,0) + Q1114*16 + IF(R1114="",7,R1114)*2 + IF(S1114&gt;0, 1, 0))),","),"")</f>
        <v/>
      </c>
    </row>
    <row r="1115" spans="2:25" x14ac:dyDescent="0.25">
      <c r="F1115" s="18">
        <f t="shared" si="102"/>
        <v>0</v>
      </c>
      <c r="G1115" s="1" t="str">
        <f t="shared" si="105"/>
        <v/>
      </c>
      <c r="M1115" s="18">
        <f t="shared" si="103"/>
        <v>0</v>
      </c>
      <c r="N1115" s="1" t="str">
        <f t="shared" si="106"/>
        <v/>
      </c>
      <c r="T1115" s="18">
        <f t="shared" si="104"/>
        <v>0</v>
      </c>
      <c r="U1115" s="1" t="str">
        <f t="shared" si="107"/>
        <v/>
      </c>
      <c r="W1115" s="21" t="str">
        <f>IF(C1115&gt;0,CONCATENATE("0x",(DEC2HEX(IF(B1115&lt;&gt;"",VLOOKUP(B1115,Notes!$A$2:$B$37,2,FALSE)*1024,0) + C1115*16 + IF(D1115="",7,D1115)*2 + IF(E1115&gt;0, 1, 0))),","),"")</f>
        <v/>
      </c>
      <c r="X1115" s="21" t="str">
        <f>IF(J1115&gt;0,CONCATENATE("0x",(DEC2HEX(IF(I1115&lt;&gt;"",VLOOKUP(I1115,Notes!$A$2:$B$37,2,FALSE)*1024,0) + J1115*16 + IF(K1115="",7,K1115)*2 + IF(L1115&gt;0, 1, 0))),","),"")</f>
        <v/>
      </c>
      <c r="Y1115" s="21" t="str">
        <f>IF(Q1115&gt;0,CONCATENATE("0x",(DEC2HEX(IF(P1115&lt;&gt;"",VLOOKUP(P1115,Notes!$A$2:$B$37,2,FALSE)*1024,0) + Q1115*16 + IF(R1115="",7,R1115)*2 + IF(S1115&gt;0, 1, 0))),","),"")</f>
        <v/>
      </c>
    </row>
    <row r="1116" spans="2:25" x14ac:dyDescent="0.25">
      <c r="F1116" s="18">
        <f t="shared" si="102"/>
        <v>0</v>
      </c>
      <c r="G1116" s="1" t="str">
        <f t="shared" si="105"/>
        <v/>
      </c>
      <c r="M1116" s="18">
        <f t="shared" si="103"/>
        <v>0</v>
      </c>
      <c r="N1116" s="1" t="str">
        <f t="shared" si="106"/>
        <v/>
      </c>
      <c r="T1116" s="18">
        <f t="shared" si="104"/>
        <v>0</v>
      </c>
      <c r="U1116" s="1" t="str">
        <f t="shared" si="107"/>
        <v/>
      </c>
      <c r="W1116" s="21" t="str">
        <f>IF(C1116&gt;0,CONCATENATE("0x",(DEC2HEX(IF(B1116&lt;&gt;"",VLOOKUP(B1116,Notes!$A$2:$B$37,2,FALSE)*1024,0) + C1116*16 + IF(D1116="",7,D1116)*2 + IF(E1116&gt;0, 1, 0))),","),"")</f>
        <v/>
      </c>
      <c r="X1116" s="21" t="str">
        <f>IF(J1116&gt;0,CONCATENATE("0x",(DEC2HEX(IF(I1116&lt;&gt;"",VLOOKUP(I1116,Notes!$A$2:$B$37,2,FALSE)*1024,0) + J1116*16 + IF(K1116="",7,K1116)*2 + IF(L1116&gt;0, 1, 0))),","),"")</f>
        <v/>
      </c>
      <c r="Y1116" s="21" t="str">
        <f>IF(Q1116&gt;0,CONCATENATE("0x",(DEC2HEX(IF(P1116&lt;&gt;"",VLOOKUP(P1116,Notes!$A$2:$B$37,2,FALSE)*1024,0) + Q1116*16 + IF(R1116="",7,R1116)*2 + IF(S1116&gt;0, 1, 0))),","),"")</f>
        <v/>
      </c>
    </row>
    <row r="1117" spans="2:25" x14ac:dyDescent="0.25">
      <c r="F1117" s="18">
        <f t="shared" si="102"/>
        <v>0</v>
      </c>
      <c r="G1117" s="1" t="str">
        <f t="shared" si="105"/>
        <v/>
      </c>
      <c r="M1117" s="18">
        <f t="shared" si="103"/>
        <v>0</v>
      </c>
      <c r="N1117" s="1" t="str">
        <f t="shared" si="106"/>
        <v/>
      </c>
      <c r="T1117" s="18">
        <f t="shared" si="104"/>
        <v>0</v>
      </c>
      <c r="U1117" s="1" t="str">
        <f t="shared" si="107"/>
        <v/>
      </c>
      <c r="W1117" s="21" t="str">
        <f>IF(C1117&gt;0,CONCATENATE("0x",(DEC2HEX(IF(B1117&lt;&gt;"",VLOOKUP(B1117,Notes!$A$2:$B$37,2,FALSE)*1024,0) + C1117*16 + IF(D1117="",7,D1117)*2 + IF(E1117&gt;0, 1, 0))),","),"")</f>
        <v/>
      </c>
      <c r="X1117" s="21" t="str">
        <f>IF(J1117&gt;0,CONCATENATE("0x",(DEC2HEX(IF(I1117&lt;&gt;"",VLOOKUP(I1117,Notes!$A$2:$B$37,2,FALSE)*1024,0) + J1117*16 + IF(K1117="",7,K1117)*2 + IF(L1117&gt;0, 1, 0))),","),"")</f>
        <v/>
      </c>
      <c r="Y1117" s="21" t="str">
        <f>IF(Q1117&gt;0,CONCATENATE("0x",(DEC2HEX(IF(P1117&lt;&gt;"",VLOOKUP(P1117,Notes!$A$2:$B$37,2,FALSE)*1024,0) + Q1117*16 + IF(R1117="",7,R1117)*2 + IF(S1117&gt;0, 1, 0))),","),"")</f>
        <v/>
      </c>
    </row>
    <row r="1118" spans="2:25" x14ac:dyDescent="0.25">
      <c r="F1118" s="18">
        <f t="shared" si="102"/>
        <v>0</v>
      </c>
      <c r="G1118" s="1" t="str">
        <f t="shared" si="105"/>
        <v/>
      </c>
      <c r="M1118" s="18">
        <f t="shared" si="103"/>
        <v>0</v>
      </c>
      <c r="N1118" s="1" t="str">
        <f t="shared" si="106"/>
        <v/>
      </c>
      <c r="T1118" s="18">
        <f t="shared" si="104"/>
        <v>0</v>
      </c>
      <c r="U1118" s="1" t="str">
        <f t="shared" si="107"/>
        <v/>
      </c>
      <c r="W1118" s="21" t="str">
        <f>IF(C1118&gt;0,CONCATENATE("0x",(DEC2HEX(IF(B1118&lt;&gt;"",VLOOKUP(B1118,Notes!$A$2:$B$37,2,FALSE)*1024,0) + C1118*16 + IF(D1118="",7,D1118)*2 + IF(E1118&gt;0, 1, 0))),","),"")</f>
        <v/>
      </c>
      <c r="X1118" s="21" t="str">
        <f>IF(J1118&gt;0,CONCATENATE("0x",(DEC2HEX(IF(I1118&lt;&gt;"",VLOOKUP(I1118,Notes!$A$2:$B$37,2,FALSE)*1024,0) + J1118*16 + IF(K1118="",7,K1118)*2 + IF(L1118&gt;0, 1, 0))),","),"")</f>
        <v/>
      </c>
      <c r="Y1118" s="21" t="str">
        <f>IF(Q1118&gt;0,CONCATENATE("0x",(DEC2HEX(IF(P1118&lt;&gt;"",VLOOKUP(P1118,Notes!$A$2:$B$37,2,FALSE)*1024,0) + Q1118*16 + IF(R1118="",7,R1118)*2 + IF(S1118&gt;0, 1, 0))),","),"")</f>
        <v/>
      </c>
    </row>
    <row r="1119" spans="2:25" x14ac:dyDescent="0.25">
      <c r="F1119" s="18">
        <f t="shared" si="102"/>
        <v>0</v>
      </c>
      <c r="G1119" s="1" t="str">
        <f t="shared" si="105"/>
        <v/>
      </c>
      <c r="M1119" s="18">
        <f t="shared" si="103"/>
        <v>0</v>
      </c>
      <c r="N1119" s="1" t="str">
        <f t="shared" si="106"/>
        <v/>
      </c>
      <c r="T1119" s="18">
        <f t="shared" si="104"/>
        <v>0</v>
      </c>
      <c r="U1119" s="1" t="str">
        <f t="shared" si="107"/>
        <v/>
      </c>
      <c r="W1119" s="21" t="str">
        <f>IF(C1119&gt;0,CONCATENATE("0x",(DEC2HEX(IF(B1119&lt;&gt;"",VLOOKUP(B1119,Notes!$A$2:$B$37,2,FALSE)*1024,0) + C1119*16 + IF(D1119="",7,D1119)*2 + IF(E1119&gt;0, 1, 0))),","),"")</f>
        <v/>
      </c>
      <c r="X1119" s="21" t="str">
        <f>IF(J1119&gt;0,CONCATENATE("0x",(DEC2HEX(IF(I1119&lt;&gt;"",VLOOKUP(I1119,Notes!$A$2:$B$37,2,FALSE)*1024,0) + J1119*16 + IF(K1119="",7,K1119)*2 + IF(L1119&gt;0, 1, 0))),","),"")</f>
        <v/>
      </c>
      <c r="Y1119" s="21" t="str">
        <f>IF(Q1119&gt;0,CONCATENATE("0x",(DEC2HEX(IF(P1119&lt;&gt;"",VLOOKUP(P1119,Notes!$A$2:$B$37,2,FALSE)*1024,0) + Q1119*16 + IF(R1119="",7,R1119)*2 + IF(S1119&gt;0, 1, 0))),","),"")</f>
        <v/>
      </c>
    </row>
    <row r="1120" spans="2:25" x14ac:dyDescent="0.25">
      <c r="F1120" s="18">
        <f t="shared" si="102"/>
        <v>0</v>
      </c>
      <c r="G1120" s="1" t="str">
        <f t="shared" si="105"/>
        <v/>
      </c>
      <c r="M1120" s="18">
        <f t="shared" si="103"/>
        <v>0</v>
      </c>
      <c r="N1120" s="1" t="str">
        <f t="shared" si="106"/>
        <v/>
      </c>
      <c r="T1120" s="18">
        <f t="shared" si="104"/>
        <v>0</v>
      </c>
      <c r="U1120" s="1" t="str">
        <f t="shared" si="107"/>
        <v/>
      </c>
      <c r="W1120" s="21" t="str">
        <f>IF(C1120&gt;0,CONCATENATE("0x",(DEC2HEX(IF(B1120&lt;&gt;"",VLOOKUP(B1120,Notes!$A$2:$B$37,2,FALSE)*1024,0) + C1120*16 + IF(D1120="",7,D1120)*2 + IF(E1120&gt;0, 1, 0))),","),"")</f>
        <v/>
      </c>
      <c r="X1120" s="21" t="str">
        <f>IF(J1120&gt;0,CONCATENATE("0x",(DEC2HEX(IF(I1120&lt;&gt;"",VLOOKUP(I1120,Notes!$A$2:$B$37,2,FALSE)*1024,0) + J1120*16 + IF(K1120="",7,K1120)*2 + IF(L1120&gt;0, 1, 0))),","),"")</f>
        <v/>
      </c>
      <c r="Y1120" s="21" t="str">
        <f>IF(Q1120&gt;0,CONCATENATE("0x",(DEC2HEX(IF(P1120&lt;&gt;"",VLOOKUP(P1120,Notes!$A$2:$B$37,2,FALSE)*1024,0) + Q1120*16 + IF(R1120="",7,R1120)*2 + IF(S1120&gt;0, 1, 0))),","),"")</f>
        <v/>
      </c>
    </row>
    <row r="1121" spans="1:25" ht="16.5" thickBot="1" x14ac:dyDescent="0.3">
      <c r="B1121" s="15"/>
      <c r="C1121" s="16"/>
      <c r="D1121" s="16"/>
      <c r="E1121" s="17"/>
      <c r="F1121" s="18">
        <f t="shared" si="102"/>
        <v>0</v>
      </c>
      <c r="G1121" s="1" t="str">
        <f t="shared" si="105"/>
        <v/>
      </c>
      <c r="I1121" s="15"/>
      <c r="J1121" s="16"/>
      <c r="K1121" s="16"/>
      <c r="L1121" s="17"/>
      <c r="M1121" s="18">
        <f t="shared" si="103"/>
        <v>0</v>
      </c>
      <c r="N1121" s="1" t="str">
        <f t="shared" si="106"/>
        <v/>
      </c>
      <c r="P1121" s="15"/>
      <c r="Q1121" s="16"/>
      <c r="R1121" s="16"/>
      <c r="S1121" s="17"/>
      <c r="T1121" s="18">
        <f t="shared" si="104"/>
        <v>0</v>
      </c>
      <c r="U1121" s="1" t="str">
        <f t="shared" si="107"/>
        <v/>
      </c>
      <c r="W1121" s="21" t="str">
        <f>IF(C1121&gt;0,CONCATENATE("0x",(DEC2HEX(IF(B1121&lt;&gt;"",VLOOKUP(B1121,Notes!$A$2:$B$37,2,FALSE)*1024,0) + C1121*16 + IF(D1121="",7,D1121)*2 + IF(E1121&gt;0, 1, 0))),","),"")</f>
        <v/>
      </c>
      <c r="X1121" s="21" t="str">
        <f>IF(J1121&gt;0,CONCATENATE("0x",(DEC2HEX(IF(I1121&lt;&gt;"",VLOOKUP(I1121,Notes!$A$2:$B$37,2,FALSE)*1024,0) + J1121*16 + IF(K1121="",7,K1121)*2 + IF(L1121&gt;0, 1, 0))),","),"")</f>
        <v/>
      </c>
      <c r="Y1121" s="21" t="str">
        <f>IF(Q1121&gt;0,CONCATENATE("0x",(DEC2HEX(IF(P1121&lt;&gt;"",VLOOKUP(P1121,Notes!$A$2:$B$37,2,FALSE)*1024,0) + Q1121*16 + IF(R1121="",7,R1121)*2 + IF(S1121&gt;0, 1, 0))),","),"")</f>
        <v/>
      </c>
    </row>
    <row r="1122" spans="1:25" ht="16.5" thickTop="1" x14ac:dyDescent="0.25">
      <c r="A1122" s="1">
        <v>36</v>
      </c>
      <c r="F1122" s="18">
        <f t="shared" si="102"/>
        <v>0</v>
      </c>
      <c r="G1122" s="1" t="str">
        <f t="shared" si="105"/>
        <v/>
      </c>
      <c r="M1122" s="18">
        <f t="shared" si="103"/>
        <v>0</v>
      </c>
      <c r="N1122" s="1" t="str">
        <f t="shared" si="106"/>
        <v/>
      </c>
      <c r="T1122" s="18">
        <f t="shared" si="104"/>
        <v>0</v>
      </c>
      <c r="U1122" s="1" t="str">
        <f t="shared" si="107"/>
        <v/>
      </c>
      <c r="W1122" s="21" t="str">
        <f>IF(C1122&gt;0,CONCATENATE("0x",(DEC2HEX(IF(B1122&lt;&gt;"",VLOOKUP(B1122,Notes!$A$2:$B$37,2,FALSE)*1024,0) + C1122*16 + IF(D1122="",7,D1122)*2 + IF(E1122&gt;0, 1, 0))),","),"")</f>
        <v/>
      </c>
      <c r="X1122" s="21" t="str">
        <f>IF(J1122&gt;0,CONCATENATE("0x",(DEC2HEX(IF(I1122&lt;&gt;"",VLOOKUP(I1122,Notes!$A$2:$B$37,2,FALSE)*1024,0) + J1122*16 + IF(K1122="",7,K1122)*2 + IF(L1122&gt;0, 1, 0))),","),"")</f>
        <v/>
      </c>
      <c r="Y1122" s="21" t="str">
        <f>IF(Q1122&gt;0,CONCATENATE("0x",(DEC2HEX(IF(P1122&lt;&gt;"",VLOOKUP(P1122,Notes!$A$2:$B$37,2,FALSE)*1024,0) + Q1122*16 + IF(R1122="",7,R1122)*2 + IF(S1122&gt;0, 1, 0))),","),"")</f>
        <v/>
      </c>
    </row>
    <row r="1123" spans="1:25" x14ac:dyDescent="0.25">
      <c r="F1123" s="18">
        <f t="shared" si="102"/>
        <v>0</v>
      </c>
      <c r="G1123" s="1" t="str">
        <f t="shared" si="105"/>
        <v/>
      </c>
      <c r="M1123" s="18">
        <f t="shared" si="103"/>
        <v>0</v>
      </c>
      <c r="N1123" s="1" t="str">
        <f t="shared" si="106"/>
        <v/>
      </c>
      <c r="T1123" s="18">
        <f t="shared" si="104"/>
        <v>0</v>
      </c>
      <c r="U1123" s="1" t="str">
        <f t="shared" si="107"/>
        <v/>
      </c>
      <c r="W1123" s="21" t="str">
        <f>IF(C1123&gt;0,CONCATENATE("0x",(DEC2HEX(IF(B1123&lt;&gt;"",VLOOKUP(B1123,Notes!$A$2:$B$37,2,FALSE)*1024,0) + C1123*16 + IF(D1123="",7,D1123)*2 + IF(E1123&gt;0, 1, 0))),","),"")</f>
        <v/>
      </c>
      <c r="X1123" s="21" t="str">
        <f>IF(J1123&gt;0,CONCATENATE("0x",(DEC2HEX(IF(I1123&lt;&gt;"",VLOOKUP(I1123,Notes!$A$2:$B$37,2,FALSE)*1024,0) + J1123*16 + IF(K1123="",7,K1123)*2 + IF(L1123&gt;0, 1, 0))),","),"")</f>
        <v/>
      </c>
      <c r="Y1123" s="21" t="str">
        <f>IF(Q1123&gt;0,CONCATENATE("0x",(DEC2HEX(IF(P1123&lt;&gt;"",VLOOKUP(P1123,Notes!$A$2:$B$37,2,FALSE)*1024,0) + Q1123*16 + IF(R1123="",7,R1123)*2 + IF(S1123&gt;0, 1, 0))),","),"")</f>
        <v/>
      </c>
    </row>
    <row r="1124" spans="1:25" x14ac:dyDescent="0.25">
      <c r="F1124" s="18">
        <f t="shared" si="102"/>
        <v>0</v>
      </c>
      <c r="G1124" s="1" t="str">
        <f t="shared" si="105"/>
        <v/>
      </c>
      <c r="M1124" s="18">
        <f t="shared" si="103"/>
        <v>0</v>
      </c>
      <c r="N1124" s="1" t="str">
        <f t="shared" si="106"/>
        <v/>
      </c>
      <c r="T1124" s="18">
        <f t="shared" si="104"/>
        <v>0</v>
      </c>
      <c r="U1124" s="1" t="str">
        <f t="shared" si="107"/>
        <v/>
      </c>
      <c r="W1124" s="21" t="str">
        <f>IF(C1124&gt;0,CONCATENATE("0x",(DEC2HEX(IF(B1124&lt;&gt;"",VLOOKUP(B1124,Notes!$A$2:$B$37,2,FALSE)*1024,0) + C1124*16 + IF(D1124="",7,D1124)*2 + IF(E1124&gt;0, 1, 0))),","),"")</f>
        <v/>
      </c>
      <c r="X1124" s="21" t="str">
        <f>IF(J1124&gt;0,CONCATENATE("0x",(DEC2HEX(IF(I1124&lt;&gt;"",VLOOKUP(I1124,Notes!$A$2:$B$37,2,FALSE)*1024,0) + J1124*16 + IF(K1124="",7,K1124)*2 + IF(L1124&gt;0, 1, 0))),","),"")</f>
        <v/>
      </c>
      <c r="Y1124" s="21" t="str">
        <f>IF(Q1124&gt;0,CONCATENATE("0x",(DEC2HEX(IF(P1124&lt;&gt;"",VLOOKUP(P1124,Notes!$A$2:$B$37,2,FALSE)*1024,0) + Q1124*16 + IF(R1124="",7,R1124)*2 + IF(S1124&gt;0, 1, 0))),","),"")</f>
        <v/>
      </c>
    </row>
    <row r="1125" spans="1:25" x14ac:dyDescent="0.25">
      <c r="F1125" s="18">
        <f t="shared" si="102"/>
        <v>0</v>
      </c>
      <c r="G1125" s="1" t="str">
        <f t="shared" si="105"/>
        <v/>
      </c>
      <c r="M1125" s="18">
        <f t="shared" si="103"/>
        <v>0</v>
      </c>
      <c r="N1125" s="1" t="str">
        <f t="shared" si="106"/>
        <v/>
      </c>
      <c r="T1125" s="18">
        <f t="shared" si="104"/>
        <v>0</v>
      </c>
      <c r="U1125" s="1" t="str">
        <f t="shared" si="107"/>
        <v/>
      </c>
      <c r="W1125" s="21" t="str">
        <f>IF(C1125&gt;0,CONCATENATE("0x",(DEC2HEX(IF(B1125&lt;&gt;"",VLOOKUP(B1125,Notes!$A$2:$B$37,2,FALSE)*1024,0) + C1125*16 + IF(D1125="",7,D1125)*2 + IF(E1125&gt;0, 1, 0))),","),"")</f>
        <v/>
      </c>
      <c r="X1125" s="21" t="str">
        <f>IF(J1125&gt;0,CONCATENATE("0x",(DEC2HEX(IF(I1125&lt;&gt;"",VLOOKUP(I1125,Notes!$A$2:$B$37,2,FALSE)*1024,0) + J1125*16 + IF(K1125="",7,K1125)*2 + IF(L1125&gt;0, 1, 0))),","),"")</f>
        <v/>
      </c>
      <c r="Y1125" s="21" t="str">
        <f>IF(Q1125&gt;0,CONCATENATE("0x",(DEC2HEX(IF(P1125&lt;&gt;"",VLOOKUP(P1125,Notes!$A$2:$B$37,2,FALSE)*1024,0) + Q1125*16 + IF(R1125="",7,R1125)*2 + IF(S1125&gt;0, 1, 0))),","),"")</f>
        <v/>
      </c>
    </row>
    <row r="1126" spans="1:25" x14ac:dyDescent="0.25">
      <c r="F1126" s="18">
        <f t="shared" si="102"/>
        <v>0</v>
      </c>
      <c r="G1126" s="1" t="str">
        <f t="shared" si="105"/>
        <v/>
      </c>
      <c r="M1126" s="18">
        <f t="shared" si="103"/>
        <v>0</v>
      </c>
      <c r="N1126" s="1" t="str">
        <f t="shared" si="106"/>
        <v/>
      </c>
      <c r="T1126" s="18">
        <f t="shared" si="104"/>
        <v>0</v>
      </c>
      <c r="U1126" s="1" t="str">
        <f t="shared" si="107"/>
        <v/>
      </c>
      <c r="W1126" s="21" t="str">
        <f>IF(C1126&gt;0,CONCATENATE("0x",(DEC2HEX(IF(B1126&lt;&gt;"",VLOOKUP(B1126,Notes!$A$2:$B$37,2,FALSE)*1024,0) + C1126*16 + IF(D1126="",7,D1126)*2 + IF(E1126&gt;0, 1, 0))),","),"")</f>
        <v/>
      </c>
      <c r="X1126" s="21" t="str">
        <f>IF(J1126&gt;0,CONCATENATE("0x",(DEC2HEX(IF(I1126&lt;&gt;"",VLOOKUP(I1126,Notes!$A$2:$B$37,2,FALSE)*1024,0) + J1126*16 + IF(K1126="",7,K1126)*2 + IF(L1126&gt;0, 1, 0))),","),"")</f>
        <v/>
      </c>
      <c r="Y1126" s="21" t="str">
        <f>IF(Q1126&gt;0,CONCATENATE("0x",(DEC2HEX(IF(P1126&lt;&gt;"",VLOOKUP(P1126,Notes!$A$2:$B$37,2,FALSE)*1024,0) + Q1126*16 + IF(R1126="",7,R1126)*2 + IF(S1126&gt;0, 1, 0))),","),"")</f>
        <v/>
      </c>
    </row>
    <row r="1127" spans="1:25" x14ac:dyDescent="0.25">
      <c r="F1127" s="18">
        <f t="shared" si="102"/>
        <v>0</v>
      </c>
      <c r="G1127" s="1" t="str">
        <f t="shared" si="105"/>
        <v/>
      </c>
      <c r="M1127" s="18">
        <f t="shared" si="103"/>
        <v>0</v>
      </c>
      <c r="N1127" s="1" t="str">
        <f t="shared" si="106"/>
        <v/>
      </c>
      <c r="T1127" s="18">
        <f t="shared" si="104"/>
        <v>0</v>
      </c>
      <c r="U1127" s="1" t="str">
        <f t="shared" si="107"/>
        <v/>
      </c>
      <c r="W1127" s="21" t="str">
        <f>IF(C1127&gt;0,CONCATENATE("0x",(DEC2HEX(IF(B1127&lt;&gt;"",VLOOKUP(B1127,Notes!$A$2:$B$37,2,FALSE)*1024,0) + C1127*16 + IF(D1127="",7,D1127)*2 + IF(E1127&gt;0, 1, 0))),","),"")</f>
        <v/>
      </c>
      <c r="X1127" s="21" t="str">
        <f>IF(J1127&gt;0,CONCATENATE("0x",(DEC2HEX(IF(I1127&lt;&gt;"",VLOOKUP(I1127,Notes!$A$2:$B$37,2,FALSE)*1024,0) + J1127*16 + IF(K1127="",7,K1127)*2 + IF(L1127&gt;0, 1, 0))),","),"")</f>
        <v/>
      </c>
      <c r="Y1127" s="21" t="str">
        <f>IF(Q1127&gt;0,CONCATENATE("0x",(DEC2HEX(IF(P1127&lt;&gt;"",VLOOKUP(P1127,Notes!$A$2:$B$37,2,FALSE)*1024,0) + Q1127*16 + IF(R1127="",7,R1127)*2 + IF(S1127&gt;0, 1, 0))),","),"")</f>
        <v/>
      </c>
    </row>
    <row r="1128" spans="1:25" x14ac:dyDescent="0.25">
      <c r="F1128" s="18">
        <f t="shared" si="102"/>
        <v>0</v>
      </c>
      <c r="G1128" s="1" t="str">
        <f t="shared" si="105"/>
        <v/>
      </c>
      <c r="M1128" s="18">
        <f t="shared" si="103"/>
        <v>0</v>
      </c>
      <c r="N1128" s="1" t="str">
        <f t="shared" si="106"/>
        <v/>
      </c>
      <c r="T1128" s="18">
        <f t="shared" si="104"/>
        <v>0</v>
      </c>
      <c r="U1128" s="1" t="str">
        <f t="shared" si="107"/>
        <v/>
      </c>
      <c r="W1128" s="21" t="str">
        <f>IF(C1128&gt;0,CONCATENATE("0x",(DEC2HEX(IF(B1128&lt;&gt;"",VLOOKUP(B1128,Notes!$A$2:$B$37,2,FALSE)*1024,0) + C1128*16 + IF(D1128="",7,D1128)*2 + IF(E1128&gt;0, 1, 0))),","),"")</f>
        <v/>
      </c>
      <c r="X1128" s="21" t="str">
        <f>IF(J1128&gt;0,CONCATENATE("0x",(DEC2HEX(IF(I1128&lt;&gt;"",VLOOKUP(I1128,Notes!$A$2:$B$37,2,FALSE)*1024,0) + J1128*16 + IF(K1128="",7,K1128)*2 + IF(L1128&gt;0, 1, 0))),","),"")</f>
        <v/>
      </c>
      <c r="Y1128" s="21" t="str">
        <f>IF(Q1128&gt;0,CONCATENATE("0x",(DEC2HEX(IF(P1128&lt;&gt;"",VLOOKUP(P1128,Notes!$A$2:$B$37,2,FALSE)*1024,0) + Q1128*16 + IF(R1128="",7,R1128)*2 + IF(S1128&gt;0, 1, 0))),","),"")</f>
        <v/>
      </c>
    </row>
    <row r="1129" spans="1:25" x14ac:dyDescent="0.25">
      <c r="B1129" s="12"/>
      <c r="C1129" s="13"/>
      <c r="D1129" s="13"/>
      <c r="E1129" s="14"/>
      <c r="F1129" s="18">
        <f t="shared" si="102"/>
        <v>0</v>
      </c>
      <c r="G1129" s="1" t="str">
        <f t="shared" si="105"/>
        <v/>
      </c>
      <c r="I1129" s="12"/>
      <c r="J1129" s="13"/>
      <c r="K1129" s="13"/>
      <c r="L1129" s="14"/>
      <c r="M1129" s="18">
        <f t="shared" si="103"/>
        <v>0</v>
      </c>
      <c r="N1129" s="1" t="str">
        <f t="shared" si="106"/>
        <v/>
      </c>
      <c r="P1129" s="12"/>
      <c r="Q1129" s="13"/>
      <c r="R1129" s="13"/>
      <c r="S1129" s="14"/>
      <c r="T1129" s="18">
        <f t="shared" si="104"/>
        <v>0</v>
      </c>
      <c r="U1129" s="1" t="str">
        <f t="shared" si="107"/>
        <v/>
      </c>
      <c r="W1129" s="21" t="str">
        <f>IF(C1129&gt;0,CONCATENATE("0x",(DEC2HEX(IF(B1129&lt;&gt;"",VLOOKUP(B1129,Notes!$A$2:$B$37,2,FALSE)*1024,0) + C1129*16 + IF(D1129="",7,D1129)*2 + IF(E1129&gt;0, 1, 0))),","),"")</f>
        <v/>
      </c>
      <c r="X1129" s="21" t="str">
        <f>IF(J1129&gt;0,CONCATENATE("0x",(DEC2HEX(IF(I1129&lt;&gt;"",VLOOKUP(I1129,Notes!$A$2:$B$37,2,FALSE)*1024,0) + J1129*16 + IF(K1129="",7,K1129)*2 + IF(L1129&gt;0, 1, 0))),","),"")</f>
        <v/>
      </c>
      <c r="Y1129" s="21" t="str">
        <f>IF(Q1129&gt;0,CONCATENATE("0x",(DEC2HEX(IF(P1129&lt;&gt;"",VLOOKUP(P1129,Notes!$A$2:$B$37,2,FALSE)*1024,0) + Q1129*16 + IF(R1129="",7,R1129)*2 + IF(S1129&gt;0, 1, 0))),","),"")</f>
        <v/>
      </c>
    </row>
    <row r="1130" spans="1:25" x14ac:dyDescent="0.25">
      <c r="F1130" s="18">
        <f t="shared" si="102"/>
        <v>0</v>
      </c>
      <c r="G1130" s="1" t="str">
        <f t="shared" si="105"/>
        <v/>
      </c>
      <c r="M1130" s="18">
        <f t="shared" si="103"/>
        <v>0</v>
      </c>
      <c r="N1130" s="1" t="str">
        <f t="shared" si="106"/>
        <v/>
      </c>
      <c r="T1130" s="18">
        <f t="shared" si="104"/>
        <v>0</v>
      </c>
      <c r="U1130" s="1" t="str">
        <f t="shared" si="107"/>
        <v/>
      </c>
      <c r="W1130" s="21" t="str">
        <f>IF(C1130&gt;0,CONCATENATE("0x",(DEC2HEX(IF(B1130&lt;&gt;"",VLOOKUP(B1130,Notes!$A$2:$B$37,2,FALSE)*1024,0) + C1130*16 + IF(D1130="",7,D1130)*2 + IF(E1130&gt;0, 1, 0))),","),"")</f>
        <v/>
      </c>
      <c r="X1130" s="21" t="str">
        <f>IF(J1130&gt;0,CONCATENATE("0x",(DEC2HEX(IF(I1130&lt;&gt;"",VLOOKUP(I1130,Notes!$A$2:$B$37,2,FALSE)*1024,0) + J1130*16 + IF(K1130="",7,K1130)*2 + IF(L1130&gt;0, 1, 0))),","),"")</f>
        <v/>
      </c>
      <c r="Y1130" s="21" t="str">
        <f>IF(Q1130&gt;0,CONCATENATE("0x",(DEC2HEX(IF(P1130&lt;&gt;"",VLOOKUP(P1130,Notes!$A$2:$B$37,2,FALSE)*1024,0) + Q1130*16 + IF(R1130="",7,R1130)*2 + IF(S1130&gt;0, 1, 0))),","),"")</f>
        <v/>
      </c>
    </row>
    <row r="1131" spans="1:25" x14ac:dyDescent="0.25">
      <c r="F1131" s="18">
        <f t="shared" si="102"/>
        <v>0</v>
      </c>
      <c r="G1131" s="1" t="str">
        <f t="shared" si="105"/>
        <v/>
      </c>
      <c r="M1131" s="18">
        <f t="shared" si="103"/>
        <v>0</v>
      </c>
      <c r="N1131" s="1" t="str">
        <f t="shared" si="106"/>
        <v/>
      </c>
      <c r="T1131" s="18">
        <f t="shared" si="104"/>
        <v>0</v>
      </c>
      <c r="U1131" s="1" t="str">
        <f t="shared" si="107"/>
        <v/>
      </c>
      <c r="W1131" s="21" t="str">
        <f>IF(C1131&gt;0,CONCATENATE("0x",(DEC2HEX(IF(B1131&lt;&gt;"",VLOOKUP(B1131,Notes!$A$2:$B$37,2,FALSE)*1024,0) + C1131*16 + IF(D1131="",7,D1131)*2 + IF(E1131&gt;0, 1, 0))),","),"")</f>
        <v/>
      </c>
      <c r="X1131" s="21" t="str">
        <f>IF(J1131&gt;0,CONCATENATE("0x",(DEC2HEX(IF(I1131&lt;&gt;"",VLOOKUP(I1131,Notes!$A$2:$B$37,2,FALSE)*1024,0) + J1131*16 + IF(K1131="",7,K1131)*2 + IF(L1131&gt;0, 1, 0))),","),"")</f>
        <v/>
      </c>
      <c r="Y1131" s="21" t="str">
        <f>IF(Q1131&gt;0,CONCATENATE("0x",(DEC2HEX(IF(P1131&lt;&gt;"",VLOOKUP(P1131,Notes!$A$2:$B$37,2,FALSE)*1024,0) + Q1131*16 + IF(R1131="",7,R1131)*2 + IF(S1131&gt;0, 1, 0))),","),"")</f>
        <v/>
      </c>
    </row>
    <row r="1132" spans="1:25" x14ac:dyDescent="0.25">
      <c r="F1132" s="18">
        <f t="shared" si="102"/>
        <v>0</v>
      </c>
      <c r="G1132" s="1" t="str">
        <f t="shared" si="105"/>
        <v/>
      </c>
      <c r="M1132" s="18">
        <f t="shared" si="103"/>
        <v>0</v>
      </c>
      <c r="N1132" s="1" t="str">
        <f t="shared" si="106"/>
        <v/>
      </c>
      <c r="T1132" s="18">
        <f t="shared" si="104"/>
        <v>0</v>
      </c>
      <c r="U1132" s="1" t="str">
        <f t="shared" si="107"/>
        <v/>
      </c>
      <c r="W1132" s="21" t="str">
        <f>IF(C1132&gt;0,CONCATENATE("0x",(DEC2HEX(IF(B1132&lt;&gt;"",VLOOKUP(B1132,Notes!$A$2:$B$37,2,FALSE)*1024,0) + C1132*16 + IF(D1132="",7,D1132)*2 + IF(E1132&gt;0, 1, 0))),","),"")</f>
        <v/>
      </c>
      <c r="X1132" s="21" t="str">
        <f>IF(J1132&gt;0,CONCATENATE("0x",(DEC2HEX(IF(I1132&lt;&gt;"",VLOOKUP(I1132,Notes!$A$2:$B$37,2,FALSE)*1024,0) + J1132*16 + IF(K1132="",7,K1132)*2 + IF(L1132&gt;0, 1, 0))),","),"")</f>
        <v/>
      </c>
      <c r="Y1132" s="21" t="str">
        <f>IF(Q1132&gt;0,CONCATENATE("0x",(DEC2HEX(IF(P1132&lt;&gt;"",VLOOKUP(P1132,Notes!$A$2:$B$37,2,FALSE)*1024,0) + Q1132*16 + IF(R1132="",7,R1132)*2 + IF(S1132&gt;0, 1, 0))),","),"")</f>
        <v/>
      </c>
    </row>
    <row r="1133" spans="1:25" x14ac:dyDescent="0.25">
      <c r="F1133" s="18">
        <f t="shared" si="102"/>
        <v>0</v>
      </c>
      <c r="G1133" s="1" t="str">
        <f t="shared" si="105"/>
        <v/>
      </c>
      <c r="M1133" s="18">
        <f t="shared" si="103"/>
        <v>0</v>
      </c>
      <c r="N1133" s="1" t="str">
        <f t="shared" si="106"/>
        <v/>
      </c>
      <c r="T1133" s="18">
        <f t="shared" si="104"/>
        <v>0</v>
      </c>
      <c r="U1133" s="1" t="str">
        <f t="shared" si="107"/>
        <v/>
      </c>
      <c r="W1133" s="21" t="str">
        <f>IF(C1133&gt;0,CONCATENATE("0x",(DEC2HEX(IF(B1133&lt;&gt;"",VLOOKUP(B1133,Notes!$A$2:$B$37,2,FALSE)*1024,0) + C1133*16 + IF(D1133="",7,D1133)*2 + IF(E1133&gt;0, 1, 0))),","),"")</f>
        <v/>
      </c>
      <c r="X1133" s="21" t="str">
        <f>IF(J1133&gt;0,CONCATENATE("0x",(DEC2HEX(IF(I1133&lt;&gt;"",VLOOKUP(I1133,Notes!$A$2:$B$37,2,FALSE)*1024,0) + J1133*16 + IF(K1133="",7,K1133)*2 + IF(L1133&gt;0, 1, 0))),","),"")</f>
        <v/>
      </c>
      <c r="Y1133" s="21" t="str">
        <f>IF(Q1133&gt;0,CONCATENATE("0x",(DEC2HEX(IF(P1133&lt;&gt;"",VLOOKUP(P1133,Notes!$A$2:$B$37,2,FALSE)*1024,0) + Q1133*16 + IF(R1133="",7,R1133)*2 + IF(S1133&gt;0, 1, 0))),","),"")</f>
        <v/>
      </c>
    </row>
    <row r="1134" spans="1:25" x14ac:dyDescent="0.25">
      <c r="F1134" s="18">
        <f t="shared" si="102"/>
        <v>0</v>
      </c>
      <c r="G1134" s="1" t="str">
        <f t="shared" si="105"/>
        <v/>
      </c>
      <c r="M1134" s="18">
        <f t="shared" si="103"/>
        <v>0</v>
      </c>
      <c r="N1134" s="1" t="str">
        <f t="shared" si="106"/>
        <v/>
      </c>
      <c r="T1134" s="18">
        <f t="shared" si="104"/>
        <v>0</v>
      </c>
      <c r="U1134" s="1" t="str">
        <f t="shared" si="107"/>
        <v/>
      </c>
      <c r="W1134" s="21" t="str">
        <f>IF(C1134&gt;0,CONCATENATE("0x",(DEC2HEX(IF(B1134&lt;&gt;"",VLOOKUP(B1134,Notes!$A$2:$B$37,2,FALSE)*1024,0) + C1134*16 + IF(D1134="",7,D1134)*2 + IF(E1134&gt;0, 1, 0))),","),"")</f>
        <v/>
      </c>
      <c r="X1134" s="21" t="str">
        <f>IF(J1134&gt;0,CONCATENATE("0x",(DEC2HEX(IF(I1134&lt;&gt;"",VLOOKUP(I1134,Notes!$A$2:$B$37,2,FALSE)*1024,0) + J1134*16 + IF(K1134="",7,K1134)*2 + IF(L1134&gt;0, 1, 0))),","),"")</f>
        <v/>
      </c>
      <c r="Y1134" s="21" t="str">
        <f>IF(Q1134&gt;0,CONCATENATE("0x",(DEC2HEX(IF(P1134&lt;&gt;"",VLOOKUP(P1134,Notes!$A$2:$B$37,2,FALSE)*1024,0) + Q1134*16 + IF(R1134="",7,R1134)*2 + IF(S1134&gt;0, 1, 0))),","),"")</f>
        <v/>
      </c>
    </row>
    <row r="1135" spans="1:25" x14ac:dyDescent="0.25">
      <c r="F1135" s="18">
        <f t="shared" si="102"/>
        <v>0</v>
      </c>
      <c r="G1135" s="1" t="str">
        <f t="shared" si="105"/>
        <v/>
      </c>
      <c r="M1135" s="18">
        <f t="shared" si="103"/>
        <v>0</v>
      </c>
      <c r="N1135" s="1" t="str">
        <f t="shared" si="106"/>
        <v/>
      </c>
      <c r="T1135" s="18">
        <f t="shared" si="104"/>
        <v>0</v>
      </c>
      <c r="U1135" s="1" t="str">
        <f t="shared" si="107"/>
        <v/>
      </c>
      <c r="W1135" s="21" t="str">
        <f>IF(C1135&gt;0,CONCATENATE("0x",(DEC2HEX(IF(B1135&lt;&gt;"",VLOOKUP(B1135,Notes!$A$2:$B$37,2,FALSE)*1024,0) + C1135*16 + IF(D1135="",7,D1135)*2 + IF(E1135&gt;0, 1, 0))),","),"")</f>
        <v/>
      </c>
      <c r="X1135" s="21" t="str">
        <f>IF(J1135&gt;0,CONCATENATE("0x",(DEC2HEX(IF(I1135&lt;&gt;"",VLOOKUP(I1135,Notes!$A$2:$B$37,2,FALSE)*1024,0) + J1135*16 + IF(K1135="",7,K1135)*2 + IF(L1135&gt;0, 1, 0))),","),"")</f>
        <v/>
      </c>
      <c r="Y1135" s="21" t="str">
        <f>IF(Q1135&gt;0,CONCATENATE("0x",(DEC2HEX(IF(P1135&lt;&gt;"",VLOOKUP(P1135,Notes!$A$2:$B$37,2,FALSE)*1024,0) + Q1135*16 + IF(R1135="",7,R1135)*2 + IF(S1135&gt;0, 1, 0))),","),"")</f>
        <v/>
      </c>
    </row>
    <row r="1136" spans="1:25" x14ac:dyDescent="0.25">
      <c r="F1136" s="18">
        <f t="shared" si="102"/>
        <v>0</v>
      </c>
      <c r="G1136" s="1" t="str">
        <f t="shared" si="105"/>
        <v/>
      </c>
      <c r="M1136" s="18">
        <f t="shared" si="103"/>
        <v>0</v>
      </c>
      <c r="N1136" s="1" t="str">
        <f t="shared" si="106"/>
        <v/>
      </c>
      <c r="T1136" s="18">
        <f t="shared" si="104"/>
        <v>0</v>
      </c>
      <c r="U1136" s="1" t="str">
        <f t="shared" si="107"/>
        <v/>
      </c>
      <c r="W1136" s="21" t="str">
        <f>IF(C1136&gt;0,CONCATENATE("0x",(DEC2HEX(IF(B1136&lt;&gt;"",VLOOKUP(B1136,Notes!$A$2:$B$37,2,FALSE)*1024,0) + C1136*16 + IF(D1136="",7,D1136)*2 + IF(E1136&gt;0, 1, 0))),","),"")</f>
        <v/>
      </c>
      <c r="X1136" s="21" t="str">
        <f>IF(J1136&gt;0,CONCATENATE("0x",(DEC2HEX(IF(I1136&lt;&gt;"",VLOOKUP(I1136,Notes!$A$2:$B$37,2,FALSE)*1024,0) + J1136*16 + IF(K1136="",7,K1136)*2 + IF(L1136&gt;0, 1, 0))),","),"")</f>
        <v/>
      </c>
      <c r="Y1136" s="21" t="str">
        <f>IF(Q1136&gt;0,CONCATENATE("0x",(DEC2HEX(IF(P1136&lt;&gt;"",VLOOKUP(P1136,Notes!$A$2:$B$37,2,FALSE)*1024,0) + Q1136*16 + IF(R1136="",7,R1136)*2 + IF(S1136&gt;0, 1, 0))),","),"")</f>
        <v/>
      </c>
    </row>
    <row r="1137" spans="2:25" x14ac:dyDescent="0.25">
      <c r="B1137" s="12"/>
      <c r="C1137" s="13"/>
      <c r="D1137" s="13"/>
      <c r="E1137" s="14"/>
      <c r="F1137" s="18">
        <f t="shared" si="102"/>
        <v>0</v>
      </c>
      <c r="G1137" s="1" t="str">
        <f t="shared" si="105"/>
        <v/>
      </c>
      <c r="I1137" s="12"/>
      <c r="J1137" s="13"/>
      <c r="K1137" s="13"/>
      <c r="L1137" s="14"/>
      <c r="M1137" s="18">
        <f t="shared" si="103"/>
        <v>0</v>
      </c>
      <c r="N1137" s="1" t="str">
        <f t="shared" si="106"/>
        <v/>
      </c>
      <c r="P1137" s="12"/>
      <c r="Q1137" s="13"/>
      <c r="R1137" s="13"/>
      <c r="S1137" s="14"/>
      <c r="T1137" s="18">
        <f t="shared" si="104"/>
        <v>0</v>
      </c>
      <c r="U1137" s="1" t="str">
        <f t="shared" si="107"/>
        <v/>
      </c>
      <c r="W1137" s="21" t="str">
        <f>IF(C1137&gt;0,CONCATENATE("0x",(DEC2HEX(IF(B1137&lt;&gt;"",VLOOKUP(B1137,Notes!$A$2:$B$37,2,FALSE)*1024,0) + C1137*16 + IF(D1137="",7,D1137)*2 + IF(E1137&gt;0, 1, 0))),","),"")</f>
        <v/>
      </c>
      <c r="X1137" s="21" t="str">
        <f>IF(J1137&gt;0,CONCATENATE("0x",(DEC2HEX(IF(I1137&lt;&gt;"",VLOOKUP(I1137,Notes!$A$2:$B$37,2,FALSE)*1024,0) + J1137*16 + IF(K1137="",7,K1137)*2 + IF(L1137&gt;0, 1, 0))),","),"")</f>
        <v/>
      </c>
      <c r="Y1137" s="21" t="str">
        <f>IF(Q1137&gt;0,CONCATENATE("0x",(DEC2HEX(IF(P1137&lt;&gt;"",VLOOKUP(P1137,Notes!$A$2:$B$37,2,FALSE)*1024,0) + Q1137*16 + IF(R1137="",7,R1137)*2 + IF(S1137&gt;0, 1, 0))),","),"")</f>
        <v/>
      </c>
    </row>
    <row r="1138" spans="2:25" x14ac:dyDescent="0.25">
      <c r="F1138" s="18">
        <f t="shared" si="102"/>
        <v>0</v>
      </c>
      <c r="G1138" s="1" t="str">
        <f t="shared" si="105"/>
        <v/>
      </c>
      <c r="M1138" s="18">
        <f t="shared" si="103"/>
        <v>0</v>
      </c>
      <c r="N1138" s="1" t="str">
        <f t="shared" si="106"/>
        <v/>
      </c>
      <c r="T1138" s="18">
        <f t="shared" si="104"/>
        <v>0</v>
      </c>
      <c r="U1138" s="1" t="str">
        <f t="shared" si="107"/>
        <v/>
      </c>
      <c r="W1138" s="21" t="str">
        <f>IF(C1138&gt;0,CONCATENATE("0x",(DEC2HEX(IF(B1138&lt;&gt;"",VLOOKUP(B1138,Notes!$A$2:$B$37,2,FALSE)*1024,0) + C1138*16 + IF(D1138="",7,D1138)*2 + IF(E1138&gt;0, 1, 0))),","),"")</f>
        <v/>
      </c>
      <c r="X1138" s="21" t="str">
        <f>IF(J1138&gt;0,CONCATENATE("0x",(DEC2HEX(IF(I1138&lt;&gt;"",VLOOKUP(I1138,Notes!$A$2:$B$37,2,FALSE)*1024,0) + J1138*16 + IF(K1138="",7,K1138)*2 + IF(L1138&gt;0, 1, 0))),","),"")</f>
        <v/>
      </c>
      <c r="Y1138" s="21" t="str">
        <f>IF(Q1138&gt;0,CONCATENATE("0x",(DEC2HEX(IF(P1138&lt;&gt;"",VLOOKUP(P1138,Notes!$A$2:$B$37,2,FALSE)*1024,0) + Q1138*16 + IF(R1138="",7,R1138)*2 + IF(S1138&gt;0, 1, 0))),","),"")</f>
        <v/>
      </c>
    </row>
    <row r="1139" spans="2:25" x14ac:dyDescent="0.25">
      <c r="F1139" s="18">
        <f t="shared" si="102"/>
        <v>0</v>
      </c>
      <c r="G1139" s="1" t="str">
        <f t="shared" si="105"/>
        <v/>
      </c>
      <c r="M1139" s="18">
        <f t="shared" si="103"/>
        <v>0</v>
      </c>
      <c r="N1139" s="1" t="str">
        <f t="shared" si="106"/>
        <v/>
      </c>
      <c r="T1139" s="18">
        <f t="shared" si="104"/>
        <v>0</v>
      </c>
      <c r="U1139" s="1" t="str">
        <f t="shared" si="107"/>
        <v/>
      </c>
      <c r="W1139" s="21" t="str">
        <f>IF(C1139&gt;0,CONCATENATE("0x",(DEC2HEX(IF(B1139&lt;&gt;"",VLOOKUP(B1139,Notes!$A$2:$B$37,2,FALSE)*1024,0) + C1139*16 + IF(D1139="",7,D1139)*2 + IF(E1139&gt;0, 1, 0))),","),"")</f>
        <v/>
      </c>
      <c r="X1139" s="21" t="str">
        <f>IF(J1139&gt;0,CONCATENATE("0x",(DEC2HEX(IF(I1139&lt;&gt;"",VLOOKUP(I1139,Notes!$A$2:$B$37,2,FALSE)*1024,0) + J1139*16 + IF(K1139="",7,K1139)*2 + IF(L1139&gt;0, 1, 0))),","),"")</f>
        <v/>
      </c>
      <c r="Y1139" s="21" t="str">
        <f>IF(Q1139&gt;0,CONCATENATE("0x",(DEC2HEX(IF(P1139&lt;&gt;"",VLOOKUP(P1139,Notes!$A$2:$B$37,2,FALSE)*1024,0) + Q1139*16 + IF(R1139="",7,R1139)*2 + IF(S1139&gt;0, 1, 0))),","),"")</f>
        <v/>
      </c>
    </row>
    <row r="1140" spans="2:25" x14ac:dyDescent="0.25">
      <c r="F1140" s="18">
        <f t="shared" si="102"/>
        <v>0</v>
      </c>
      <c r="G1140" s="1" t="str">
        <f t="shared" si="105"/>
        <v/>
      </c>
      <c r="M1140" s="18">
        <f t="shared" si="103"/>
        <v>0</v>
      </c>
      <c r="N1140" s="1" t="str">
        <f t="shared" si="106"/>
        <v/>
      </c>
      <c r="T1140" s="18">
        <f t="shared" si="104"/>
        <v>0</v>
      </c>
      <c r="U1140" s="1" t="str">
        <f t="shared" si="107"/>
        <v/>
      </c>
      <c r="W1140" s="21" t="str">
        <f>IF(C1140&gt;0,CONCATENATE("0x",(DEC2HEX(IF(B1140&lt;&gt;"",VLOOKUP(B1140,Notes!$A$2:$B$37,2,FALSE)*1024,0) + C1140*16 + IF(D1140="",7,D1140)*2 + IF(E1140&gt;0, 1, 0))),","),"")</f>
        <v/>
      </c>
      <c r="X1140" s="21" t="str">
        <f>IF(J1140&gt;0,CONCATENATE("0x",(DEC2HEX(IF(I1140&lt;&gt;"",VLOOKUP(I1140,Notes!$A$2:$B$37,2,FALSE)*1024,0) + J1140*16 + IF(K1140="",7,K1140)*2 + IF(L1140&gt;0, 1, 0))),","),"")</f>
        <v/>
      </c>
      <c r="Y1140" s="21" t="str">
        <f>IF(Q1140&gt;0,CONCATENATE("0x",(DEC2HEX(IF(P1140&lt;&gt;"",VLOOKUP(P1140,Notes!$A$2:$B$37,2,FALSE)*1024,0) + Q1140*16 + IF(R1140="",7,R1140)*2 + IF(S1140&gt;0, 1, 0))),","),"")</f>
        <v/>
      </c>
    </row>
    <row r="1141" spans="2:25" x14ac:dyDescent="0.25">
      <c r="F1141" s="18">
        <f t="shared" si="102"/>
        <v>0</v>
      </c>
      <c r="G1141" s="1" t="str">
        <f t="shared" si="105"/>
        <v/>
      </c>
      <c r="M1141" s="18">
        <f t="shared" si="103"/>
        <v>0</v>
      </c>
      <c r="N1141" s="1" t="str">
        <f t="shared" si="106"/>
        <v/>
      </c>
      <c r="T1141" s="18">
        <f t="shared" si="104"/>
        <v>0</v>
      </c>
      <c r="U1141" s="1" t="str">
        <f t="shared" si="107"/>
        <v/>
      </c>
      <c r="W1141" s="21" t="str">
        <f>IF(C1141&gt;0,CONCATENATE("0x",(DEC2HEX(IF(B1141&lt;&gt;"",VLOOKUP(B1141,Notes!$A$2:$B$37,2,FALSE)*1024,0) + C1141*16 + IF(D1141="",7,D1141)*2 + IF(E1141&gt;0, 1, 0))),","),"")</f>
        <v/>
      </c>
      <c r="X1141" s="21" t="str">
        <f>IF(J1141&gt;0,CONCATENATE("0x",(DEC2HEX(IF(I1141&lt;&gt;"",VLOOKUP(I1141,Notes!$A$2:$B$37,2,FALSE)*1024,0) + J1141*16 + IF(K1141="",7,K1141)*2 + IF(L1141&gt;0, 1, 0))),","),"")</f>
        <v/>
      </c>
      <c r="Y1141" s="21" t="str">
        <f>IF(Q1141&gt;0,CONCATENATE("0x",(DEC2HEX(IF(P1141&lt;&gt;"",VLOOKUP(P1141,Notes!$A$2:$B$37,2,FALSE)*1024,0) + Q1141*16 + IF(R1141="",7,R1141)*2 + IF(S1141&gt;0, 1, 0))),","),"")</f>
        <v/>
      </c>
    </row>
    <row r="1142" spans="2:25" x14ac:dyDescent="0.25">
      <c r="F1142" s="18">
        <f t="shared" si="102"/>
        <v>0</v>
      </c>
      <c r="G1142" s="1" t="str">
        <f t="shared" si="105"/>
        <v/>
      </c>
      <c r="M1142" s="18">
        <f t="shared" si="103"/>
        <v>0</v>
      </c>
      <c r="N1142" s="1" t="str">
        <f t="shared" si="106"/>
        <v/>
      </c>
      <c r="T1142" s="18">
        <f t="shared" si="104"/>
        <v>0</v>
      </c>
      <c r="U1142" s="1" t="str">
        <f t="shared" si="107"/>
        <v/>
      </c>
      <c r="W1142" s="21" t="str">
        <f>IF(C1142&gt;0,CONCATENATE("0x",(DEC2HEX(IF(B1142&lt;&gt;"",VLOOKUP(B1142,Notes!$A$2:$B$37,2,FALSE)*1024,0) + C1142*16 + IF(D1142="",7,D1142)*2 + IF(E1142&gt;0, 1, 0))),","),"")</f>
        <v/>
      </c>
      <c r="X1142" s="21" t="str">
        <f>IF(J1142&gt;0,CONCATENATE("0x",(DEC2HEX(IF(I1142&lt;&gt;"",VLOOKUP(I1142,Notes!$A$2:$B$37,2,FALSE)*1024,0) + J1142*16 + IF(K1142="",7,K1142)*2 + IF(L1142&gt;0, 1, 0))),","),"")</f>
        <v/>
      </c>
      <c r="Y1142" s="21" t="str">
        <f>IF(Q1142&gt;0,CONCATENATE("0x",(DEC2HEX(IF(P1142&lt;&gt;"",VLOOKUP(P1142,Notes!$A$2:$B$37,2,FALSE)*1024,0) + Q1142*16 + IF(R1142="",7,R1142)*2 + IF(S1142&gt;0, 1, 0))),","),"")</f>
        <v/>
      </c>
    </row>
    <row r="1143" spans="2:25" x14ac:dyDescent="0.25">
      <c r="F1143" s="18">
        <f t="shared" si="102"/>
        <v>0</v>
      </c>
      <c r="G1143" s="1" t="str">
        <f t="shared" si="105"/>
        <v/>
      </c>
      <c r="M1143" s="18">
        <f t="shared" si="103"/>
        <v>0</v>
      </c>
      <c r="N1143" s="1" t="str">
        <f t="shared" si="106"/>
        <v/>
      </c>
      <c r="T1143" s="18">
        <f t="shared" si="104"/>
        <v>0</v>
      </c>
      <c r="U1143" s="1" t="str">
        <f t="shared" si="107"/>
        <v/>
      </c>
      <c r="W1143" s="21" t="str">
        <f>IF(C1143&gt;0,CONCATENATE("0x",(DEC2HEX(IF(B1143&lt;&gt;"",VLOOKUP(B1143,Notes!$A$2:$B$37,2,FALSE)*1024,0) + C1143*16 + IF(D1143="",7,D1143)*2 + IF(E1143&gt;0, 1, 0))),","),"")</f>
        <v/>
      </c>
      <c r="X1143" s="21" t="str">
        <f>IF(J1143&gt;0,CONCATENATE("0x",(DEC2HEX(IF(I1143&lt;&gt;"",VLOOKUP(I1143,Notes!$A$2:$B$37,2,FALSE)*1024,0) + J1143*16 + IF(K1143="",7,K1143)*2 + IF(L1143&gt;0, 1, 0))),","),"")</f>
        <v/>
      </c>
      <c r="Y1143" s="21" t="str">
        <f>IF(Q1143&gt;0,CONCATENATE("0x",(DEC2HEX(IF(P1143&lt;&gt;"",VLOOKUP(P1143,Notes!$A$2:$B$37,2,FALSE)*1024,0) + Q1143*16 + IF(R1143="",7,R1143)*2 + IF(S1143&gt;0, 1, 0))),","),"")</f>
        <v/>
      </c>
    </row>
    <row r="1144" spans="2:25" x14ac:dyDescent="0.25">
      <c r="F1144" s="18">
        <f t="shared" si="102"/>
        <v>0</v>
      </c>
      <c r="G1144" s="1" t="str">
        <f t="shared" si="105"/>
        <v/>
      </c>
      <c r="M1144" s="18">
        <f t="shared" si="103"/>
        <v>0</v>
      </c>
      <c r="N1144" s="1" t="str">
        <f t="shared" si="106"/>
        <v/>
      </c>
      <c r="T1144" s="18">
        <f t="shared" si="104"/>
        <v>0</v>
      </c>
      <c r="U1144" s="1" t="str">
        <f t="shared" si="107"/>
        <v/>
      </c>
      <c r="W1144" s="21" t="str">
        <f>IF(C1144&gt;0,CONCATENATE("0x",(DEC2HEX(IF(B1144&lt;&gt;"",VLOOKUP(B1144,Notes!$A$2:$B$37,2,FALSE)*1024,0) + C1144*16 + IF(D1144="",7,D1144)*2 + IF(E1144&gt;0, 1, 0))),","),"")</f>
        <v/>
      </c>
      <c r="X1144" s="21" t="str">
        <f>IF(J1144&gt;0,CONCATENATE("0x",(DEC2HEX(IF(I1144&lt;&gt;"",VLOOKUP(I1144,Notes!$A$2:$B$37,2,FALSE)*1024,0) + J1144*16 + IF(K1144="",7,K1144)*2 + IF(L1144&gt;0, 1, 0))),","),"")</f>
        <v/>
      </c>
      <c r="Y1144" s="21" t="str">
        <f>IF(Q1144&gt;0,CONCATENATE("0x",(DEC2HEX(IF(P1144&lt;&gt;"",VLOOKUP(P1144,Notes!$A$2:$B$37,2,FALSE)*1024,0) + Q1144*16 + IF(R1144="",7,R1144)*2 + IF(S1144&gt;0, 1, 0))),","),"")</f>
        <v/>
      </c>
    </row>
    <row r="1145" spans="2:25" x14ac:dyDescent="0.25">
      <c r="B1145" s="12"/>
      <c r="C1145" s="13"/>
      <c r="D1145" s="13"/>
      <c r="E1145" s="14"/>
      <c r="F1145" s="18">
        <f t="shared" si="102"/>
        <v>0</v>
      </c>
      <c r="G1145" s="1" t="str">
        <f t="shared" si="105"/>
        <v/>
      </c>
      <c r="I1145" s="12"/>
      <c r="J1145" s="13"/>
      <c r="K1145" s="13"/>
      <c r="L1145" s="14"/>
      <c r="M1145" s="18">
        <f t="shared" si="103"/>
        <v>0</v>
      </c>
      <c r="N1145" s="1" t="str">
        <f t="shared" si="106"/>
        <v/>
      </c>
      <c r="P1145" s="12"/>
      <c r="Q1145" s="13"/>
      <c r="R1145" s="13"/>
      <c r="S1145" s="14"/>
      <c r="T1145" s="18">
        <f t="shared" si="104"/>
        <v>0</v>
      </c>
      <c r="U1145" s="1" t="str">
        <f t="shared" si="107"/>
        <v/>
      </c>
      <c r="W1145" s="21" t="str">
        <f>IF(C1145&gt;0,CONCATENATE("0x",(DEC2HEX(IF(B1145&lt;&gt;"",VLOOKUP(B1145,Notes!$A$2:$B$37,2,FALSE)*1024,0) + C1145*16 + IF(D1145="",7,D1145)*2 + IF(E1145&gt;0, 1, 0))),","),"")</f>
        <v/>
      </c>
      <c r="X1145" s="21" t="str">
        <f>IF(J1145&gt;0,CONCATENATE("0x",(DEC2HEX(IF(I1145&lt;&gt;"",VLOOKUP(I1145,Notes!$A$2:$B$37,2,FALSE)*1024,0) + J1145*16 + IF(K1145="",7,K1145)*2 + IF(L1145&gt;0, 1, 0))),","),"")</f>
        <v/>
      </c>
      <c r="Y1145" s="21" t="str">
        <f>IF(Q1145&gt;0,CONCATENATE("0x",(DEC2HEX(IF(P1145&lt;&gt;"",VLOOKUP(P1145,Notes!$A$2:$B$37,2,FALSE)*1024,0) + Q1145*16 + IF(R1145="",7,R1145)*2 + IF(S1145&gt;0, 1, 0))),","),"")</f>
        <v/>
      </c>
    </row>
    <row r="1146" spans="2:25" x14ac:dyDescent="0.25">
      <c r="F1146" s="18">
        <f t="shared" si="102"/>
        <v>0</v>
      </c>
      <c r="G1146" s="1" t="str">
        <f t="shared" si="105"/>
        <v/>
      </c>
      <c r="M1146" s="18">
        <f t="shared" si="103"/>
        <v>0</v>
      </c>
      <c r="N1146" s="1" t="str">
        <f t="shared" si="106"/>
        <v/>
      </c>
      <c r="T1146" s="18">
        <f t="shared" si="104"/>
        <v>0</v>
      </c>
      <c r="U1146" s="1" t="str">
        <f t="shared" si="107"/>
        <v/>
      </c>
      <c r="W1146" s="21" t="str">
        <f>IF(C1146&gt;0,CONCATENATE("0x",(DEC2HEX(IF(B1146&lt;&gt;"",VLOOKUP(B1146,Notes!$A$2:$B$37,2,FALSE)*1024,0) + C1146*16 + IF(D1146="",7,D1146)*2 + IF(E1146&gt;0, 1, 0))),","),"")</f>
        <v/>
      </c>
      <c r="X1146" s="21" t="str">
        <f>IF(J1146&gt;0,CONCATENATE("0x",(DEC2HEX(IF(I1146&lt;&gt;"",VLOOKUP(I1146,Notes!$A$2:$B$37,2,FALSE)*1024,0) + J1146*16 + IF(K1146="",7,K1146)*2 + IF(L1146&gt;0, 1, 0))),","),"")</f>
        <v/>
      </c>
      <c r="Y1146" s="21" t="str">
        <f>IF(Q1146&gt;0,CONCATENATE("0x",(DEC2HEX(IF(P1146&lt;&gt;"",VLOOKUP(P1146,Notes!$A$2:$B$37,2,FALSE)*1024,0) + Q1146*16 + IF(R1146="",7,R1146)*2 + IF(S1146&gt;0, 1, 0))),","),"")</f>
        <v/>
      </c>
    </row>
    <row r="1147" spans="2:25" x14ac:dyDescent="0.25">
      <c r="F1147" s="18">
        <f t="shared" si="102"/>
        <v>0</v>
      </c>
      <c r="G1147" s="1" t="str">
        <f t="shared" si="105"/>
        <v/>
      </c>
      <c r="M1147" s="18">
        <f t="shared" si="103"/>
        <v>0</v>
      </c>
      <c r="N1147" s="1" t="str">
        <f t="shared" si="106"/>
        <v/>
      </c>
      <c r="T1147" s="18">
        <f t="shared" si="104"/>
        <v>0</v>
      </c>
      <c r="U1147" s="1" t="str">
        <f t="shared" si="107"/>
        <v/>
      </c>
      <c r="W1147" s="21" t="str">
        <f>IF(C1147&gt;0,CONCATENATE("0x",(DEC2HEX(IF(B1147&lt;&gt;"",VLOOKUP(B1147,Notes!$A$2:$B$37,2,FALSE)*1024,0) + C1147*16 + IF(D1147="",7,D1147)*2 + IF(E1147&gt;0, 1, 0))),","),"")</f>
        <v/>
      </c>
      <c r="X1147" s="21" t="str">
        <f>IF(J1147&gt;0,CONCATENATE("0x",(DEC2HEX(IF(I1147&lt;&gt;"",VLOOKUP(I1147,Notes!$A$2:$B$37,2,FALSE)*1024,0) + J1147*16 + IF(K1147="",7,K1147)*2 + IF(L1147&gt;0, 1, 0))),","),"")</f>
        <v/>
      </c>
      <c r="Y1147" s="21" t="str">
        <f>IF(Q1147&gt;0,CONCATENATE("0x",(DEC2HEX(IF(P1147&lt;&gt;"",VLOOKUP(P1147,Notes!$A$2:$B$37,2,FALSE)*1024,0) + Q1147*16 + IF(R1147="",7,R1147)*2 + IF(S1147&gt;0, 1, 0))),","),"")</f>
        <v/>
      </c>
    </row>
    <row r="1148" spans="2:25" x14ac:dyDescent="0.25">
      <c r="F1148" s="18">
        <f t="shared" si="102"/>
        <v>0</v>
      </c>
      <c r="G1148" s="1" t="str">
        <f t="shared" si="105"/>
        <v/>
      </c>
      <c r="M1148" s="18">
        <f t="shared" si="103"/>
        <v>0</v>
      </c>
      <c r="N1148" s="1" t="str">
        <f t="shared" si="106"/>
        <v/>
      </c>
      <c r="T1148" s="18">
        <f t="shared" si="104"/>
        <v>0</v>
      </c>
      <c r="U1148" s="1" t="str">
        <f t="shared" si="107"/>
        <v/>
      </c>
      <c r="W1148" s="21" t="str">
        <f>IF(C1148&gt;0,CONCATENATE("0x",(DEC2HEX(IF(B1148&lt;&gt;"",VLOOKUP(B1148,Notes!$A$2:$B$37,2,FALSE)*1024,0) + C1148*16 + IF(D1148="",7,D1148)*2 + IF(E1148&gt;0, 1, 0))),","),"")</f>
        <v/>
      </c>
      <c r="X1148" s="21" t="str">
        <f>IF(J1148&gt;0,CONCATENATE("0x",(DEC2HEX(IF(I1148&lt;&gt;"",VLOOKUP(I1148,Notes!$A$2:$B$37,2,FALSE)*1024,0) + J1148*16 + IF(K1148="",7,K1148)*2 + IF(L1148&gt;0, 1, 0))),","),"")</f>
        <v/>
      </c>
      <c r="Y1148" s="21" t="str">
        <f>IF(Q1148&gt;0,CONCATENATE("0x",(DEC2HEX(IF(P1148&lt;&gt;"",VLOOKUP(P1148,Notes!$A$2:$B$37,2,FALSE)*1024,0) + Q1148*16 + IF(R1148="",7,R1148)*2 + IF(S1148&gt;0, 1, 0))),","),"")</f>
        <v/>
      </c>
    </row>
    <row r="1149" spans="2:25" x14ac:dyDescent="0.25">
      <c r="F1149" s="18">
        <f t="shared" si="102"/>
        <v>0</v>
      </c>
      <c r="G1149" s="1" t="str">
        <f t="shared" si="105"/>
        <v/>
      </c>
      <c r="M1149" s="18">
        <f t="shared" si="103"/>
        <v>0</v>
      </c>
      <c r="N1149" s="1" t="str">
        <f t="shared" si="106"/>
        <v/>
      </c>
      <c r="T1149" s="18">
        <f t="shared" si="104"/>
        <v>0</v>
      </c>
      <c r="U1149" s="1" t="str">
        <f t="shared" si="107"/>
        <v/>
      </c>
      <c r="W1149" s="21" t="str">
        <f>IF(C1149&gt;0,CONCATENATE("0x",(DEC2HEX(IF(B1149&lt;&gt;"",VLOOKUP(B1149,Notes!$A$2:$B$37,2,FALSE)*1024,0) + C1149*16 + IF(D1149="",7,D1149)*2 + IF(E1149&gt;0, 1, 0))),","),"")</f>
        <v/>
      </c>
      <c r="X1149" s="21" t="str">
        <f>IF(J1149&gt;0,CONCATENATE("0x",(DEC2HEX(IF(I1149&lt;&gt;"",VLOOKUP(I1149,Notes!$A$2:$B$37,2,FALSE)*1024,0) + J1149*16 + IF(K1149="",7,K1149)*2 + IF(L1149&gt;0, 1, 0))),","),"")</f>
        <v/>
      </c>
      <c r="Y1149" s="21" t="str">
        <f>IF(Q1149&gt;0,CONCATENATE("0x",(DEC2HEX(IF(P1149&lt;&gt;"",VLOOKUP(P1149,Notes!$A$2:$B$37,2,FALSE)*1024,0) + Q1149*16 + IF(R1149="",7,R1149)*2 + IF(S1149&gt;0, 1, 0))),","),"")</f>
        <v/>
      </c>
    </row>
    <row r="1150" spans="2:25" x14ac:dyDescent="0.25">
      <c r="F1150" s="18">
        <f t="shared" si="102"/>
        <v>0</v>
      </c>
      <c r="G1150" s="1" t="str">
        <f t="shared" si="105"/>
        <v/>
      </c>
      <c r="M1150" s="18">
        <f t="shared" si="103"/>
        <v>0</v>
      </c>
      <c r="N1150" s="1" t="str">
        <f t="shared" si="106"/>
        <v/>
      </c>
      <c r="T1150" s="18">
        <f t="shared" si="104"/>
        <v>0</v>
      </c>
      <c r="U1150" s="1" t="str">
        <f t="shared" si="107"/>
        <v/>
      </c>
      <c r="W1150" s="21" t="str">
        <f>IF(C1150&gt;0,CONCATENATE("0x",(DEC2HEX(IF(B1150&lt;&gt;"",VLOOKUP(B1150,Notes!$A$2:$B$37,2,FALSE)*1024,0) + C1150*16 + IF(D1150="",7,D1150)*2 + IF(E1150&gt;0, 1, 0))),","),"")</f>
        <v/>
      </c>
      <c r="X1150" s="21" t="str">
        <f>IF(J1150&gt;0,CONCATENATE("0x",(DEC2HEX(IF(I1150&lt;&gt;"",VLOOKUP(I1150,Notes!$A$2:$B$37,2,FALSE)*1024,0) + J1150*16 + IF(K1150="",7,K1150)*2 + IF(L1150&gt;0, 1, 0))),","),"")</f>
        <v/>
      </c>
      <c r="Y1150" s="21" t="str">
        <f>IF(Q1150&gt;0,CONCATENATE("0x",(DEC2HEX(IF(P1150&lt;&gt;"",VLOOKUP(P1150,Notes!$A$2:$B$37,2,FALSE)*1024,0) + Q1150*16 + IF(R1150="",7,R1150)*2 + IF(S1150&gt;0, 1, 0))),","),"")</f>
        <v/>
      </c>
    </row>
    <row r="1151" spans="2:25" x14ac:dyDescent="0.25">
      <c r="F1151" s="18">
        <f t="shared" si="102"/>
        <v>0</v>
      </c>
      <c r="G1151" s="1" t="str">
        <f t="shared" si="105"/>
        <v/>
      </c>
      <c r="M1151" s="18">
        <f t="shared" si="103"/>
        <v>0</v>
      </c>
      <c r="N1151" s="1" t="str">
        <f t="shared" si="106"/>
        <v/>
      </c>
      <c r="T1151" s="18">
        <f t="shared" si="104"/>
        <v>0</v>
      </c>
      <c r="U1151" s="1" t="str">
        <f t="shared" si="107"/>
        <v/>
      </c>
      <c r="W1151" s="21" t="str">
        <f>IF(C1151&gt;0,CONCATENATE("0x",(DEC2HEX(IF(B1151&lt;&gt;"",VLOOKUP(B1151,Notes!$A$2:$B$37,2,FALSE)*1024,0) + C1151*16 + IF(D1151="",7,D1151)*2 + IF(E1151&gt;0, 1, 0))),","),"")</f>
        <v/>
      </c>
      <c r="X1151" s="21" t="str">
        <f>IF(J1151&gt;0,CONCATENATE("0x",(DEC2HEX(IF(I1151&lt;&gt;"",VLOOKUP(I1151,Notes!$A$2:$B$37,2,FALSE)*1024,0) + J1151*16 + IF(K1151="",7,K1151)*2 + IF(L1151&gt;0, 1, 0))),","),"")</f>
        <v/>
      </c>
      <c r="Y1151" s="21" t="str">
        <f>IF(Q1151&gt;0,CONCATENATE("0x",(DEC2HEX(IF(P1151&lt;&gt;"",VLOOKUP(P1151,Notes!$A$2:$B$37,2,FALSE)*1024,0) + Q1151*16 + IF(R1151="",7,R1151)*2 + IF(S1151&gt;0, 1, 0))),","),"")</f>
        <v/>
      </c>
    </row>
    <row r="1152" spans="2:25" x14ac:dyDescent="0.25">
      <c r="F1152" s="18">
        <f t="shared" si="102"/>
        <v>0</v>
      </c>
      <c r="G1152" s="1" t="str">
        <f t="shared" si="105"/>
        <v/>
      </c>
      <c r="M1152" s="18">
        <f t="shared" si="103"/>
        <v>0</v>
      </c>
      <c r="N1152" s="1" t="str">
        <f t="shared" si="106"/>
        <v/>
      </c>
      <c r="T1152" s="18">
        <f t="shared" si="104"/>
        <v>0</v>
      </c>
      <c r="U1152" s="1" t="str">
        <f t="shared" si="107"/>
        <v/>
      </c>
      <c r="W1152" s="21" t="str">
        <f>IF(C1152&gt;0,CONCATENATE("0x",(DEC2HEX(IF(B1152&lt;&gt;"",VLOOKUP(B1152,Notes!$A$2:$B$37,2,FALSE)*1024,0) + C1152*16 + IF(D1152="",7,D1152)*2 + IF(E1152&gt;0, 1, 0))),","),"")</f>
        <v/>
      </c>
      <c r="X1152" s="21" t="str">
        <f>IF(J1152&gt;0,CONCATENATE("0x",(DEC2HEX(IF(I1152&lt;&gt;"",VLOOKUP(I1152,Notes!$A$2:$B$37,2,FALSE)*1024,0) + J1152*16 + IF(K1152="",7,K1152)*2 + IF(L1152&gt;0, 1, 0))),","),"")</f>
        <v/>
      </c>
      <c r="Y1152" s="21" t="str">
        <f>IF(Q1152&gt;0,CONCATENATE("0x",(DEC2HEX(IF(P1152&lt;&gt;"",VLOOKUP(P1152,Notes!$A$2:$B$37,2,FALSE)*1024,0) + Q1152*16 + IF(R1152="",7,R1152)*2 + IF(S1152&gt;0, 1, 0))),","),"")</f>
        <v/>
      </c>
    </row>
    <row r="1153" spans="1:25" ht="16.5" thickBot="1" x14ac:dyDescent="0.3">
      <c r="B1153" s="15"/>
      <c r="C1153" s="16"/>
      <c r="D1153" s="16"/>
      <c r="E1153" s="17"/>
      <c r="F1153" s="18">
        <f t="shared" si="102"/>
        <v>0</v>
      </c>
      <c r="G1153" s="1" t="str">
        <f t="shared" si="105"/>
        <v/>
      </c>
      <c r="I1153" s="15"/>
      <c r="J1153" s="16"/>
      <c r="K1153" s="16"/>
      <c r="L1153" s="17"/>
      <c r="M1153" s="18">
        <f t="shared" si="103"/>
        <v>0</v>
      </c>
      <c r="N1153" s="1" t="str">
        <f t="shared" si="106"/>
        <v/>
      </c>
      <c r="P1153" s="15"/>
      <c r="Q1153" s="16"/>
      <c r="R1153" s="16"/>
      <c r="S1153" s="17"/>
      <c r="T1153" s="18">
        <f t="shared" si="104"/>
        <v>0</v>
      </c>
      <c r="U1153" s="1" t="str">
        <f t="shared" si="107"/>
        <v/>
      </c>
      <c r="W1153" s="21" t="str">
        <f>IF(C1153&gt;0,CONCATENATE("0x",(DEC2HEX(IF(B1153&lt;&gt;"",VLOOKUP(B1153,Notes!$A$2:$B$37,2,FALSE)*1024,0) + C1153*16 + IF(D1153="",7,D1153)*2 + IF(E1153&gt;0, 1, 0))),","),"")</f>
        <v/>
      </c>
      <c r="X1153" s="21" t="str">
        <f>IF(J1153&gt;0,CONCATENATE("0x",(DEC2HEX(IF(I1153&lt;&gt;"",VLOOKUP(I1153,Notes!$A$2:$B$37,2,FALSE)*1024,0) + J1153*16 + IF(K1153="",7,K1153)*2 + IF(L1153&gt;0, 1, 0))),","),"")</f>
        <v/>
      </c>
      <c r="Y1153" s="21" t="str">
        <f>IF(Q1153&gt;0,CONCATENATE("0x",(DEC2HEX(IF(P1153&lt;&gt;"",VLOOKUP(P1153,Notes!$A$2:$B$37,2,FALSE)*1024,0) + Q1153*16 + IF(R1153="",7,R1153)*2 + IF(S1153&gt;0, 1, 0))),","),"")</f>
        <v/>
      </c>
    </row>
    <row r="1154" spans="1:25" ht="16.5" thickTop="1" x14ac:dyDescent="0.25">
      <c r="A1154" s="1">
        <v>37</v>
      </c>
      <c r="F1154" s="18">
        <f t="shared" si="102"/>
        <v>0</v>
      </c>
      <c r="G1154" s="1" t="str">
        <f t="shared" si="105"/>
        <v/>
      </c>
      <c r="M1154" s="18">
        <f t="shared" si="103"/>
        <v>0</v>
      </c>
      <c r="N1154" s="1" t="str">
        <f t="shared" si="106"/>
        <v/>
      </c>
      <c r="T1154" s="18">
        <f t="shared" si="104"/>
        <v>0</v>
      </c>
      <c r="U1154" s="1" t="str">
        <f t="shared" si="107"/>
        <v/>
      </c>
      <c r="W1154" s="21" t="str">
        <f>IF(C1154&gt;0,CONCATENATE("0x",(DEC2HEX(IF(B1154&lt;&gt;"",VLOOKUP(B1154,Notes!$A$2:$B$37,2,FALSE)*1024,0) + C1154*16 + IF(D1154="",7,D1154)*2 + IF(E1154&gt;0, 1, 0))),","),"")</f>
        <v/>
      </c>
      <c r="X1154" s="21" t="str">
        <f>IF(J1154&gt;0,CONCATENATE("0x",(DEC2HEX(IF(I1154&lt;&gt;"",VLOOKUP(I1154,Notes!$A$2:$B$37,2,FALSE)*1024,0) + J1154*16 + IF(K1154="",7,K1154)*2 + IF(L1154&gt;0, 1, 0))),","),"")</f>
        <v/>
      </c>
      <c r="Y1154" s="21" t="str">
        <f>IF(Q1154&gt;0,CONCATENATE("0x",(DEC2HEX(IF(P1154&lt;&gt;"",VLOOKUP(P1154,Notes!$A$2:$B$37,2,FALSE)*1024,0) + Q1154*16 + IF(R1154="",7,R1154)*2 + IF(S1154&gt;0, 1, 0))),","),"")</f>
        <v/>
      </c>
    </row>
    <row r="1155" spans="1:25" x14ac:dyDescent="0.25">
      <c r="F1155" s="18">
        <f t="shared" ref="F1155:F1218" si="108">IF(C1155&gt;0, C1155, MAX(F1154-1,0))</f>
        <v>0</v>
      </c>
      <c r="G1155" s="1" t="str">
        <f t="shared" si="105"/>
        <v/>
      </c>
      <c r="M1155" s="18">
        <f t="shared" ref="M1155:M1218" si="109">IF(J1155&gt;0, J1155, MAX(M1154-1,0))</f>
        <v>0</v>
      </c>
      <c r="N1155" s="1" t="str">
        <f t="shared" si="106"/>
        <v/>
      </c>
      <c r="T1155" s="18">
        <f t="shared" ref="T1155:T1218" si="110">IF(Q1155&gt;0, Q1155, MAX(T1154-1,0))</f>
        <v>0</v>
      </c>
      <c r="U1155" s="1" t="str">
        <f t="shared" si="107"/>
        <v/>
      </c>
      <c r="W1155" s="21" t="str">
        <f>IF(C1155&gt;0,CONCATENATE("0x",(DEC2HEX(IF(B1155&lt;&gt;"",VLOOKUP(B1155,Notes!$A$2:$B$37,2,FALSE)*1024,0) + C1155*16 + IF(D1155="",7,D1155)*2 + IF(E1155&gt;0, 1, 0))),","),"")</f>
        <v/>
      </c>
      <c r="X1155" s="21" t="str">
        <f>IF(J1155&gt;0,CONCATENATE("0x",(DEC2HEX(IF(I1155&lt;&gt;"",VLOOKUP(I1155,Notes!$A$2:$B$37,2,FALSE)*1024,0) + J1155*16 + IF(K1155="",7,K1155)*2 + IF(L1155&gt;0, 1, 0))),","),"")</f>
        <v/>
      </c>
      <c r="Y1155" s="21" t="str">
        <f>IF(Q1155&gt;0,CONCATENATE("0x",(DEC2HEX(IF(P1155&lt;&gt;"",VLOOKUP(P1155,Notes!$A$2:$B$37,2,FALSE)*1024,0) + Q1155*16 + IF(R1155="",7,R1155)*2 + IF(S1155&gt;0, 1, 0))),","),"")</f>
        <v/>
      </c>
    </row>
    <row r="1156" spans="1:25" x14ac:dyDescent="0.25">
      <c r="F1156" s="18">
        <f t="shared" si="108"/>
        <v>0</v>
      </c>
      <c r="G1156" s="1" t="str">
        <f t="shared" ref="G1156:G1219" si="111">IF(AND(F1155&gt;1,C1156&gt;0), "OVERLAPPING","")</f>
        <v/>
      </c>
      <c r="M1156" s="18">
        <f t="shared" si="109"/>
        <v>0</v>
      </c>
      <c r="N1156" s="1" t="str">
        <f t="shared" ref="N1156:N1219" si="112">IF(AND(M1155&gt;1,J1156&gt;0), "OVERLAPPING","")</f>
        <v/>
      </c>
      <c r="T1156" s="18">
        <f t="shared" si="110"/>
        <v>0</v>
      </c>
      <c r="U1156" s="1" t="str">
        <f t="shared" ref="U1156:U1219" si="113">IF(AND(T1155&gt;1,Q1156&gt;0), "OVERLAPPING","")</f>
        <v/>
      </c>
      <c r="W1156" s="21" t="str">
        <f>IF(C1156&gt;0,CONCATENATE("0x",(DEC2HEX(IF(B1156&lt;&gt;"",VLOOKUP(B1156,Notes!$A$2:$B$37,2,FALSE)*1024,0) + C1156*16 + IF(D1156="",7,D1156)*2 + IF(E1156&gt;0, 1, 0))),","),"")</f>
        <v/>
      </c>
      <c r="X1156" s="21" t="str">
        <f>IF(J1156&gt;0,CONCATENATE("0x",(DEC2HEX(IF(I1156&lt;&gt;"",VLOOKUP(I1156,Notes!$A$2:$B$37,2,FALSE)*1024,0) + J1156*16 + IF(K1156="",7,K1156)*2 + IF(L1156&gt;0, 1, 0))),","),"")</f>
        <v/>
      </c>
      <c r="Y1156" s="21" t="str">
        <f>IF(Q1156&gt;0,CONCATENATE("0x",(DEC2HEX(IF(P1156&lt;&gt;"",VLOOKUP(P1156,Notes!$A$2:$B$37,2,FALSE)*1024,0) + Q1156*16 + IF(R1156="",7,R1156)*2 + IF(S1156&gt;0, 1, 0))),","),"")</f>
        <v/>
      </c>
    </row>
    <row r="1157" spans="1:25" x14ac:dyDescent="0.25">
      <c r="F1157" s="18">
        <f t="shared" si="108"/>
        <v>0</v>
      </c>
      <c r="G1157" s="1" t="str">
        <f t="shared" si="111"/>
        <v/>
      </c>
      <c r="M1157" s="18">
        <f t="shared" si="109"/>
        <v>0</v>
      </c>
      <c r="N1157" s="1" t="str">
        <f t="shared" si="112"/>
        <v/>
      </c>
      <c r="T1157" s="18">
        <f t="shared" si="110"/>
        <v>0</v>
      </c>
      <c r="U1157" s="1" t="str">
        <f t="shared" si="113"/>
        <v/>
      </c>
      <c r="W1157" s="21" t="str">
        <f>IF(C1157&gt;0,CONCATENATE("0x",(DEC2HEX(IF(B1157&lt;&gt;"",VLOOKUP(B1157,Notes!$A$2:$B$37,2,FALSE)*1024,0) + C1157*16 + IF(D1157="",7,D1157)*2 + IF(E1157&gt;0, 1, 0))),","),"")</f>
        <v/>
      </c>
      <c r="X1157" s="21" t="str">
        <f>IF(J1157&gt;0,CONCATENATE("0x",(DEC2HEX(IF(I1157&lt;&gt;"",VLOOKUP(I1157,Notes!$A$2:$B$37,2,FALSE)*1024,0) + J1157*16 + IF(K1157="",7,K1157)*2 + IF(L1157&gt;0, 1, 0))),","),"")</f>
        <v/>
      </c>
      <c r="Y1157" s="21" t="str">
        <f>IF(Q1157&gt;0,CONCATENATE("0x",(DEC2HEX(IF(P1157&lt;&gt;"",VLOOKUP(P1157,Notes!$A$2:$B$37,2,FALSE)*1024,0) + Q1157*16 + IF(R1157="",7,R1157)*2 + IF(S1157&gt;0, 1, 0))),","),"")</f>
        <v/>
      </c>
    </row>
    <row r="1158" spans="1:25" x14ac:dyDescent="0.25">
      <c r="F1158" s="18">
        <f t="shared" si="108"/>
        <v>0</v>
      </c>
      <c r="G1158" s="1" t="str">
        <f t="shared" si="111"/>
        <v/>
      </c>
      <c r="M1158" s="18">
        <f t="shared" si="109"/>
        <v>0</v>
      </c>
      <c r="N1158" s="1" t="str">
        <f t="shared" si="112"/>
        <v/>
      </c>
      <c r="T1158" s="18">
        <f t="shared" si="110"/>
        <v>0</v>
      </c>
      <c r="U1158" s="1" t="str">
        <f t="shared" si="113"/>
        <v/>
      </c>
      <c r="W1158" s="21" t="str">
        <f>IF(C1158&gt;0,CONCATENATE("0x",(DEC2HEX(IF(B1158&lt;&gt;"",VLOOKUP(B1158,Notes!$A$2:$B$37,2,FALSE)*1024,0) + C1158*16 + IF(D1158="",7,D1158)*2 + IF(E1158&gt;0, 1, 0))),","),"")</f>
        <v/>
      </c>
      <c r="X1158" s="21" t="str">
        <f>IF(J1158&gt;0,CONCATENATE("0x",(DEC2HEX(IF(I1158&lt;&gt;"",VLOOKUP(I1158,Notes!$A$2:$B$37,2,FALSE)*1024,0) + J1158*16 + IF(K1158="",7,K1158)*2 + IF(L1158&gt;0, 1, 0))),","),"")</f>
        <v/>
      </c>
      <c r="Y1158" s="21" t="str">
        <f>IF(Q1158&gt;0,CONCATENATE("0x",(DEC2HEX(IF(P1158&lt;&gt;"",VLOOKUP(P1158,Notes!$A$2:$B$37,2,FALSE)*1024,0) + Q1158*16 + IF(R1158="",7,R1158)*2 + IF(S1158&gt;0, 1, 0))),","),"")</f>
        <v/>
      </c>
    </row>
    <row r="1159" spans="1:25" x14ac:dyDescent="0.25">
      <c r="F1159" s="18">
        <f t="shared" si="108"/>
        <v>0</v>
      </c>
      <c r="G1159" s="1" t="str">
        <f t="shared" si="111"/>
        <v/>
      </c>
      <c r="M1159" s="18">
        <f t="shared" si="109"/>
        <v>0</v>
      </c>
      <c r="N1159" s="1" t="str">
        <f t="shared" si="112"/>
        <v/>
      </c>
      <c r="T1159" s="18">
        <f t="shared" si="110"/>
        <v>0</v>
      </c>
      <c r="U1159" s="1" t="str">
        <f t="shared" si="113"/>
        <v/>
      </c>
      <c r="W1159" s="21" t="str">
        <f>IF(C1159&gt;0,CONCATENATE("0x",(DEC2HEX(IF(B1159&lt;&gt;"",VLOOKUP(B1159,Notes!$A$2:$B$37,2,FALSE)*1024,0) + C1159*16 + IF(D1159="",7,D1159)*2 + IF(E1159&gt;0, 1, 0))),","),"")</f>
        <v/>
      </c>
      <c r="X1159" s="21" t="str">
        <f>IF(J1159&gt;0,CONCATENATE("0x",(DEC2HEX(IF(I1159&lt;&gt;"",VLOOKUP(I1159,Notes!$A$2:$B$37,2,FALSE)*1024,0) + J1159*16 + IF(K1159="",7,K1159)*2 + IF(L1159&gt;0, 1, 0))),","),"")</f>
        <v/>
      </c>
      <c r="Y1159" s="21" t="str">
        <f>IF(Q1159&gt;0,CONCATENATE("0x",(DEC2HEX(IF(P1159&lt;&gt;"",VLOOKUP(P1159,Notes!$A$2:$B$37,2,FALSE)*1024,0) + Q1159*16 + IF(R1159="",7,R1159)*2 + IF(S1159&gt;0, 1, 0))),","),"")</f>
        <v/>
      </c>
    </row>
    <row r="1160" spans="1:25" x14ac:dyDescent="0.25">
      <c r="F1160" s="18">
        <f t="shared" si="108"/>
        <v>0</v>
      </c>
      <c r="G1160" s="1" t="str">
        <f t="shared" si="111"/>
        <v/>
      </c>
      <c r="M1160" s="18">
        <f t="shared" si="109"/>
        <v>0</v>
      </c>
      <c r="N1160" s="1" t="str">
        <f t="shared" si="112"/>
        <v/>
      </c>
      <c r="T1160" s="18">
        <f t="shared" si="110"/>
        <v>0</v>
      </c>
      <c r="U1160" s="1" t="str">
        <f t="shared" si="113"/>
        <v/>
      </c>
      <c r="W1160" s="21" t="str">
        <f>IF(C1160&gt;0,CONCATENATE("0x",(DEC2HEX(IF(B1160&lt;&gt;"",VLOOKUP(B1160,Notes!$A$2:$B$37,2,FALSE)*1024,0) + C1160*16 + IF(D1160="",7,D1160)*2 + IF(E1160&gt;0, 1, 0))),","),"")</f>
        <v/>
      </c>
      <c r="X1160" s="21" t="str">
        <f>IF(J1160&gt;0,CONCATENATE("0x",(DEC2HEX(IF(I1160&lt;&gt;"",VLOOKUP(I1160,Notes!$A$2:$B$37,2,FALSE)*1024,0) + J1160*16 + IF(K1160="",7,K1160)*2 + IF(L1160&gt;0, 1, 0))),","),"")</f>
        <v/>
      </c>
      <c r="Y1160" s="21" t="str">
        <f>IF(Q1160&gt;0,CONCATENATE("0x",(DEC2HEX(IF(P1160&lt;&gt;"",VLOOKUP(P1160,Notes!$A$2:$B$37,2,FALSE)*1024,0) + Q1160*16 + IF(R1160="",7,R1160)*2 + IF(S1160&gt;0, 1, 0))),","),"")</f>
        <v/>
      </c>
    </row>
    <row r="1161" spans="1:25" x14ac:dyDescent="0.25">
      <c r="B1161" s="12"/>
      <c r="C1161" s="13"/>
      <c r="D1161" s="13"/>
      <c r="E1161" s="14"/>
      <c r="F1161" s="18">
        <f t="shared" si="108"/>
        <v>0</v>
      </c>
      <c r="G1161" s="1" t="str">
        <f t="shared" si="111"/>
        <v/>
      </c>
      <c r="I1161" s="12"/>
      <c r="J1161" s="13"/>
      <c r="K1161" s="13"/>
      <c r="L1161" s="14"/>
      <c r="M1161" s="18">
        <f t="shared" si="109"/>
        <v>0</v>
      </c>
      <c r="N1161" s="1" t="str">
        <f t="shared" si="112"/>
        <v/>
      </c>
      <c r="P1161" s="12"/>
      <c r="Q1161" s="13"/>
      <c r="R1161" s="13"/>
      <c r="S1161" s="14"/>
      <c r="T1161" s="18">
        <f t="shared" si="110"/>
        <v>0</v>
      </c>
      <c r="U1161" s="1" t="str">
        <f t="shared" si="113"/>
        <v/>
      </c>
      <c r="W1161" s="21" t="str">
        <f>IF(C1161&gt;0,CONCATENATE("0x",(DEC2HEX(IF(B1161&lt;&gt;"",VLOOKUP(B1161,Notes!$A$2:$B$37,2,FALSE)*1024,0) + C1161*16 + IF(D1161="",7,D1161)*2 + IF(E1161&gt;0, 1, 0))),","),"")</f>
        <v/>
      </c>
      <c r="X1161" s="21" t="str">
        <f>IF(J1161&gt;0,CONCATENATE("0x",(DEC2HEX(IF(I1161&lt;&gt;"",VLOOKUP(I1161,Notes!$A$2:$B$37,2,FALSE)*1024,0) + J1161*16 + IF(K1161="",7,K1161)*2 + IF(L1161&gt;0, 1, 0))),","),"")</f>
        <v/>
      </c>
      <c r="Y1161" s="21" t="str">
        <f>IF(Q1161&gt;0,CONCATENATE("0x",(DEC2HEX(IF(P1161&lt;&gt;"",VLOOKUP(P1161,Notes!$A$2:$B$37,2,FALSE)*1024,0) + Q1161*16 + IF(R1161="",7,R1161)*2 + IF(S1161&gt;0, 1, 0))),","),"")</f>
        <v/>
      </c>
    </row>
    <row r="1162" spans="1:25" x14ac:dyDescent="0.25">
      <c r="F1162" s="18">
        <f t="shared" si="108"/>
        <v>0</v>
      </c>
      <c r="G1162" s="1" t="str">
        <f t="shared" si="111"/>
        <v/>
      </c>
      <c r="M1162" s="18">
        <f t="shared" si="109"/>
        <v>0</v>
      </c>
      <c r="N1162" s="1" t="str">
        <f t="shared" si="112"/>
        <v/>
      </c>
      <c r="T1162" s="18">
        <f t="shared" si="110"/>
        <v>0</v>
      </c>
      <c r="U1162" s="1" t="str">
        <f t="shared" si="113"/>
        <v/>
      </c>
      <c r="W1162" s="21" t="str">
        <f>IF(C1162&gt;0,CONCATENATE("0x",(DEC2HEX(IF(B1162&lt;&gt;"",VLOOKUP(B1162,Notes!$A$2:$B$37,2,FALSE)*1024,0) + C1162*16 + IF(D1162="",7,D1162)*2 + IF(E1162&gt;0, 1, 0))),","),"")</f>
        <v/>
      </c>
      <c r="X1162" s="21" t="str">
        <f>IF(J1162&gt;0,CONCATENATE("0x",(DEC2HEX(IF(I1162&lt;&gt;"",VLOOKUP(I1162,Notes!$A$2:$B$37,2,FALSE)*1024,0) + J1162*16 + IF(K1162="",7,K1162)*2 + IF(L1162&gt;0, 1, 0))),","),"")</f>
        <v/>
      </c>
      <c r="Y1162" s="21" t="str">
        <f>IF(Q1162&gt;0,CONCATENATE("0x",(DEC2HEX(IF(P1162&lt;&gt;"",VLOOKUP(P1162,Notes!$A$2:$B$37,2,FALSE)*1024,0) + Q1162*16 + IF(R1162="",7,R1162)*2 + IF(S1162&gt;0, 1, 0))),","),"")</f>
        <v/>
      </c>
    </row>
    <row r="1163" spans="1:25" x14ac:dyDescent="0.25">
      <c r="F1163" s="18">
        <f t="shared" si="108"/>
        <v>0</v>
      </c>
      <c r="G1163" s="1" t="str">
        <f t="shared" si="111"/>
        <v/>
      </c>
      <c r="M1163" s="18">
        <f t="shared" si="109"/>
        <v>0</v>
      </c>
      <c r="N1163" s="1" t="str">
        <f t="shared" si="112"/>
        <v/>
      </c>
      <c r="T1163" s="18">
        <f t="shared" si="110"/>
        <v>0</v>
      </c>
      <c r="U1163" s="1" t="str">
        <f t="shared" si="113"/>
        <v/>
      </c>
      <c r="W1163" s="21" t="str">
        <f>IF(C1163&gt;0,CONCATENATE("0x",(DEC2HEX(IF(B1163&lt;&gt;"",VLOOKUP(B1163,Notes!$A$2:$B$37,2,FALSE)*1024,0) + C1163*16 + IF(D1163="",7,D1163)*2 + IF(E1163&gt;0, 1, 0))),","),"")</f>
        <v/>
      </c>
      <c r="X1163" s="21" t="str">
        <f>IF(J1163&gt;0,CONCATENATE("0x",(DEC2HEX(IF(I1163&lt;&gt;"",VLOOKUP(I1163,Notes!$A$2:$B$37,2,FALSE)*1024,0) + J1163*16 + IF(K1163="",7,K1163)*2 + IF(L1163&gt;0, 1, 0))),","),"")</f>
        <v/>
      </c>
      <c r="Y1163" s="21" t="str">
        <f>IF(Q1163&gt;0,CONCATENATE("0x",(DEC2HEX(IF(P1163&lt;&gt;"",VLOOKUP(P1163,Notes!$A$2:$B$37,2,FALSE)*1024,0) + Q1163*16 + IF(R1163="",7,R1163)*2 + IF(S1163&gt;0, 1, 0))),","),"")</f>
        <v/>
      </c>
    </row>
    <row r="1164" spans="1:25" x14ac:dyDescent="0.25">
      <c r="F1164" s="18">
        <f t="shared" si="108"/>
        <v>0</v>
      </c>
      <c r="G1164" s="1" t="str">
        <f t="shared" si="111"/>
        <v/>
      </c>
      <c r="M1164" s="18">
        <f t="shared" si="109"/>
        <v>0</v>
      </c>
      <c r="N1164" s="1" t="str">
        <f t="shared" si="112"/>
        <v/>
      </c>
      <c r="T1164" s="18">
        <f t="shared" si="110"/>
        <v>0</v>
      </c>
      <c r="U1164" s="1" t="str">
        <f t="shared" si="113"/>
        <v/>
      </c>
      <c r="W1164" s="21" t="str">
        <f>IF(C1164&gt;0,CONCATENATE("0x",(DEC2HEX(IF(B1164&lt;&gt;"",VLOOKUP(B1164,Notes!$A$2:$B$37,2,FALSE)*1024,0) + C1164*16 + IF(D1164="",7,D1164)*2 + IF(E1164&gt;0, 1, 0))),","),"")</f>
        <v/>
      </c>
      <c r="X1164" s="21" t="str">
        <f>IF(J1164&gt;0,CONCATENATE("0x",(DEC2HEX(IF(I1164&lt;&gt;"",VLOOKUP(I1164,Notes!$A$2:$B$37,2,FALSE)*1024,0) + J1164*16 + IF(K1164="",7,K1164)*2 + IF(L1164&gt;0, 1, 0))),","),"")</f>
        <v/>
      </c>
      <c r="Y1164" s="21" t="str">
        <f>IF(Q1164&gt;0,CONCATENATE("0x",(DEC2HEX(IF(P1164&lt;&gt;"",VLOOKUP(P1164,Notes!$A$2:$B$37,2,FALSE)*1024,0) + Q1164*16 + IF(R1164="",7,R1164)*2 + IF(S1164&gt;0, 1, 0))),","),"")</f>
        <v/>
      </c>
    </row>
    <row r="1165" spans="1:25" x14ac:dyDescent="0.25">
      <c r="F1165" s="18">
        <f t="shared" si="108"/>
        <v>0</v>
      </c>
      <c r="G1165" s="1" t="str">
        <f t="shared" si="111"/>
        <v/>
      </c>
      <c r="M1165" s="18">
        <f t="shared" si="109"/>
        <v>0</v>
      </c>
      <c r="N1165" s="1" t="str">
        <f t="shared" si="112"/>
        <v/>
      </c>
      <c r="T1165" s="18">
        <f t="shared" si="110"/>
        <v>0</v>
      </c>
      <c r="U1165" s="1" t="str">
        <f t="shared" si="113"/>
        <v/>
      </c>
      <c r="W1165" s="21" t="str">
        <f>IF(C1165&gt;0,CONCATENATE("0x",(DEC2HEX(IF(B1165&lt;&gt;"",VLOOKUP(B1165,Notes!$A$2:$B$37,2,FALSE)*1024,0) + C1165*16 + IF(D1165="",7,D1165)*2 + IF(E1165&gt;0, 1, 0))),","),"")</f>
        <v/>
      </c>
      <c r="X1165" s="21" t="str">
        <f>IF(J1165&gt;0,CONCATENATE("0x",(DEC2HEX(IF(I1165&lt;&gt;"",VLOOKUP(I1165,Notes!$A$2:$B$37,2,FALSE)*1024,0) + J1165*16 + IF(K1165="",7,K1165)*2 + IF(L1165&gt;0, 1, 0))),","),"")</f>
        <v/>
      </c>
      <c r="Y1165" s="21" t="str">
        <f>IF(Q1165&gt;0,CONCATENATE("0x",(DEC2HEX(IF(P1165&lt;&gt;"",VLOOKUP(P1165,Notes!$A$2:$B$37,2,FALSE)*1024,0) + Q1165*16 + IF(R1165="",7,R1165)*2 + IF(S1165&gt;0, 1, 0))),","),"")</f>
        <v/>
      </c>
    </row>
    <row r="1166" spans="1:25" x14ac:dyDescent="0.25">
      <c r="F1166" s="18">
        <f t="shared" si="108"/>
        <v>0</v>
      </c>
      <c r="G1166" s="1" t="str">
        <f t="shared" si="111"/>
        <v/>
      </c>
      <c r="M1166" s="18">
        <f t="shared" si="109"/>
        <v>0</v>
      </c>
      <c r="N1166" s="1" t="str">
        <f t="shared" si="112"/>
        <v/>
      </c>
      <c r="T1166" s="18">
        <f t="shared" si="110"/>
        <v>0</v>
      </c>
      <c r="U1166" s="1" t="str">
        <f t="shared" si="113"/>
        <v/>
      </c>
      <c r="W1166" s="21" t="str">
        <f>IF(C1166&gt;0,CONCATENATE("0x",(DEC2HEX(IF(B1166&lt;&gt;"",VLOOKUP(B1166,Notes!$A$2:$B$37,2,FALSE)*1024,0) + C1166*16 + IF(D1166="",7,D1166)*2 + IF(E1166&gt;0, 1, 0))),","),"")</f>
        <v/>
      </c>
      <c r="X1166" s="21" t="str">
        <f>IF(J1166&gt;0,CONCATENATE("0x",(DEC2HEX(IF(I1166&lt;&gt;"",VLOOKUP(I1166,Notes!$A$2:$B$37,2,FALSE)*1024,0) + J1166*16 + IF(K1166="",7,K1166)*2 + IF(L1166&gt;0, 1, 0))),","),"")</f>
        <v/>
      </c>
      <c r="Y1166" s="21" t="str">
        <f>IF(Q1166&gt;0,CONCATENATE("0x",(DEC2HEX(IF(P1166&lt;&gt;"",VLOOKUP(P1166,Notes!$A$2:$B$37,2,FALSE)*1024,0) + Q1166*16 + IF(R1166="",7,R1166)*2 + IF(S1166&gt;0, 1, 0))),","),"")</f>
        <v/>
      </c>
    </row>
    <row r="1167" spans="1:25" x14ac:dyDescent="0.25">
      <c r="F1167" s="18">
        <f t="shared" si="108"/>
        <v>0</v>
      </c>
      <c r="G1167" s="1" t="str">
        <f t="shared" si="111"/>
        <v/>
      </c>
      <c r="M1167" s="18">
        <f t="shared" si="109"/>
        <v>0</v>
      </c>
      <c r="N1167" s="1" t="str">
        <f t="shared" si="112"/>
        <v/>
      </c>
      <c r="T1167" s="18">
        <f t="shared" si="110"/>
        <v>0</v>
      </c>
      <c r="U1167" s="1" t="str">
        <f t="shared" si="113"/>
        <v/>
      </c>
      <c r="W1167" s="21" t="str">
        <f>IF(C1167&gt;0,CONCATENATE("0x",(DEC2HEX(IF(B1167&lt;&gt;"",VLOOKUP(B1167,Notes!$A$2:$B$37,2,FALSE)*1024,0) + C1167*16 + IF(D1167="",7,D1167)*2 + IF(E1167&gt;0, 1, 0))),","),"")</f>
        <v/>
      </c>
      <c r="X1167" s="21" t="str">
        <f>IF(J1167&gt;0,CONCATENATE("0x",(DEC2HEX(IF(I1167&lt;&gt;"",VLOOKUP(I1167,Notes!$A$2:$B$37,2,FALSE)*1024,0) + J1167*16 + IF(K1167="",7,K1167)*2 + IF(L1167&gt;0, 1, 0))),","),"")</f>
        <v/>
      </c>
      <c r="Y1167" s="21" t="str">
        <f>IF(Q1167&gt;0,CONCATENATE("0x",(DEC2HEX(IF(P1167&lt;&gt;"",VLOOKUP(P1167,Notes!$A$2:$B$37,2,FALSE)*1024,0) + Q1167*16 + IF(R1167="",7,R1167)*2 + IF(S1167&gt;0, 1, 0))),","),"")</f>
        <v/>
      </c>
    </row>
    <row r="1168" spans="1:25" x14ac:dyDescent="0.25">
      <c r="F1168" s="18">
        <f t="shared" si="108"/>
        <v>0</v>
      </c>
      <c r="G1168" s="1" t="str">
        <f t="shared" si="111"/>
        <v/>
      </c>
      <c r="M1168" s="18">
        <f t="shared" si="109"/>
        <v>0</v>
      </c>
      <c r="N1168" s="1" t="str">
        <f t="shared" si="112"/>
        <v/>
      </c>
      <c r="T1168" s="18">
        <f t="shared" si="110"/>
        <v>0</v>
      </c>
      <c r="U1168" s="1" t="str">
        <f t="shared" si="113"/>
        <v/>
      </c>
      <c r="W1168" s="21" t="str">
        <f>IF(C1168&gt;0,CONCATENATE("0x",(DEC2HEX(IF(B1168&lt;&gt;"",VLOOKUP(B1168,Notes!$A$2:$B$37,2,FALSE)*1024,0) + C1168*16 + IF(D1168="",7,D1168)*2 + IF(E1168&gt;0, 1, 0))),","),"")</f>
        <v/>
      </c>
      <c r="X1168" s="21" t="str">
        <f>IF(J1168&gt;0,CONCATENATE("0x",(DEC2HEX(IF(I1168&lt;&gt;"",VLOOKUP(I1168,Notes!$A$2:$B$37,2,FALSE)*1024,0) + J1168*16 + IF(K1168="",7,K1168)*2 + IF(L1168&gt;0, 1, 0))),","),"")</f>
        <v/>
      </c>
      <c r="Y1168" s="21" t="str">
        <f>IF(Q1168&gt;0,CONCATENATE("0x",(DEC2HEX(IF(P1168&lt;&gt;"",VLOOKUP(P1168,Notes!$A$2:$B$37,2,FALSE)*1024,0) + Q1168*16 + IF(R1168="",7,R1168)*2 + IF(S1168&gt;0, 1, 0))),","),"")</f>
        <v/>
      </c>
    </row>
    <row r="1169" spans="2:25" x14ac:dyDescent="0.25">
      <c r="B1169" s="12"/>
      <c r="C1169" s="13"/>
      <c r="D1169" s="13"/>
      <c r="E1169" s="14"/>
      <c r="F1169" s="18">
        <f t="shared" si="108"/>
        <v>0</v>
      </c>
      <c r="G1169" s="1" t="str">
        <f t="shared" si="111"/>
        <v/>
      </c>
      <c r="I1169" s="12"/>
      <c r="J1169" s="13"/>
      <c r="K1169" s="13"/>
      <c r="L1169" s="14"/>
      <c r="M1169" s="18">
        <f t="shared" si="109"/>
        <v>0</v>
      </c>
      <c r="N1169" s="1" t="str">
        <f t="shared" si="112"/>
        <v/>
      </c>
      <c r="P1169" s="12"/>
      <c r="Q1169" s="13"/>
      <c r="R1169" s="13"/>
      <c r="S1169" s="14"/>
      <c r="T1169" s="18">
        <f t="shared" si="110"/>
        <v>0</v>
      </c>
      <c r="U1169" s="1" t="str">
        <f t="shared" si="113"/>
        <v/>
      </c>
      <c r="W1169" s="21" t="str">
        <f>IF(C1169&gt;0,CONCATENATE("0x",(DEC2HEX(IF(B1169&lt;&gt;"",VLOOKUP(B1169,Notes!$A$2:$B$37,2,FALSE)*1024,0) + C1169*16 + IF(D1169="",7,D1169)*2 + IF(E1169&gt;0, 1, 0))),","),"")</f>
        <v/>
      </c>
      <c r="X1169" s="21" t="str">
        <f>IF(J1169&gt;0,CONCATENATE("0x",(DEC2HEX(IF(I1169&lt;&gt;"",VLOOKUP(I1169,Notes!$A$2:$B$37,2,FALSE)*1024,0) + J1169*16 + IF(K1169="",7,K1169)*2 + IF(L1169&gt;0, 1, 0))),","),"")</f>
        <v/>
      </c>
      <c r="Y1169" s="21" t="str">
        <f>IF(Q1169&gt;0,CONCATENATE("0x",(DEC2HEX(IF(P1169&lt;&gt;"",VLOOKUP(P1169,Notes!$A$2:$B$37,2,FALSE)*1024,0) + Q1169*16 + IF(R1169="",7,R1169)*2 + IF(S1169&gt;0, 1, 0))),","),"")</f>
        <v/>
      </c>
    </row>
    <row r="1170" spans="2:25" x14ac:dyDescent="0.25">
      <c r="F1170" s="18">
        <f t="shared" si="108"/>
        <v>0</v>
      </c>
      <c r="G1170" s="1" t="str">
        <f t="shared" si="111"/>
        <v/>
      </c>
      <c r="M1170" s="18">
        <f t="shared" si="109"/>
        <v>0</v>
      </c>
      <c r="N1170" s="1" t="str">
        <f t="shared" si="112"/>
        <v/>
      </c>
      <c r="T1170" s="18">
        <f t="shared" si="110"/>
        <v>0</v>
      </c>
      <c r="U1170" s="1" t="str">
        <f t="shared" si="113"/>
        <v/>
      </c>
      <c r="W1170" s="21" t="str">
        <f>IF(C1170&gt;0,CONCATENATE("0x",(DEC2HEX(IF(B1170&lt;&gt;"",VLOOKUP(B1170,Notes!$A$2:$B$37,2,FALSE)*1024,0) + C1170*16 + IF(D1170="",7,D1170)*2 + IF(E1170&gt;0, 1, 0))),","),"")</f>
        <v/>
      </c>
      <c r="X1170" s="21" t="str">
        <f>IF(J1170&gt;0,CONCATENATE("0x",(DEC2HEX(IF(I1170&lt;&gt;"",VLOOKUP(I1170,Notes!$A$2:$B$37,2,FALSE)*1024,0) + J1170*16 + IF(K1170="",7,K1170)*2 + IF(L1170&gt;0, 1, 0))),","),"")</f>
        <v/>
      </c>
      <c r="Y1170" s="21" t="str">
        <f>IF(Q1170&gt;0,CONCATENATE("0x",(DEC2HEX(IF(P1170&lt;&gt;"",VLOOKUP(P1170,Notes!$A$2:$B$37,2,FALSE)*1024,0) + Q1170*16 + IF(R1170="",7,R1170)*2 + IF(S1170&gt;0, 1, 0))),","),"")</f>
        <v/>
      </c>
    </row>
    <row r="1171" spans="2:25" x14ac:dyDescent="0.25">
      <c r="F1171" s="18">
        <f t="shared" si="108"/>
        <v>0</v>
      </c>
      <c r="G1171" s="1" t="str">
        <f t="shared" si="111"/>
        <v/>
      </c>
      <c r="M1171" s="18">
        <f t="shared" si="109"/>
        <v>0</v>
      </c>
      <c r="N1171" s="1" t="str">
        <f t="shared" si="112"/>
        <v/>
      </c>
      <c r="T1171" s="18">
        <f t="shared" si="110"/>
        <v>0</v>
      </c>
      <c r="U1171" s="1" t="str">
        <f t="shared" si="113"/>
        <v/>
      </c>
      <c r="W1171" s="21" t="str">
        <f>IF(C1171&gt;0,CONCATENATE("0x",(DEC2HEX(IF(B1171&lt;&gt;"",VLOOKUP(B1171,Notes!$A$2:$B$37,2,FALSE)*1024,0) + C1171*16 + IF(D1171="",7,D1171)*2 + IF(E1171&gt;0, 1, 0))),","),"")</f>
        <v/>
      </c>
      <c r="X1171" s="21" t="str">
        <f>IF(J1171&gt;0,CONCATENATE("0x",(DEC2HEX(IF(I1171&lt;&gt;"",VLOOKUP(I1171,Notes!$A$2:$B$37,2,FALSE)*1024,0) + J1171*16 + IF(K1171="",7,K1171)*2 + IF(L1171&gt;0, 1, 0))),","),"")</f>
        <v/>
      </c>
      <c r="Y1171" s="21" t="str">
        <f>IF(Q1171&gt;0,CONCATENATE("0x",(DEC2HEX(IF(P1171&lt;&gt;"",VLOOKUP(P1171,Notes!$A$2:$B$37,2,FALSE)*1024,0) + Q1171*16 + IF(R1171="",7,R1171)*2 + IF(S1171&gt;0, 1, 0))),","),"")</f>
        <v/>
      </c>
    </row>
    <row r="1172" spans="2:25" x14ac:dyDescent="0.25">
      <c r="F1172" s="18">
        <f t="shared" si="108"/>
        <v>0</v>
      </c>
      <c r="G1172" s="1" t="str">
        <f t="shared" si="111"/>
        <v/>
      </c>
      <c r="M1172" s="18">
        <f t="shared" si="109"/>
        <v>0</v>
      </c>
      <c r="N1172" s="1" t="str">
        <f t="shared" si="112"/>
        <v/>
      </c>
      <c r="T1172" s="18">
        <f t="shared" si="110"/>
        <v>0</v>
      </c>
      <c r="U1172" s="1" t="str">
        <f t="shared" si="113"/>
        <v/>
      </c>
      <c r="W1172" s="21" t="str">
        <f>IF(C1172&gt;0,CONCATENATE("0x",(DEC2HEX(IF(B1172&lt;&gt;"",VLOOKUP(B1172,Notes!$A$2:$B$37,2,FALSE)*1024,0) + C1172*16 + IF(D1172="",7,D1172)*2 + IF(E1172&gt;0, 1, 0))),","),"")</f>
        <v/>
      </c>
      <c r="X1172" s="21" t="str">
        <f>IF(J1172&gt;0,CONCATENATE("0x",(DEC2HEX(IF(I1172&lt;&gt;"",VLOOKUP(I1172,Notes!$A$2:$B$37,2,FALSE)*1024,0) + J1172*16 + IF(K1172="",7,K1172)*2 + IF(L1172&gt;0, 1, 0))),","),"")</f>
        <v/>
      </c>
      <c r="Y1172" s="21" t="str">
        <f>IF(Q1172&gt;0,CONCATENATE("0x",(DEC2HEX(IF(P1172&lt;&gt;"",VLOOKUP(P1172,Notes!$A$2:$B$37,2,FALSE)*1024,0) + Q1172*16 + IF(R1172="",7,R1172)*2 + IF(S1172&gt;0, 1, 0))),","),"")</f>
        <v/>
      </c>
    </row>
    <row r="1173" spans="2:25" x14ac:dyDescent="0.25">
      <c r="F1173" s="18">
        <f t="shared" si="108"/>
        <v>0</v>
      </c>
      <c r="G1173" s="1" t="str">
        <f t="shared" si="111"/>
        <v/>
      </c>
      <c r="M1173" s="18">
        <f t="shared" si="109"/>
        <v>0</v>
      </c>
      <c r="N1173" s="1" t="str">
        <f t="shared" si="112"/>
        <v/>
      </c>
      <c r="T1173" s="18">
        <f t="shared" si="110"/>
        <v>0</v>
      </c>
      <c r="U1173" s="1" t="str">
        <f t="shared" si="113"/>
        <v/>
      </c>
      <c r="W1173" s="21" t="str">
        <f>IF(C1173&gt;0,CONCATENATE("0x",(DEC2HEX(IF(B1173&lt;&gt;"",VLOOKUP(B1173,Notes!$A$2:$B$37,2,FALSE)*1024,0) + C1173*16 + IF(D1173="",7,D1173)*2 + IF(E1173&gt;0, 1, 0))),","),"")</f>
        <v/>
      </c>
      <c r="X1173" s="21" t="str">
        <f>IF(J1173&gt;0,CONCATENATE("0x",(DEC2HEX(IF(I1173&lt;&gt;"",VLOOKUP(I1173,Notes!$A$2:$B$37,2,FALSE)*1024,0) + J1173*16 + IF(K1173="",7,K1173)*2 + IF(L1173&gt;0, 1, 0))),","),"")</f>
        <v/>
      </c>
      <c r="Y1173" s="21" t="str">
        <f>IF(Q1173&gt;0,CONCATENATE("0x",(DEC2HEX(IF(P1173&lt;&gt;"",VLOOKUP(P1173,Notes!$A$2:$B$37,2,FALSE)*1024,0) + Q1173*16 + IF(R1173="",7,R1173)*2 + IF(S1173&gt;0, 1, 0))),","),"")</f>
        <v/>
      </c>
    </row>
    <row r="1174" spans="2:25" x14ac:dyDescent="0.25">
      <c r="F1174" s="18">
        <f t="shared" si="108"/>
        <v>0</v>
      </c>
      <c r="G1174" s="1" t="str">
        <f t="shared" si="111"/>
        <v/>
      </c>
      <c r="M1174" s="18">
        <f t="shared" si="109"/>
        <v>0</v>
      </c>
      <c r="N1174" s="1" t="str">
        <f t="shared" si="112"/>
        <v/>
      </c>
      <c r="T1174" s="18">
        <f t="shared" si="110"/>
        <v>0</v>
      </c>
      <c r="U1174" s="1" t="str">
        <f t="shared" si="113"/>
        <v/>
      </c>
      <c r="W1174" s="21" t="str">
        <f>IF(C1174&gt;0,CONCATENATE("0x",(DEC2HEX(IF(B1174&lt;&gt;"",VLOOKUP(B1174,Notes!$A$2:$B$37,2,FALSE)*1024,0) + C1174*16 + IF(D1174="",7,D1174)*2 + IF(E1174&gt;0, 1, 0))),","),"")</f>
        <v/>
      </c>
      <c r="X1174" s="21" t="str">
        <f>IF(J1174&gt;0,CONCATENATE("0x",(DEC2HEX(IF(I1174&lt;&gt;"",VLOOKUP(I1174,Notes!$A$2:$B$37,2,FALSE)*1024,0) + J1174*16 + IF(K1174="",7,K1174)*2 + IF(L1174&gt;0, 1, 0))),","),"")</f>
        <v/>
      </c>
      <c r="Y1174" s="21" t="str">
        <f>IF(Q1174&gt;0,CONCATENATE("0x",(DEC2HEX(IF(P1174&lt;&gt;"",VLOOKUP(P1174,Notes!$A$2:$B$37,2,FALSE)*1024,0) + Q1174*16 + IF(R1174="",7,R1174)*2 + IF(S1174&gt;0, 1, 0))),","),"")</f>
        <v/>
      </c>
    </row>
    <row r="1175" spans="2:25" x14ac:dyDescent="0.25">
      <c r="F1175" s="18">
        <f t="shared" si="108"/>
        <v>0</v>
      </c>
      <c r="G1175" s="1" t="str">
        <f t="shared" si="111"/>
        <v/>
      </c>
      <c r="M1175" s="18">
        <f t="shared" si="109"/>
        <v>0</v>
      </c>
      <c r="N1175" s="1" t="str">
        <f t="shared" si="112"/>
        <v/>
      </c>
      <c r="T1175" s="18">
        <f t="shared" si="110"/>
        <v>0</v>
      </c>
      <c r="U1175" s="1" t="str">
        <f t="shared" si="113"/>
        <v/>
      </c>
      <c r="W1175" s="21" t="str">
        <f>IF(C1175&gt;0,CONCATENATE("0x",(DEC2HEX(IF(B1175&lt;&gt;"",VLOOKUP(B1175,Notes!$A$2:$B$37,2,FALSE)*1024,0) + C1175*16 + IF(D1175="",7,D1175)*2 + IF(E1175&gt;0, 1, 0))),","),"")</f>
        <v/>
      </c>
      <c r="X1175" s="21" t="str">
        <f>IF(J1175&gt;0,CONCATENATE("0x",(DEC2HEX(IF(I1175&lt;&gt;"",VLOOKUP(I1175,Notes!$A$2:$B$37,2,FALSE)*1024,0) + J1175*16 + IF(K1175="",7,K1175)*2 + IF(L1175&gt;0, 1, 0))),","),"")</f>
        <v/>
      </c>
      <c r="Y1175" s="21" t="str">
        <f>IF(Q1175&gt;0,CONCATENATE("0x",(DEC2HEX(IF(P1175&lt;&gt;"",VLOOKUP(P1175,Notes!$A$2:$B$37,2,FALSE)*1024,0) + Q1175*16 + IF(R1175="",7,R1175)*2 + IF(S1175&gt;0, 1, 0))),","),"")</f>
        <v/>
      </c>
    </row>
    <row r="1176" spans="2:25" x14ac:dyDescent="0.25">
      <c r="F1176" s="18">
        <f t="shared" si="108"/>
        <v>0</v>
      </c>
      <c r="G1176" s="1" t="str">
        <f t="shared" si="111"/>
        <v/>
      </c>
      <c r="M1176" s="18">
        <f t="shared" si="109"/>
        <v>0</v>
      </c>
      <c r="N1176" s="1" t="str">
        <f t="shared" si="112"/>
        <v/>
      </c>
      <c r="T1176" s="18">
        <f t="shared" si="110"/>
        <v>0</v>
      </c>
      <c r="U1176" s="1" t="str">
        <f t="shared" si="113"/>
        <v/>
      </c>
      <c r="W1176" s="21" t="str">
        <f>IF(C1176&gt;0,CONCATENATE("0x",(DEC2HEX(IF(B1176&lt;&gt;"",VLOOKUP(B1176,Notes!$A$2:$B$37,2,FALSE)*1024,0) + C1176*16 + IF(D1176="",7,D1176)*2 + IF(E1176&gt;0, 1, 0))),","),"")</f>
        <v/>
      </c>
      <c r="X1176" s="21" t="str">
        <f>IF(J1176&gt;0,CONCATENATE("0x",(DEC2HEX(IF(I1176&lt;&gt;"",VLOOKUP(I1176,Notes!$A$2:$B$37,2,FALSE)*1024,0) + J1176*16 + IF(K1176="",7,K1176)*2 + IF(L1176&gt;0, 1, 0))),","),"")</f>
        <v/>
      </c>
      <c r="Y1176" s="21" t="str">
        <f>IF(Q1176&gt;0,CONCATENATE("0x",(DEC2HEX(IF(P1176&lt;&gt;"",VLOOKUP(P1176,Notes!$A$2:$B$37,2,FALSE)*1024,0) + Q1176*16 + IF(R1176="",7,R1176)*2 + IF(S1176&gt;0, 1, 0))),","),"")</f>
        <v/>
      </c>
    </row>
    <row r="1177" spans="2:25" x14ac:dyDescent="0.25">
      <c r="B1177" s="12"/>
      <c r="C1177" s="13"/>
      <c r="D1177" s="13"/>
      <c r="E1177" s="14"/>
      <c r="F1177" s="18">
        <f t="shared" si="108"/>
        <v>0</v>
      </c>
      <c r="G1177" s="1" t="str">
        <f t="shared" si="111"/>
        <v/>
      </c>
      <c r="I1177" s="12"/>
      <c r="J1177" s="13"/>
      <c r="K1177" s="13"/>
      <c r="L1177" s="14"/>
      <c r="M1177" s="18">
        <f t="shared" si="109"/>
        <v>0</v>
      </c>
      <c r="N1177" s="1" t="str">
        <f t="shared" si="112"/>
        <v/>
      </c>
      <c r="P1177" s="12"/>
      <c r="Q1177" s="13"/>
      <c r="R1177" s="13"/>
      <c r="S1177" s="14"/>
      <c r="T1177" s="18">
        <f t="shared" si="110"/>
        <v>0</v>
      </c>
      <c r="U1177" s="1" t="str">
        <f t="shared" si="113"/>
        <v/>
      </c>
      <c r="W1177" s="21" t="str">
        <f>IF(C1177&gt;0,CONCATENATE("0x",(DEC2HEX(IF(B1177&lt;&gt;"",VLOOKUP(B1177,Notes!$A$2:$B$37,2,FALSE)*1024,0) + C1177*16 + IF(D1177="",7,D1177)*2 + IF(E1177&gt;0, 1, 0))),","),"")</f>
        <v/>
      </c>
      <c r="X1177" s="21" t="str">
        <f>IF(J1177&gt;0,CONCATENATE("0x",(DEC2HEX(IF(I1177&lt;&gt;"",VLOOKUP(I1177,Notes!$A$2:$B$37,2,FALSE)*1024,0) + J1177*16 + IF(K1177="",7,K1177)*2 + IF(L1177&gt;0, 1, 0))),","),"")</f>
        <v/>
      </c>
      <c r="Y1177" s="21" t="str">
        <f>IF(Q1177&gt;0,CONCATENATE("0x",(DEC2HEX(IF(P1177&lt;&gt;"",VLOOKUP(P1177,Notes!$A$2:$B$37,2,FALSE)*1024,0) + Q1177*16 + IF(R1177="",7,R1177)*2 + IF(S1177&gt;0, 1, 0))),","),"")</f>
        <v/>
      </c>
    </row>
    <row r="1178" spans="2:25" x14ac:dyDescent="0.25">
      <c r="F1178" s="18">
        <f t="shared" si="108"/>
        <v>0</v>
      </c>
      <c r="G1178" s="1" t="str">
        <f t="shared" si="111"/>
        <v/>
      </c>
      <c r="M1178" s="18">
        <f t="shared" si="109"/>
        <v>0</v>
      </c>
      <c r="N1178" s="1" t="str">
        <f t="shared" si="112"/>
        <v/>
      </c>
      <c r="T1178" s="18">
        <f t="shared" si="110"/>
        <v>0</v>
      </c>
      <c r="U1178" s="1" t="str">
        <f t="shared" si="113"/>
        <v/>
      </c>
      <c r="W1178" s="21" t="str">
        <f>IF(C1178&gt;0,CONCATENATE("0x",(DEC2HEX(IF(B1178&lt;&gt;"",VLOOKUP(B1178,Notes!$A$2:$B$37,2,FALSE)*1024,0) + C1178*16 + IF(D1178="",7,D1178)*2 + IF(E1178&gt;0, 1, 0))),","),"")</f>
        <v/>
      </c>
      <c r="X1178" s="21" t="str">
        <f>IF(J1178&gt;0,CONCATENATE("0x",(DEC2HEX(IF(I1178&lt;&gt;"",VLOOKUP(I1178,Notes!$A$2:$B$37,2,FALSE)*1024,0) + J1178*16 + IF(K1178="",7,K1178)*2 + IF(L1178&gt;0, 1, 0))),","),"")</f>
        <v/>
      </c>
      <c r="Y1178" s="21" t="str">
        <f>IF(Q1178&gt;0,CONCATENATE("0x",(DEC2HEX(IF(P1178&lt;&gt;"",VLOOKUP(P1178,Notes!$A$2:$B$37,2,FALSE)*1024,0) + Q1178*16 + IF(R1178="",7,R1178)*2 + IF(S1178&gt;0, 1, 0))),","),"")</f>
        <v/>
      </c>
    </row>
    <row r="1179" spans="2:25" x14ac:dyDescent="0.25">
      <c r="F1179" s="18">
        <f t="shared" si="108"/>
        <v>0</v>
      </c>
      <c r="G1179" s="1" t="str">
        <f t="shared" si="111"/>
        <v/>
      </c>
      <c r="M1179" s="18">
        <f t="shared" si="109"/>
        <v>0</v>
      </c>
      <c r="N1179" s="1" t="str">
        <f t="shared" si="112"/>
        <v/>
      </c>
      <c r="T1179" s="18">
        <f t="shared" si="110"/>
        <v>0</v>
      </c>
      <c r="U1179" s="1" t="str">
        <f t="shared" si="113"/>
        <v/>
      </c>
      <c r="W1179" s="21" t="str">
        <f>IF(C1179&gt;0,CONCATENATE("0x",(DEC2HEX(IF(B1179&lt;&gt;"",VLOOKUP(B1179,Notes!$A$2:$B$37,2,FALSE)*1024,0) + C1179*16 + IF(D1179="",7,D1179)*2 + IF(E1179&gt;0, 1, 0))),","),"")</f>
        <v/>
      </c>
      <c r="X1179" s="21" t="str">
        <f>IF(J1179&gt;0,CONCATENATE("0x",(DEC2HEX(IF(I1179&lt;&gt;"",VLOOKUP(I1179,Notes!$A$2:$B$37,2,FALSE)*1024,0) + J1179*16 + IF(K1179="",7,K1179)*2 + IF(L1179&gt;0, 1, 0))),","),"")</f>
        <v/>
      </c>
      <c r="Y1179" s="21" t="str">
        <f>IF(Q1179&gt;0,CONCATENATE("0x",(DEC2HEX(IF(P1179&lt;&gt;"",VLOOKUP(P1179,Notes!$A$2:$B$37,2,FALSE)*1024,0) + Q1179*16 + IF(R1179="",7,R1179)*2 + IF(S1179&gt;0, 1, 0))),","),"")</f>
        <v/>
      </c>
    </row>
    <row r="1180" spans="2:25" x14ac:dyDescent="0.25">
      <c r="F1180" s="18">
        <f t="shared" si="108"/>
        <v>0</v>
      </c>
      <c r="G1180" s="1" t="str">
        <f t="shared" si="111"/>
        <v/>
      </c>
      <c r="M1180" s="18">
        <f t="shared" si="109"/>
        <v>0</v>
      </c>
      <c r="N1180" s="1" t="str">
        <f t="shared" si="112"/>
        <v/>
      </c>
      <c r="T1180" s="18">
        <f t="shared" si="110"/>
        <v>0</v>
      </c>
      <c r="U1180" s="1" t="str">
        <f t="shared" si="113"/>
        <v/>
      </c>
      <c r="W1180" s="21" t="str">
        <f>IF(C1180&gt;0,CONCATENATE("0x",(DEC2HEX(IF(B1180&lt;&gt;"",VLOOKUP(B1180,Notes!$A$2:$B$37,2,FALSE)*1024,0) + C1180*16 + IF(D1180="",7,D1180)*2 + IF(E1180&gt;0, 1, 0))),","),"")</f>
        <v/>
      </c>
      <c r="X1180" s="21" t="str">
        <f>IF(J1180&gt;0,CONCATENATE("0x",(DEC2HEX(IF(I1180&lt;&gt;"",VLOOKUP(I1180,Notes!$A$2:$B$37,2,FALSE)*1024,0) + J1180*16 + IF(K1180="",7,K1180)*2 + IF(L1180&gt;0, 1, 0))),","),"")</f>
        <v/>
      </c>
      <c r="Y1180" s="21" t="str">
        <f>IF(Q1180&gt;0,CONCATENATE("0x",(DEC2HEX(IF(P1180&lt;&gt;"",VLOOKUP(P1180,Notes!$A$2:$B$37,2,FALSE)*1024,0) + Q1180*16 + IF(R1180="",7,R1180)*2 + IF(S1180&gt;0, 1, 0))),","),"")</f>
        <v/>
      </c>
    </row>
    <row r="1181" spans="2:25" x14ac:dyDescent="0.25">
      <c r="F1181" s="18">
        <f t="shared" si="108"/>
        <v>0</v>
      </c>
      <c r="G1181" s="1" t="str">
        <f t="shared" si="111"/>
        <v/>
      </c>
      <c r="M1181" s="18">
        <f t="shared" si="109"/>
        <v>0</v>
      </c>
      <c r="N1181" s="1" t="str">
        <f t="shared" si="112"/>
        <v/>
      </c>
      <c r="T1181" s="18">
        <f t="shared" si="110"/>
        <v>0</v>
      </c>
      <c r="U1181" s="1" t="str">
        <f t="shared" si="113"/>
        <v/>
      </c>
      <c r="W1181" s="21" t="str">
        <f>IF(C1181&gt;0,CONCATENATE("0x",(DEC2HEX(IF(B1181&lt;&gt;"",VLOOKUP(B1181,Notes!$A$2:$B$37,2,FALSE)*1024,0) + C1181*16 + IF(D1181="",7,D1181)*2 + IF(E1181&gt;0, 1, 0))),","),"")</f>
        <v/>
      </c>
      <c r="X1181" s="21" t="str">
        <f>IF(J1181&gt;0,CONCATENATE("0x",(DEC2HEX(IF(I1181&lt;&gt;"",VLOOKUP(I1181,Notes!$A$2:$B$37,2,FALSE)*1024,0) + J1181*16 + IF(K1181="",7,K1181)*2 + IF(L1181&gt;0, 1, 0))),","),"")</f>
        <v/>
      </c>
      <c r="Y1181" s="21" t="str">
        <f>IF(Q1181&gt;0,CONCATENATE("0x",(DEC2HEX(IF(P1181&lt;&gt;"",VLOOKUP(P1181,Notes!$A$2:$B$37,2,FALSE)*1024,0) + Q1181*16 + IF(R1181="",7,R1181)*2 + IF(S1181&gt;0, 1, 0))),","),"")</f>
        <v/>
      </c>
    </row>
    <row r="1182" spans="2:25" x14ac:dyDescent="0.25">
      <c r="F1182" s="18">
        <f t="shared" si="108"/>
        <v>0</v>
      </c>
      <c r="G1182" s="1" t="str">
        <f t="shared" si="111"/>
        <v/>
      </c>
      <c r="M1182" s="18">
        <f t="shared" si="109"/>
        <v>0</v>
      </c>
      <c r="N1182" s="1" t="str">
        <f t="shared" si="112"/>
        <v/>
      </c>
      <c r="T1182" s="18">
        <f t="shared" si="110"/>
        <v>0</v>
      </c>
      <c r="U1182" s="1" t="str">
        <f t="shared" si="113"/>
        <v/>
      </c>
      <c r="W1182" s="21" t="str">
        <f>IF(C1182&gt;0,CONCATENATE("0x",(DEC2HEX(IF(B1182&lt;&gt;"",VLOOKUP(B1182,Notes!$A$2:$B$37,2,FALSE)*1024,0) + C1182*16 + IF(D1182="",7,D1182)*2 + IF(E1182&gt;0, 1, 0))),","),"")</f>
        <v/>
      </c>
      <c r="X1182" s="21" t="str">
        <f>IF(J1182&gt;0,CONCATENATE("0x",(DEC2HEX(IF(I1182&lt;&gt;"",VLOOKUP(I1182,Notes!$A$2:$B$37,2,FALSE)*1024,0) + J1182*16 + IF(K1182="",7,K1182)*2 + IF(L1182&gt;0, 1, 0))),","),"")</f>
        <v/>
      </c>
      <c r="Y1182" s="21" t="str">
        <f>IF(Q1182&gt;0,CONCATENATE("0x",(DEC2HEX(IF(P1182&lt;&gt;"",VLOOKUP(P1182,Notes!$A$2:$B$37,2,FALSE)*1024,0) + Q1182*16 + IF(R1182="",7,R1182)*2 + IF(S1182&gt;0, 1, 0))),","),"")</f>
        <v/>
      </c>
    </row>
    <row r="1183" spans="2:25" x14ac:dyDescent="0.25">
      <c r="F1183" s="18">
        <f t="shared" si="108"/>
        <v>0</v>
      </c>
      <c r="G1183" s="1" t="str">
        <f t="shared" si="111"/>
        <v/>
      </c>
      <c r="M1183" s="18">
        <f t="shared" si="109"/>
        <v>0</v>
      </c>
      <c r="N1183" s="1" t="str">
        <f t="shared" si="112"/>
        <v/>
      </c>
      <c r="T1183" s="18">
        <f t="shared" si="110"/>
        <v>0</v>
      </c>
      <c r="U1183" s="1" t="str">
        <f t="shared" si="113"/>
        <v/>
      </c>
      <c r="W1183" s="21" t="str">
        <f>IF(C1183&gt;0,CONCATENATE("0x",(DEC2HEX(IF(B1183&lt;&gt;"",VLOOKUP(B1183,Notes!$A$2:$B$37,2,FALSE)*1024,0) + C1183*16 + IF(D1183="",7,D1183)*2 + IF(E1183&gt;0, 1, 0))),","),"")</f>
        <v/>
      </c>
      <c r="X1183" s="21" t="str">
        <f>IF(J1183&gt;0,CONCATENATE("0x",(DEC2HEX(IF(I1183&lt;&gt;"",VLOOKUP(I1183,Notes!$A$2:$B$37,2,FALSE)*1024,0) + J1183*16 + IF(K1183="",7,K1183)*2 + IF(L1183&gt;0, 1, 0))),","),"")</f>
        <v/>
      </c>
      <c r="Y1183" s="21" t="str">
        <f>IF(Q1183&gt;0,CONCATENATE("0x",(DEC2HEX(IF(P1183&lt;&gt;"",VLOOKUP(P1183,Notes!$A$2:$B$37,2,FALSE)*1024,0) + Q1183*16 + IF(R1183="",7,R1183)*2 + IF(S1183&gt;0, 1, 0))),","),"")</f>
        <v/>
      </c>
    </row>
    <row r="1184" spans="2:25" x14ac:dyDescent="0.25">
      <c r="F1184" s="18">
        <f t="shared" si="108"/>
        <v>0</v>
      </c>
      <c r="G1184" s="1" t="str">
        <f t="shared" si="111"/>
        <v/>
      </c>
      <c r="M1184" s="18">
        <f t="shared" si="109"/>
        <v>0</v>
      </c>
      <c r="N1184" s="1" t="str">
        <f t="shared" si="112"/>
        <v/>
      </c>
      <c r="T1184" s="18">
        <f t="shared" si="110"/>
        <v>0</v>
      </c>
      <c r="U1184" s="1" t="str">
        <f t="shared" si="113"/>
        <v/>
      </c>
      <c r="W1184" s="21" t="str">
        <f>IF(C1184&gt;0,CONCATENATE("0x",(DEC2HEX(IF(B1184&lt;&gt;"",VLOOKUP(B1184,Notes!$A$2:$B$37,2,FALSE)*1024,0) + C1184*16 + IF(D1184="",7,D1184)*2 + IF(E1184&gt;0, 1, 0))),","),"")</f>
        <v/>
      </c>
      <c r="X1184" s="21" t="str">
        <f>IF(J1184&gt;0,CONCATENATE("0x",(DEC2HEX(IF(I1184&lt;&gt;"",VLOOKUP(I1184,Notes!$A$2:$B$37,2,FALSE)*1024,0) + J1184*16 + IF(K1184="",7,K1184)*2 + IF(L1184&gt;0, 1, 0))),","),"")</f>
        <v/>
      </c>
      <c r="Y1184" s="21" t="str">
        <f>IF(Q1184&gt;0,CONCATENATE("0x",(DEC2HEX(IF(P1184&lt;&gt;"",VLOOKUP(P1184,Notes!$A$2:$B$37,2,FALSE)*1024,0) + Q1184*16 + IF(R1184="",7,R1184)*2 + IF(S1184&gt;0, 1, 0))),","),"")</f>
        <v/>
      </c>
    </row>
    <row r="1185" spans="1:25" ht="16.5" thickBot="1" x14ac:dyDescent="0.3">
      <c r="B1185" s="15"/>
      <c r="C1185" s="16"/>
      <c r="D1185" s="16"/>
      <c r="E1185" s="17"/>
      <c r="F1185" s="18">
        <f t="shared" si="108"/>
        <v>0</v>
      </c>
      <c r="G1185" s="1" t="str">
        <f t="shared" si="111"/>
        <v/>
      </c>
      <c r="I1185" s="15"/>
      <c r="J1185" s="16"/>
      <c r="K1185" s="16"/>
      <c r="L1185" s="17"/>
      <c r="M1185" s="18">
        <f t="shared" si="109"/>
        <v>0</v>
      </c>
      <c r="N1185" s="1" t="str">
        <f t="shared" si="112"/>
        <v/>
      </c>
      <c r="P1185" s="15"/>
      <c r="Q1185" s="16"/>
      <c r="R1185" s="16"/>
      <c r="S1185" s="17"/>
      <c r="T1185" s="18">
        <f t="shared" si="110"/>
        <v>0</v>
      </c>
      <c r="U1185" s="1" t="str">
        <f t="shared" si="113"/>
        <v/>
      </c>
      <c r="W1185" s="21" t="str">
        <f>IF(C1185&gt;0,CONCATENATE("0x",(DEC2HEX(IF(B1185&lt;&gt;"",VLOOKUP(B1185,Notes!$A$2:$B$37,2,FALSE)*1024,0) + C1185*16 + IF(D1185="",7,D1185)*2 + IF(E1185&gt;0, 1, 0))),","),"")</f>
        <v/>
      </c>
      <c r="X1185" s="21" t="str">
        <f>IF(J1185&gt;0,CONCATENATE("0x",(DEC2HEX(IF(I1185&lt;&gt;"",VLOOKUP(I1185,Notes!$A$2:$B$37,2,FALSE)*1024,0) + J1185*16 + IF(K1185="",7,K1185)*2 + IF(L1185&gt;0, 1, 0))),","),"")</f>
        <v/>
      </c>
      <c r="Y1185" s="21" t="str">
        <f>IF(Q1185&gt;0,CONCATENATE("0x",(DEC2HEX(IF(P1185&lt;&gt;"",VLOOKUP(P1185,Notes!$A$2:$B$37,2,FALSE)*1024,0) + Q1185*16 + IF(R1185="",7,R1185)*2 + IF(S1185&gt;0, 1, 0))),","),"")</f>
        <v/>
      </c>
    </row>
    <row r="1186" spans="1:25" ht="16.5" thickTop="1" x14ac:dyDescent="0.25">
      <c r="A1186" s="1">
        <v>38</v>
      </c>
      <c r="F1186" s="18">
        <f t="shared" si="108"/>
        <v>0</v>
      </c>
      <c r="G1186" s="1" t="str">
        <f t="shared" si="111"/>
        <v/>
      </c>
      <c r="M1186" s="18">
        <f t="shared" si="109"/>
        <v>0</v>
      </c>
      <c r="N1186" s="1" t="str">
        <f t="shared" si="112"/>
        <v/>
      </c>
      <c r="T1186" s="18">
        <f t="shared" si="110"/>
        <v>0</v>
      </c>
      <c r="U1186" s="1" t="str">
        <f t="shared" si="113"/>
        <v/>
      </c>
      <c r="W1186" s="21" t="str">
        <f>IF(C1186&gt;0,CONCATENATE("0x",(DEC2HEX(IF(B1186&lt;&gt;"",VLOOKUP(B1186,Notes!$A$2:$B$37,2,FALSE)*1024,0) + C1186*16 + IF(D1186="",7,D1186)*2 + IF(E1186&gt;0, 1, 0))),","),"")</f>
        <v/>
      </c>
      <c r="X1186" s="21" t="str">
        <f>IF(J1186&gt;0,CONCATENATE("0x",(DEC2HEX(IF(I1186&lt;&gt;"",VLOOKUP(I1186,Notes!$A$2:$B$37,2,FALSE)*1024,0) + J1186*16 + IF(K1186="",7,K1186)*2 + IF(L1186&gt;0, 1, 0))),","),"")</f>
        <v/>
      </c>
      <c r="Y1186" s="21" t="str">
        <f>IF(Q1186&gt;0,CONCATENATE("0x",(DEC2HEX(IF(P1186&lt;&gt;"",VLOOKUP(P1186,Notes!$A$2:$B$37,2,FALSE)*1024,0) + Q1186*16 + IF(R1186="",7,R1186)*2 + IF(S1186&gt;0, 1, 0))),","),"")</f>
        <v/>
      </c>
    </row>
    <row r="1187" spans="1:25" x14ac:dyDescent="0.25">
      <c r="F1187" s="18">
        <f t="shared" si="108"/>
        <v>0</v>
      </c>
      <c r="G1187" s="1" t="str">
        <f t="shared" si="111"/>
        <v/>
      </c>
      <c r="M1187" s="18">
        <f t="shared" si="109"/>
        <v>0</v>
      </c>
      <c r="N1187" s="1" t="str">
        <f t="shared" si="112"/>
        <v/>
      </c>
      <c r="T1187" s="18">
        <f t="shared" si="110"/>
        <v>0</v>
      </c>
      <c r="U1187" s="1" t="str">
        <f t="shared" si="113"/>
        <v/>
      </c>
      <c r="W1187" s="21" t="str">
        <f>IF(C1187&gt;0,CONCATENATE("0x",(DEC2HEX(IF(B1187&lt;&gt;"",VLOOKUP(B1187,Notes!$A$2:$B$37,2,FALSE)*1024,0) + C1187*16 + IF(D1187="",7,D1187)*2 + IF(E1187&gt;0, 1, 0))),","),"")</f>
        <v/>
      </c>
      <c r="X1187" s="21" t="str">
        <f>IF(J1187&gt;0,CONCATENATE("0x",(DEC2HEX(IF(I1187&lt;&gt;"",VLOOKUP(I1187,Notes!$A$2:$B$37,2,FALSE)*1024,0) + J1187*16 + IF(K1187="",7,K1187)*2 + IF(L1187&gt;0, 1, 0))),","),"")</f>
        <v/>
      </c>
      <c r="Y1187" s="21" t="str">
        <f>IF(Q1187&gt;0,CONCATENATE("0x",(DEC2HEX(IF(P1187&lt;&gt;"",VLOOKUP(P1187,Notes!$A$2:$B$37,2,FALSE)*1024,0) + Q1187*16 + IF(R1187="",7,R1187)*2 + IF(S1187&gt;0, 1, 0))),","),"")</f>
        <v/>
      </c>
    </row>
    <row r="1188" spans="1:25" x14ac:dyDescent="0.25">
      <c r="F1188" s="18">
        <f t="shared" si="108"/>
        <v>0</v>
      </c>
      <c r="G1188" s="1" t="str">
        <f t="shared" si="111"/>
        <v/>
      </c>
      <c r="M1188" s="18">
        <f t="shared" si="109"/>
        <v>0</v>
      </c>
      <c r="N1188" s="1" t="str">
        <f t="shared" si="112"/>
        <v/>
      </c>
      <c r="T1188" s="18">
        <f t="shared" si="110"/>
        <v>0</v>
      </c>
      <c r="U1188" s="1" t="str">
        <f t="shared" si="113"/>
        <v/>
      </c>
      <c r="W1188" s="21" t="str">
        <f>IF(C1188&gt;0,CONCATENATE("0x",(DEC2HEX(IF(B1188&lt;&gt;"",VLOOKUP(B1188,Notes!$A$2:$B$37,2,FALSE)*1024,0) + C1188*16 + IF(D1188="",7,D1188)*2 + IF(E1188&gt;0, 1, 0))),","),"")</f>
        <v/>
      </c>
      <c r="X1188" s="21" t="str">
        <f>IF(J1188&gt;0,CONCATENATE("0x",(DEC2HEX(IF(I1188&lt;&gt;"",VLOOKUP(I1188,Notes!$A$2:$B$37,2,FALSE)*1024,0) + J1188*16 + IF(K1188="",7,K1188)*2 + IF(L1188&gt;0, 1, 0))),","),"")</f>
        <v/>
      </c>
      <c r="Y1188" s="21" t="str">
        <f>IF(Q1188&gt;0,CONCATENATE("0x",(DEC2HEX(IF(P1188&lt;&gt;"",VLOOKUP(P1188,Notes!$A$2:$B$37,2,FALSE)*1024,0) + Q1188*16 + IF(R1188="",7,R1188)*2 + IF(S1188&gt;0, 1, 0))),","),"")</f>
        <v/>
      </c>
    </row>
    <row r="1189" spans="1:25" x14ac:dyDescent="0.25">
      <c r="F1189" s="18">
        <f t="shared" si="108"/>
        <v>0</v>
      </c>
      <c r="G1189" s="1" t="str">
        <f t="shared" si="111"/>
        <v/>
      </c>
      <c r="M1189" s="18">
        <f t="shared" si="109"/>
        <v>0</v>
      </c>
      <c r="N1189" s="1" t="str">
        <f t="shared" si="112"/>
        <v/>
      </c>
      <c r="T1189" s="18">
        <f t="shared" si="110"/>
        <v>0</v>
      </c>
      <c r="U1189" s="1" t="str">
        <f t="shared" si="113"/>
        <v/>
      </c>
      <c r="W1189" s="21" t="str">
        <f>IF(C1189&gt;0,CONCATENATE("0x",(DEC2HEX(IF(B1189&lt;&gt;"",VLOOKUP(B1189,Notes!$A$2:$B$37,2,FALSE)*1024,0) + C1189*16 + IF(D1189="",7,D1189)*2 + IF(E1189&gt;0, 1, 0))),","),"")</f>
        <v/>
      </c>
      <c r="X1189" s="21" t="str">
        <f>IF(J1189&gt;0,CONCATENATE("0x",(DEC2HEX(IF(I1189&lt;&gt;"",VLOOKUP(I1189,Notes!$A$2:$B$37,2,FALSE)*1024,0) + J1189*16 + IF(K1189="",7,K1189)*2 + IF(L1189&gt;0, 1, 0))),","),"")</f>
        <v/>
      </c>
      <c r="Y1189" s="21" t="str">
        <f>IF(Q1189&gt;0,CONCATENATE("0x",(DEC2HEX(IF(P1189&lt;&gt;"",VLOOKUP(P1189,Notes!$A$2:$B$37,2,FALSE)*1024,0) + Q1189*16 + IF(R1189="",7,R1189)*2 + IF(S1189&gt;0, 1, 0))),","),"")</f>
        <v/>
      </c>
    </row>
    <row r="1190" spans="1:25" x14ac:dyDescent="0.25">
      <c r="F1190" s="18">
        <f t="shared" si="108"/>
        <v>0</v>
      </c>
      <c r="G1190" s="1" t="str">
        <f t="shared" si="111"/>
        <v/>
      </c>
      <c r="M1190" s="18">
        <f t="shared" si="109"/>
        <v>0</v>
      </c>
      <c r="N1190" s="1" t="str">
        <f t="shared" si="112"/>
        <v/>
      </c>
      <c r="T1190" s="18">
        <f t="shared" si="110"/>
        <v>0</v>
      </c>
      <c r="U1190" s="1" t="str">
        <f t="shared" si="113"/>
        <v/>
      </c>
      <c r="W1190" s="21" t="str">
        <f>IF(C1190&gt;0,CONCATENATE("0x",(DEC2HEX(IF(B1190&lt;&gt;"",VLOOKUP(B1190,Notes!$A$2:$B$37,2,FALSE)*1024,0) + C1190*16 + IF(D1190="",7,D1190)*2 + IF(E1190&gt;0, 1, 0))),","),"")</f>
        <v/>
      </c>
      <c r="X1190" s="21" t="str">
        <f>IF(J1190&gt;0,CONCATENATE("0x",(DEC2HEX(IF(I1190&lt;&gt;"",VLOOKUP(I1190,Notes!$A$2:$B$37,2,FALSE)*1024,0) + J1190*16 + IF(K1190="",7,K1190)*2 + IF(L1190&gt;0, 1, 0))),","),"")</f>
        <v/>
      </c>
      <c r="Y1190" s="21" t="str">
        <f>IF(Q1190&gt;0,CONCATENATE("0x",(DEC2HEX(IF(P1190&lt;&gt;"",VLOOKUP(P1190,Notes!$A$2:$B$37,2,FALSE)*1024,0) + Q1190*16 + IF(R1190="",7,R1190)*2 + IF(S1190&gt;0, 1, 0))),","),"")</f>
        <v/>
      </c>
    </row>
    <row r="1191" spans="1:25" x14ac:dyDescent="0.25">
      <c r="F1191" s="18">
        <f t="shared" si="108"/>
        <v>0</v>
      </c>
      <c r="G1191" s="1" t="str">
        <f t="shared" si="111"/>
        <v/>
      </c>
      <c r="M1191" s="18">
        <f t="shared" si="109"/>
        <v>0</v>
      </c>
      <c r="N1191" s="1" t="str">
        <f t="shared" si="112"/>
        <v/>
      </c>
      <c r="T1191" s="18">
        <f t="shared" si="110"/>
        <v>0</v>
      </c>
      <c r="U1191" s="1" t="str">
        <f t="shared" si="113"/>
        <v/>
      </c>
      <c r="W1191" s="21" t="str">
        <f>IF(C1191&gt;0,CONCATENATE("0x",(DEC2HEX(IF(B1191&lt;&gt;"",VLOOKUP(B1191,Notes!$A$2:$B$37,2,FALSE)*1024,0) + C1191*16 + IF(D1191="",7,D1191)*2 + IF(E1191&gt;0, 1, 0))),","),"")</f>
        <v/>
      </c>
      <c r="X1191" s="21" t="str">
        <f>IF(J1191&gt;0,CONCATENATE("0x",(DEC2HEX(IF(I1191&lt;&gt;"",VLOOKUP(I1191,Notes!$A$2:$B$37,2,FALSE)*1024,0) + J1191*16 + IF(K1191="",7,K1191)*2 + IF(L1191&gt;0, 1, 0))),","),"")</f>
        <v/>
      </c>
      <c r="Y1191" s="21" t="str">
        <f>IF(Q1191&gt;0,CONCATENATE("0x",(DEC2HEX(IF(P1191&lt;&gt;"",VLOOKUP(P1191,Notes!$A$2:$B$37,2,FALSE)*1024,0) + Q1191*16 + IF(R1191="",7,R1191)*2 + IF(S1191&gt;0, 1, 0))),","),"")</f>
        <v/>
      </c>
    </row>
    <row r="1192" spans="1:25" x14ac:dyDescent="0.25">
      <c r="F1192" s="18">
        <f t="shared" si="108"/>
        <v>0</v>
      </c>
      <c r="G1192" s="1" t="str">
        <f t="shared" si="111"/>
        <v/>
      </c>
      <c r="M1192" s="18">
        <f t="shared" si="109"/>
        <v>0</v>
      </c>
      <c r="N1192" s="1" t="str">
        <f t="shared" si="112"/>
        <v/>
      </c>
      <c r="T1192" s="18">
        <f t="shared" si="110"/>
        <v>0</v>
      </c>
      <c r="U1192" s="1" t="str">
        <f t="shared" si="113"/>
        <v/>
      </c>
      <c r="W1192" s="21" t="str">
        <f>IF(C1192&gt;0,CONCATENATE("0x",(DEC2HEX(IF(B1192&lt;&gt;"",VLOOKUP(B1192,Notes!$A$2:$B$37,2,FALSE)*1024,0) + C1192*16 + IF(D1192="",7,D1192)*2 + IF(E1192&gt;0, 1, 0))),","),"")</f>
        <v/>
      </c>
      <c r="X1192" s="21" t="str">
        <f>IF(J1192&gt;0,CONCATENATE("0x",(DEC2HEX(IF(I1192&lt;&gt;"",VLOOKUP(I1192,Notes!$A$2:$B$37,2,FALSE)*1024,0) + J1192*16 + IF(K1192="",7,K1192)*2 + IF(L1192&gt;0, 1, 0))),","),"")</f>
        <v/>
      </c>
      <c r="Y1192" s="21" t="str">
        <f>IF(Q1192&gt;0,CONCATENATE("0x",(DEC2HEX(IF(P1192&lt;&gt;"",VLOOKUP(P1192,Notes!$A$2:$B$37,2,FALSE)*1024,0) + Q1192*16 + IF(R1192="",7,R1192)*2 + IF(S1192&gt;0, 1, 0))),","),"")</f>
        <v/>
      </c>
    </row>
    <row r="1193" spans="1:25" x14ac:dyDescent="0.25">
      <c r="B1193" s="12"/>
      <c r="C1193" s="13"/>
      <c r="D1193" s="13"/>
      <c r="E1193" s="14"/>
      <c r="F1193" s="18">
        <f t="shared" si="108"/>
        <v>0</v>
      </c>
      <c r="G1193" s="1" t="str">
        <f t="shared" si="111"/>
        <v/>
      </c>
      <c r="I1193" s="12"/>
      <c r="J1193" s="13"/>
      <c r="K1193" s="13"/>
      <c r="L1193" s="14"/>
      <c r="M1193" s="18">
        <f t="shared" si="109"/>
        <v>0</v>
      </c>
      <c r="N1193" s="1" t="str">
        <f t="shared" si="112"/>
        <v/>
      </c>
      <c r="P1193" s="12"/>
      <c r="Q1193" s="13"/>
      <c r="R1193" s="13"/>
      <c r="S1193" s="14"/>
      <c r="T1193" s="18">
        <f t="shared" si="110"/>
        <v>0</v>
      </c>
      <c r="U1193" s="1" t="str">
        <f t="shared" si="113"/>
        <v/>
      </c>
      <c r="W1193" s="21" t="str">
        <f>IF(C1193&gt;0,CONCATENATE("0x",(DEC2HEX(IF(B1193&lt;&gt;"",VLOOKUP(B1193,Notes!$A$2:$B$37,2,FALSE)*1024,0) + C1193*16 + IF(D1193="",7,D1193)*2 + IF(E1193&gt;0, 1, 0))),","),"")</f>
        <v/>
      </c>
      <c r="X1193" s="21" t="str">
        <f>IF(J1193&gt;0,CONCATENATE("0x",(DEC2HEX(IF(I1193&lt;&gt;"",VLOOKUP(I1193,Notes!$A$2:$B$37,2,FALSE)*1024,0) + J1193*16 + IF(K1193="",7,K1193)*2 + IF(L1193&gt;0, 1, 0))),","),"")</f>
        <v/>
      </c>
      <c r="Y1193" s="21" t="str">
        <f>IF(Q1193&gt;0,CONCATENATE("0x",(DEC2HEX(IF(P1193&lt;&gt;"",VLOOKUP(P1193,Notes!$A$2:$B$37,2,FALSE)*1024,0) + Q1193*16 + IF(R1193="",7,R1193)*2 + IF(S1193&gt;0, 1, 0))),","),"")</f>
        <v/>
      </c>
    </row>
    <row r="1194" spans="1:25" x14ac:dyDescent="0.25">
      <c r="F1194" s="18">
        <f t="shared" si="108"/>
        <v>0</v>
      </c>
      <c r="G1194" s="1" t="str">
        <f t="shared" si="111"/>
        <v/>
      </c>
      <c r="M1194" s="18">
        <f t="shared" si="109"/>
        <v>0</v>
      </c>
      <c r="N1194" s="1" t="str">
        <f t="shared" si="112"/>
        <v/>
      </c>
      <c r="T1194" s="18">
        <f t="shared" si="110"/>
        <v>0</v>
      </c>
      <c r="U1194" s="1" t="str">
        <f t="shared" si="113"/>
        <v/>
      </c>
      <c r="W1194" s="21" t="str">
        <f>IF(C1194&gt;0,CONCATENATE("0x",(DEC2HEX(IF(B1194&lt;&gt;"",VLOOKUP(B1194,Notes!$A$2:$B$37,2,FALSE)*1024,0) + C1194*16 + IF(D1194="",7,D1194)*2 + IF(E1194&gt;0, 1, 0))),","),"")</f>
        <v/>
      </c>
      <c r="X1194" s="21" t="str">
        <f>IF(J1194&gt;0,CONCATENATE("0x",(DEC2HEX(IF(I1194&lt;&gt;"",VLOOKUP(I1194,Notes!$A$2:$B$37,2,FALSE)*1024,0) + J1194*16 + IF(K1194="",7,K1194)*2 + IF(L1194&gt;0, 1, 0))),","),"")</f>
        <v/>
      </c>
      <c r="Y1194" s="21" t="str">
        <f>IF(Q1194&gt;0,CONCATENATE("0x",(DEC2HEX(IF(P1194&lt;&gt;"",VLOOKUP(P1194,Notes!$A$2:$B$37,2,FALSE)*1024,0) + Q1194*16 + IF(R1194="",7,R1194)*2 + IF(S1194&gt;0, 1, 0))),","),"")</f>
        <v/>
      </c>
    </row>
    <row r="1195" spans="1:25" x14ac:dyDescent="0.25">
      <c r="F1195" s="18">
        <f t="shared" si="108"/>
        <v>0</v>
      </c>
      <c r="G1195" s="1" t="str">
        <f t="shared" si="111"/>
        <v/>
      </c>
      <c r="M1195" s="18">
        <f t="shared" si="109"/>
        <v>0</v>
      </c>
      <c r="N1195" s="1" t="str">
        <f t="shared" si="112"/>
        <v/>
      </c>
      <c r="T1195" s="18">
        <f t="shared" si="110"/>
        <v>0</v>
      </c>
      <c r="U1195" s="1" t="str">
        <f t="shared" si="113"/>
        <v/>
      </c>
      <c r="W1195" s="21" t="str">
        <f>IF(C1195&gt;0,CONCATENATE("0x",(DEC2HEX(IF(B1195&lt;&gt;"",VLOOKUP(B1195,Notes!$A$2:$B$37,2,FALSE)*1024,0) + C1195*16 + IF(D1195="",7,D1195)*2 + IF(E1195&gt;0, 1, 0))),","),"")</f>
        <v/>
      </c>
      <c r="X1195" s="21" t="str">
        <f>IF(J1195&gt;0,CONCATENATE("0x",(DEC2HEX(IF(I1195&lt;&gt;"",VLOOKUP(I1195,Notes!$A$2:$B$37,2,FALSE)*1024,0) + J1195*16 + IF(K1195="",7,K1195)*2 + IF(L1195&gt;0, 1, 0))),","),"")</f>
        <v/>
      </c>
      <c r="Y1195" s="21" t="str">
        <f>IF(Q1195&gt;0,CONCATENATE("0x",(DEC2HEX(IF(P1195&lt;&gt;"",VLOOKUP(P1195,Notes!$A$2:$B$37,2,FALSE)*1024,0) + Q1195*16 + IF(R1195="",7,R1195)*2 + IF(S1195&gt;0, 1, 0))),","),"")</f>
        <v/>
      </c>
    </row>
    <row r="1196" spans="1:25" x14ac:dyDescent="0.25">
      <c r="F1196" s="18">
        <f t="shared" si="108"/>
        <v>0</v>
      </c>
      <c r="G1196" s="1" t="str">
        <f t="shared" si="111"/>
        <v/>
      </c>
      <c r="M1196" s="18">
        <f t="shared" si="109"/>
        <v>0</v>
      </c>
      <c r="N1196" s="1" t="str">
        <f t="shared" si="112"/>
        <v/>
      </c>
      <c r="T1196" s="18">
        <f t="shared" si="110"/>
        <v>0</v>
      </c>
      <c r="U1196" s="1" t="str">
        <f t="shared" si="113"/>
        <v/>
      </c>
      <c r="W1196" s="21" t="str">
        <f>IF(C1196&gt;0,CONCATENATE("0x",(DEC2HEX(IF(B1196&lt;&gt;"",VLOOKUP(B1196,Notes!$A$2:$B$37,2,FALSE)*1024,0) + C1196*16 + IF(D1196="",7,D1196)*2 + IF(E1196&gt;0, 1, 0))),","),"")</f>
        <v/>
      </c>
      <c r="X1196" s="21" t="str">
        <f>IF(J1196&gt;0,CONCATENATE("0x",(DEC2HEX(IF(I1196&lt;&gt;"",VLOOKUP(I1196,Notes!$A$2:$B$37,2,FALSE)*1024,0) + J1196*16 + IF(K1196="",7,K1196)*2 + IF(L1196&gt;0, 1, 0))),","),"")</f>
        <v/>
      </c>
      <c r="Y1196" s="21" t="str">
        <f>IF(Q1196&gt;0,CONCATENATE("0x",(DEC2HEX(IF(P1196&lt;&gt;"",VLOOKUP(P1196,Notes!$A$2:$B$37,2,FALSE)*1024,0) + Q1196*16 + IF(R1196="",7,R1196)*2 + IF(S1196&gt;0, 1, 0))),","),"")</f>
        <v/>
      </c>
    </row>
    <row r="1197" spans="1:25" x14ac:dyDescent="0.25">
      <c r="F1197" s="18">
        <f t="shared" si="108"/>
        <v>0</v>
      </c>
      <c r="G1197" s="1" t="str">
        <f t="shared" si="111"/>
        <v/>
      </c>
      <c r="M1197" s="18">
        <f t="shared" si="109"/>
        <v>0</v>
      </c>
      <c r="N1197" s="1" t="str">
        <f t="shared" si="112"/>
        <v/>
      </c>
      <c r="T1197" s="18">
        <f t="shared" si="110"/>
        <v>0</v>
      </c>
      <c r="U1197" s="1" t="str">
        <f t="shared" si="113"/>
        <v/>
      </c>
      <c r="W1197" s="21" t="str">
        <f>IF(C1197&gt;0,CONCATENATE("0x",(DEC2HEX(IF(B1197&lt;&gt;"",VLOOKUP(B1197,Notes!$A$2:$B$37,2,FALSE)*1024,0) + C1197*16 + IF(D1197="",7,D1197)*2 + IF(E1197&gt;0, 1, 0))),","),"")</f>
        <v/>
      </c>
      <c r="X1197" s="21" t="str">
        <f>IF(J1197&gt;0,CONCATENATE("0x",(DEC2HEX(IF(I1197&lt;&gt;"",VLOOKUP(I1197,Notes!$A$2:$B$37,2,FALSE)*1024,0) + J1197*16 + IF(K1197="",7,K1197)*2 + IF(L1197&gt;0, 1, 0))),","),"")</f>
        <v/>
      </c>
      <c r="Y1197" s="21" t="str">
        <f>IF(Q1197&gt;0,CONCATENATE("0x",(DEC2HEX(IF(P1197&lt;&gt;"",VLOOKUP(P1197,Notes!$A$2:$B$37,2,FALSE)*1024,0) + Q1197*16 + IF(R1197="",7,R1197)*2 + IF(S1197&gt;0, 1, 0))),","),"")</f>
        <v/>
      </c>
    </row>
    <row r="1198" spans="1:25" x14ac:dyDescent="0.25">
      <c r="F1198" s="18">
        <f t="shared" si="108"/>
        <v>0</v>
      </c>
      <c r="G1198" s="1" t="str">
        <f t="shared" si="111"/>
        <v/>
      </c>
      <c r="M1198" s="18">
        <f t="shared" si="109"/>
        <v>0</v>
      </c>
      <c r="N1198" s="1" t="str">
        <f t="shared" si="112"/>
        <v/>
      </c>
      <c r="T1198" s="18">
        <f t="shared" si="110"/>
        <v>0</v>
      </c>
      <c r="U1198" s="1" t="str">
        <f t="shared" si="113"/>
        <v/>
      </c>
      <c r="W1198" s="21" t="str">
        <f>IF(C1198&gt;0,CONCATENATE("0x",(DEC2HEX(IF(B1198&lt;&gt;"",VLOOKUP(B1198,Notes!$A$2:$B$37,2,FALSE)*1024,0) + C1198*16 + IF(D1198="",7,D1198)*2 + IF(E1198&gt;0, 1, 0))),","),"")</f>
        <v/>
      </c>
      <c r="X1198" s="21" t="str">
        <f>IF(J1198&gt;0,CONCATENATE("0x",(DEC2HEX(IF(I1198&lt;&gt;"",VLOOKUP(I1198,Notes!$A$2:$B$37,2,FALSE)*1024,0) + J1198*16 + IF(K1198="",7,K1198)*2 + IF(L1198&gt;0, 1, 0))),","),"")</f>
        <v/>
      </c>
      <c r="Y1198" s="21" t="str">
        <f>IF(Q1198&gt;0,CONCATENATE("0x",(DEC2HEX(IF(P1198&lt;&gt;"",VLOOKUP(P1198,Notes!$A$2:$B$37,2,FALSE)*1024,0) + Q1198*16 + IF(R1198="",7,R1198)*2 + IF(S1198&gt;0, 1, 0))),","),"")</f>
        <v/>
      </c>
    </row>
    <row r="1199" spans="1:25" x14ac:dyDescent="0.25">
      <c r="F1199" s="18">
        <f t="shared" si="108"/>
        <v>0</v>
      </c>
      <c r="G1199" s="1" t="str">
        <f t="shared" si="111"/>
        <v/>
      </c>
      <c r="M1199" s="18">
        <f t="shared" si="109"/>
        <v>0</v>
      </c>
      <c r="N1199" s="1" t="str">
        <f t="shared" si="112"/>
        <v/>
      </c>
      <c r="T1199" s="18">
        <f t="shared" si="110"/>
        <v>0</v>
      </c>
      <c r="U1199" s="1" t="str">
        <f t="shared" si="113"/>
        <v/>
      </c>
      <c r="W1199" s="21" t="str">
        <f>IF(C1199&gt;0,CONCATENATE("0x",(DEC2HEX(IF(B1199&lt;&gt;"",VLOOKUP(B1199,Notes!$A$2:$B$37,2,FALSE)*1024,0) + C1199*16 + IF(D1199="",7,D1199)*2 + IF(E1199&gt;0, 1, 0))),","),"")</f>
        <v/>
      </c>
      <c r="X1199" s="21" t="str">
        <f>IF(J1199&gt;0,CONCATENATE("0x",(DEC2HEX(IF(I1199&lt;&gt;"",VLOOKUP(I1199,Notes!$A$2:$B$37,2,FALSE)*1024,0) + J1199*16 + IF(K1199="",7,K1199)*2 + IF(L1199&gt;0, 1, 0))),","),"")</f>
        <v/>
      </c>
      <c r="Y1199" s="21" t="str">
        <f>IF(Q1199&gt;0,CONCATENATE("0x",(DEC2HEX(IF(P1199&lt;&gt;"",VLOOKUP(P1199,Notes!$A$2:$B$37,2,FALSE)*1024,0) + Q1199*16 + IF(R1199="",7,R1199)*2 + IF(S1199&gt;0, 1, 0))),","),"")</f>
        <v/>
      </c>
    </row>
    <row r="1200" spans="1:25" x14ac:dyDescent="0.25">
      <c r="F1200" s="18">
        <f t="shared" si="108"/>
        <v>0</v>
      </c>
      <c r="G1200" s="1" t="str">
        <f t="shared" si="111"/>
        <v/>
      </c>
      <c r="M1200" s="18">
        <f t="shared" si="109"/>
        <v>0</v>
      </c>
      <c r="N1200" s="1" t="str">
        <f t="shared" si="112"/>
        <v/>
      </c>
      <c r="T1200" s="18">
        <f t="shared" si="110"/>
        <v>0</v>
      </c>
      <c r="U1200" s="1" t="str">
        <f t="shared" si="113"/>
        <v/>
      </c>
      <c r="W1200" s="21" t="str">
        <f>IF(C1200&gt;0,CONCATENATE("0x",(DEC2HEX(IF(B1200&lt;&gt;"",VLOOKUP(B1200,Notes!$A$2:$B$37,2,FALSE)*1024,0) + C1200*16 + IF(D1200="",7,D1200)*2 + IF(E1200&gt;0, 1, 0))),","),"")</f>
        <v/>
      </c>
      <c r="X1200" s="21" t="str">
        <f>IF(J1200&gt;0,CONCATENATE("0x",(DEC2HEX(IF(I1200&lt;&gt;"",VLOOKUP(I1200,Notes!$A$2:$B$37,2,FALSE)*1024,0) + J1200*16 + IF(K1200="",7,K1200)*2 + IF(L1200&gt;0, 1, 0))),","),"")</f>
        <v/>
      </c>
      <c r="Y1200" s="21" t="str">
        <f>IF(Q1200&gt;0,CONCATENATE("0x",(DEC2HEX(IF(P1200&lt;&gt;"",VLOOKUP(P1200,Notes!$A$2:$B$37,2,FALSE)*1024,0) + Q1200*16 + IF(R1200="",7,R1200)*2 + IF(S1200&gt;0, 1, 0))),","),"")</f>
        <v/>
      </c>
    </row>
    <row r="1201" spans="2:25" x14ac:dyDescent="0.25">
      <c r="B1201" s="12"/>
      <c r="C1201" s="13"/>
      <c r="D1201" s="13"/>
      <c r="E1201" s="14"/>
      <c r="F1201" s="18">
        <f t="shared" si="108"/>
        <v>0</v>
      </c>
      <c r="G1201" s="1" t="str">
        <f t="shared" si="111"/>
        <v/>
      </c>
      <c r="I1201" s="12"/>
      <c r="J1201" s="13"/>
      <c r="K1201" s="13"/>
      <c r="L1201" s="14"/>
      <c r="M1201" s="18">
        <f t="shared" si="109"/>
        <v>0</v>
      </c>
      <c r="N1201" s="1" t="str">
        <f t="shared" si="112"/>
        <v/>
      </c>
      <c r="P1201" s="12"/>
      <c r="Q1201" s="13"/>
      <c r="R1201" s="13"/>
      <c r="S1201" s="14"/>
      <c r="T1201" s="18">
        <f t="shared" si="110"/>
        <v>0</v>
      </c>
      <c r="U1201" s="1" t="str">
        <f t="shared" si="113"/>
        <v/>
      </c>
      <c r="W1201" s="21" t="str">
        <f>IF(C1201&gt;0,CONCATENATE("0x",(DEC2HEX(IF(B1201&lt;&gt;"",VLOOKUP(B1201,Notes!$A$2:$B$37,2,FALSE)*1024,0) + C1201*16 + IF(D1201="",7,D1201)*2 + IF(E1201&gt;0, 1, 0))),","),"")</f>
        <v/>
      </c>
      <c r="X1201" s="21" t="str">
        <f>IF(J1201&gt;0,CONCATENATE("0x",(DEC2HEX(IF(I1201&lt;&gt;"",VLOOKUP(I1201,Notes!$A$2:$B$37,2,FALSE)*1024,0) + J1201*16 + IF(K1201="",7,K1201)*2 + IF(L1201&gt;0, 1, 0))),","),"")</f>
        <v/>
      </c>
      <c r="Y1201" s="21" t="str">
        <f>IF(Q1201&gt;0,CONCATENATE("0x",(DEC2HEX(IF(P1201&lt;&gt;"",VLOOKUP(P1201,Notes!$A$2:$B$37,2,FALSE)*1024,0) + Q1201*16 + IF(R1201="",7,R1201)*2 + IF(S1201&gt;0, 1, 0))),","),"")</f>
        <v/>
      </c>
    </row>
    <row r="1202" spans="2:25" x14ac:dyDescent="0.25">
      <c r="F1202" s="18">
        <f t="shared" si="108"/>
        <v>0</v>
      </c>
      <c r="G1202" s="1" t="str">
        <f t="shared" si="111"/>
        <v/>
      </c>
      <c r="M1202" s="18">
        <f t="shared" si="109"/>
        <v>0</v>
      </c>
      <c r="N1202" s="1" t="str">
        <f t="shared" si="112"/>
        <v/>
      </c>
      <c r="T1202" s="18">
        <f t="shared" si="110"/>
        <v>0</v>
      </c>
      <c r="U1202" s="1" t="str">
        <f t="shared" si="113"/>
        <v/>
      </c>
      <c r="W1202" s="21" t="str">
        <f>IF(C1202&gt;0,CONCATENATE("0x",(DEC2HEX(IF(B1202&lt;&gt;"",VLOOKUP(B1202,Notes!$A$2:$B$37,2,FALSE)*1024,0) + C1202*16 + IF(D1202="",7,D1202)*2 + IF(E1202&gt;0, 1, 0))),","),"")</f>
        <v/>
      </c>
      <c r="X1202" s="21" t="str">
        <f>IF(J1202&gt;0,CONCATENATE("0x",(DEC2HEX(IF(I1202&lt;&gt;"",VLOOKUP(I1202,Notes!$A$2:$B$37,2,FALSE)*1024,0) + J1202*16 + IF(K1202="",7,K1202)*2 + IF(L1202&gt;0, 1, 0))),","),"")</f>
        <v/>
      </c>
      <c r="Y1202" s="21" t="str">
        <f>IF(Q1202&gt;0,CONCATENATE("0x",(DEC2HEX(IF(P1202&lt;&gt;"",VLOOKUP(P1202,Notes!$A$2:$B$37,2,FALSE)*1024,0) + Q1202*16 + IF(R1202="",7,R1202)*2 + IF(S1202&gt;0, 1, 0))),","),"")</f>
        <v/>
      </c>
    </row>
    <row r="1203" spans="2:25" x14ac:dyDescent="0.25">
      <c r="F1203" s="18">
        <f t="shared" si="108"/>
        <v>0</v>
      </c>
      <c r="G1203" s="1" t="str">
        <f t="shared" si="111"/>
        <v/>
      </c>
      <c r="M1203" s="18">
        <f t="shared" si="109"/>
        <v>0</v>
      </c>
      <c r="N1203" s="1" t="str">
        <f t="shared" si="112"/>
        <v/>
      </c>
      <c r="T1203" s="18">
        <f t="shared" si="110"/>
        <v>0</v>
      </c>
      <c r="U1203" s="1" t="str">
        <f t="shared" si="113"/>
        <v/>
      </c>
      <c r="W1203" s="21" t="str">
        <f>IF(C1203&gt;0,CONCATENATE("0x",(DEC2HEX(IF(B1203&lt;&gt;"",VLOOKUP(B1203,Notes!$A$2:$B$37,2,FALSE)*1024,0) + C1203*16 + IF(D1203="",7,D1203)*2 + IF(E1203&gt;0, 1, 0))),","),"")</f>
        <v/>
      </c>
      <c r="X1203" s="21" t="str">
        <f>IF(J1203&gt;0,CONCATENATE("0x",(DEC2HEX(IF(I1203&lt;&gt;"",VLOOKUP(I1203,Notes!$A$2:$B$37,2,FALSE)*1024,0) + J1203*16 + IF(K1203="",7,K1203)*2 + IF(L1203&gt;0, 1, 0))),","),"")</f>
        <v/>
      </c>
      <c r="Y1203" s="21" t="str">
        <f>IF(Q1203&gt;0,CONCATENATE("0x",(DEC2HEX(IF(P1203&lt;&gt;"",VLOOKUP(P1203,Notes!$A$2:$B$37,2,FALSE)*1024,0) + Q1203*16 + IF(R1203="",7,R1203)*2 + IF(S1203&gt;0, 1, 0))),","),"")</f>
        <v/>
      </c>
    </row>
    <row r="1204" spans="2:25" x14ac:dyDescent="0.25">
      <c r="F1204" s="18">
        <f t="shared" si="108"/>
        <v>0</v>
      </c>
      <c r="G1204" s="1" t="str">
        <f t="shared" si="111"/>
        <v/>
      </c>
      <c r="M1204" s="18">
        <f t="shared" si="109"/>
        <v>0</v>
      </c>
      <c r="N1204" s="1" t="str">
        <f t="shared" si="112"/>
        <v/>
      </c>
      <c r="T1204" s="18">
        <f t="shared" si="110"/>
        <v>0</v>
      </c>
      <c r="U1204" s="1" t="str">
        <f t="shared" si="113"/>
        <v/>
      </c>
      <c r="W1204" s="21" t="str">
        <f>IF(C1204&gt;0,CONCATENATE("0x",(DEC2HEX(IF(B1204&lt;&gt;"",VLOOKUP(B1204,Notes!$A$2:$B$37,2,FALSE)*1024,0) + C1204*16 + IF(D1204="",7,D1204)*2 + IF(E1204&gt;0, 1, 0))),","),"")</f>
        <v/>
      </c>
      <c r="X1204" s="21" t="str">
        <f>IF(J1204&gt;0,CONCATENATE("0x",(DEC2HEX(IF(I1204&lt;&gt;"",VLOOKUP(I1204,Notes!$A$2:$B$37,2,FALSE)*1024,0) + J1204*16 + IF(K1204="",7,K1204)*2 + IF(L1204&gt;0, 1, 0))),","),"")</f>
        <v/>
      </c>
      <c r="Y1204" s="21" t="str">
        <f>IF(Q1204&gt;0,CONCATENATE("0x",(DEC2HEX(IF(P1204&lt;&gt;"",VLOOKUP(P1204,Notes!$A$2:$B$37,2,FALSE)*1024,0) + Q1204*16 + IF(R1204="",7,R1204)*2 + IF(S1204&gt;0, 1, 0))),","),"")</f>
        <v/>
      </c>
    </row>
    <row r="1205" spans="2:25" x14ac:dyDescent="0.25">
      <c r="F1205" s="18">
        <f t="shared" si="108"/>
        <v>0</v>
      </c>
      <c r="G1205" s="1" t="str">
        <f t="shared" si="111"/>
        <v/>
      </c>
      <c r="M1205" s="18">
        <f t="shared" si="109"/>
        <v>0</v>
      </c>
      <c r="N1205" s="1" t="str">
        <f t="shared" si="112"/>
        <v/>
      </c>
      <c r="T1205" s="18">
        <f t="shared" si="110"/>
        <v>0</v>
      </c>
      <c r="U1205" s="1" t="str">
        <f t="shared" si="113"/>
        <v/>
      </c>
      <c r="W1205" s="21" t="str">
        <f>IF(C1205&gt;0,CONCATENATE("0x",(DEC2HEX(IF(B1205&lt;&gt;"",VLOOKUP(B1205,Notes!$A$2:$B$37,2,FALSE)*1024,0) + C1205*16 + IF(D1205="",7,D1205)*2 + IF(E1205&gt;0, 1, 0))),","),"")</f>
        <v/>
      </c>
      <c r="X1205" s="21" t="str">
        <f>IF(J1205&gt;0,CONCATENATE("0x",(DEC2HEX(IF(I1205&lt;&gt;"",VLOOKUP(I1205,Notes!$A$2:$B$37,2,FALSE)*1024,0) + J1205*16 + IF(K1205="",7,K1205)*2 + IF(L1205&gt;0, 1, 0))),","),"")</f>
        <v/>
      </c>
      <c r="Y1205" s="21" t="str">
        <f>IF(Q1205&gt;0,CONCATENATE("0x",(DEC2HEX(IF(P1205&lt;&gt;"",VLOOKUP(P1205,Notes!$A$2:$B$37,2,FALSE)*1024,0) + Q1205*16 + IF(R1205="",7,R1205)*2 + IF(S1205&gt;0, 1, 0))),","),"")</f>
        <v/>
      </c>
    </row>
    <row r="1206" spans="2:25" x14ac:dyDescent="0.25">
      <c r="F1206" s="18">
        <f t="shared" si="108"/>
        <v>0</v>
      </c>
      <c r="G1206" s="1" t="str">
        <f t="shared" si="111"/>
        <v/>
      </c>
      <c r="M1206" s="18">
        <f t="shared" si="109"/>
        <v>0</v>
      </c>
      <c r="N1206" s="1" t="str">
        <f t="shared" si="112"/>
        <v/>
      </c>
      <c r="T1206" s="18">
        <f t="shared" si="110"/>
        <v>0</v>
      </c>
      <c r="U1206" s="1" t="str">
        <f t="shared" si="113"/>
        <v/>
      </c>
      <c r="W1206" s="21" t="str">
        <f>IF(C1206&gt;0,CONCATENATE("0x",(DEC2HEX(IF(B1206&lt;&gt;"",VLOOKUP(B1206,Notes!$A$2:$B$37,2,FALSE)*1024,0) + C1206*16 + IF(D1206="",7,D1206)*2 + IF(E1206&gt;0, 1, 0))),","),"")</f>
        <v/>
      </c>
      <c r="X1206" s="21" t="str">
        <f>IF(J1206&gt;0,CONCATENATE("0x",(DEC2HEX(IF(I1206&lt;&gt;"",VLOOKUP(I1206,Notes!$A$2:$B$37,2,FALSE)*1024,0) + J1206*16 + IF(K1206="",7,K1206)*2 + IF(L1206&gt;0, 1, 0))),","),"")</f>
        <v/>
      </c>
      <c r="Y1206" s="21" t="str">
        <f>IF(Q1206&gt;0,CONCATENATE("0x",(DEC2HEX(IF(P1206&lt;&gt;"",VLOOKUP(P1206,Notes!$A$2:$B$37,2,FALSE)*1024,0) + Q1206*16 + IF(R1206="",7,R1206)*2 + IF(S1206&gt;0, 1, 0))),","),"")</f>
        <v/>
      </c>
    </row>
    <row r="1207" spans="2:25" x14ac:dyDescent="0.25">
      <c r="F1207" s="18">
        <f t="shared" si="108"/>
        <v>0</v>
      </c>
      <c r="G1207" s="1" t="str">
        <f t="shared" si="111"/>
        <v/>
      </c>
      <c r="M1207" s="18">
        <f t="shared" si="109"/>
        <v>0</v>
      </c>
      <c r="N1207" s="1" t="str">
        <f t="shared" si="112"/>
        <v/>
      </c>
      <c r="T1207" s="18">
        <f t="shared" si="110"/>
        <v>0</v>
      </c>
      <c r="U1207" s="1" t="str">
        <f t="shared" si="113"/>
        <v/>
      </c>
      <c r="W1207" s="21" t="str">
        <f>IF(C1207&gt;0,CONCATENATE("0x",(DEC2HEX(IF(B1207&lt;&gt;"",VLOOKUP(B1207,Notes!$A$2:$B$37,2,FALSE)*1024,0) + C1207*16 + IF(D1207="",7,D1207)*2 + IF(E1207&gt;0, 1, 0))),","),"")</f>
        <v/>
      </c>
      <c r="X1207" s="21" t="str">
        <f>IF(J1207&gt;0,CONCATENATE("0x",(DEC2HEX(IF(I1207&lt;&gt;"",VLOOKUP(I1207,Notes!$A$2:$B$37,2,FALSE)*1024,0) + J1207*16 + IF(K1207="",7,K1207)*2 + IF(L1207&gt;0, 1, 0))),","),"")</f>
        <v/>
      </c>
      <c r="Y1207" s="21" t="str">
        <f>IF(Q1207&gt;0,CONCATENATE("0x",(DEC2HEX(IF(P1207&lt;&gt;"",VLOOKUP(P1207,Notes!$A$2:$B$37,2,FALSE)*1024,0) + Q1207*16 + IF(R1207="",7,R1207)*2 + IF(S1207&gt;0, 1, 0))),","),"")</f>
        <v/>
      </c>
    </row>
    <row r="1208" spans="2:25" x14ac:dyDescent="0.25">
      <c r="F1208" s="18">
        <f t="shared" si="108"/>
        <v>0</v>
      </c>
      <c r="G1208" s="1" t="str">
        <f t="shared" si="111"/>
        <v/>
      </c>
      <c r="M1208" s="18">
        <f t="shared" si="109"/>
        <v>0</v>
      </c>
      <c r="N1208" s="1" t="str">
        <f t="shared" si="112"/>
        <v/>
      </c>
      <c r="T1208" s="18">
        <f t="shared" si="110"/>
        <v>0</v>
      </c>
      <c r="U1208" s="1" t="str">
        <f t="shared" si="113"/>
        <v/>
      </c>
      <c r="W1208" s="21" t="str">
        <f>IF(C1208&gt;0,CONCATENATE("0x",(DEC2HEX(IF(B1208&lt;&gt;"",VLOOKUP(B1208,Notes!$A$2:$B$37,2,FALSE)*1024,0) + C1208*16 + IF(D1208="",7,D1208)*2 + IF(E1208&gt;0, 1, 0))),","),"")</f>
        <v/>
      </c>
      <c r="X1208" s="21" t="str">
        <f>IF(J1208&gt;0,CONCATENATE("0x",(DEC2HEX(IF(I1208&lt;&gt;"",VLOOKUP(I1208,Notes!$A$2:$B$37,2,FALSE)*1024,0) + J1208*16 + IF(K1208="",7,K1208)*2 + IF(L1208&gt;0, 1, 0))),","),"")</f>
        <v/>
      </c>
      <c r="Y1208" s="21" t="str">
        <f>IF(Q1208&gt;0,CONCATENATE("0x",(DEC2HEX(IF(P1208&lt;&gt;"",VLOOKUP(P1208,Notes!$A$2:$B$37,2,FALSE)*1024,0) + Q1208*16 + IF(R1208="",7,R1208)*2 + IF(S1208&gt;0, 1, 0))),","),"")</f>
        <v/>
      </c>
    </row>
    <row r="1209" spans="2:25" x14ac:dyDescent="0.25">
      <c r="B1209" s="12"/>
      <c r="C1209" s="13"/>
      <c r="D1209" s="13"/>
      <c r="E1209" s="14"/>
      <c r="F1209" s="18">
        <f t="shared" si="108"/>
        <v>0</v>
      </c>
      <c r="G1209" s="1" t="str">
        <f t="shared" si="111"/>
        <v/>
      </c>
      <c r="I1209" s="12"/>
      <c r="J1209" s="13"/>
      <c r="K1209" s="13"/>
      <c r="L1209" s="14"/>
      <c r="M1209" s="18">
        <f t="shared" si="109"/>
        <v>0</v>
      </c>
      <c r="N1209" s="1" t="str">
        <f t="shared" si="112"/>
        <v/>
      </c>
      <c r="P1209" s="12"/>
      <c r="Q1209" s="13"/>
      <c r="R1209" s="13"/>
      <c r="S1209" s="14"/>
      <c r="T1209" s="18">
        <f t="shared" si="110"/>
        <v>0</v>
      </c>
      <c r="U1209" s="1" t="str">
        <f t="shared" si="113"/>
        <v/>
      </c>
      <c r="W1209" s="21" t="str">
        <f>IF(C1209&gt;0,CONCATENATE("0x",(DEC2HEX(IF(B1209&lt;&gt;"",VLOOKUP(B1209,Notes!$A$2:$B$37,2,FALSE)*1024,0) + C1209*16 + IF(D1209="",7,D1209)*2 + IF(E1209&gt;0, 1, 0))),","),"")</f>
        <v/>
      </c>
      <c r="X1209" s="21" t="str">
        <f>IF(J1209&gt;0,CONCATENATE("0x",(DEC2HEX(IF(I1209&lt;&gt;"",VLOOKUP(I1209,Notes!$A$2:$B$37,2,FALSE)*1024,0) + J1209*16 + IF(K1209="",7,K1209)*2 + IF(L1209&gt;0, 1, 0))),","),"")</f>
        <v/>
      </c>
      <c r="Y1209" s="21" t="str">
        <f>IF(Q1209&gt;0,CONCATENATE("0x",(DEC2HEX(IF(P1209&lt;&gt;"",VLOOKUP(P1209,Notes!$A$2:$B$37,2,FALSE)*1024,0) + Q1209*16 + IF(R1209="",7,R1209)*2 + IF(S1209&gt;0, 1, 0))),","),"")</f>
        <v/>
      </c>
    </row>
    <row r="1210" spans="2:25" x14ac:dyDescent="0.25">
      <c r="F1210" s="18">
        <f t="shared" si="108"/>
        <v>0</v>
      </c>
      <c r="G1210" s="1" t="str">
        <f t="shared" si="111"/>
        <v/>
      </c>
      <c r="M1210" s="18">
        <f t="shared" si="109"/>
        <v>0</v>
      </c>
      <c r="N1210" s="1" t="str">
        <f t="shared" si="112"/>
        <v/>
      </c>
      <c r="T1210" s="18">
        <f t="shared" si="110"/>
        <v>0</v>
      </c>
      <c r="U1210" s="1" t="str">
        <f t="shared" si="113"/>
        <v/>
      </c>
      <c r="W1210" s="21" t="str">
        <f>IF(C1210&gt;0,CONCATENATE("0x",(DEC2HEX(IF(B1210&lt;&gt;"",VLOOKUP(B1210,Notes!$A$2:$B$37,2,FALSE)*1024,0) + C1210*16 + IF(D1210="",7,D1210)*2 + IF(E1210&gt;0, 1, 0))),","),"")</f>
        <v/>
      </c>
      <c r="X1210" s="21" t="str">
        <f>IF(J1210&gt;0,CONCATENATE("0x",(DEC2HEX(IF(I1210&lt;&gt;"",VLOOKUP(I1210,Notes!$A$2:$B$37,2,FALSE)*1024,0) + J1210*16 + IF(K1210="",7,K1210)*2 + IF(L1210&gt;0, 1, 0))),","),"")</f>
        <v/>
      </c>
      <c r="Y1210" s="21" t="str">
        <f>IF(Q1210&gt;0,CONCATENATE("0x",(DEC2HEX(IF(P1210&lt;&gt;"",VLOOKUP(P1210,Notes!$A$2:$B$37,2,FALSE)*1024,0) + Q1210*16 + IF(R1210="",7,R1210)*2 + IF(S1210&gt;0, 1, 0))),","),"")</f>
        <v/>
      </c>
    </row>
    <row r="1211" spans="2:25" x14ac:dyDescent="0.25">
      <c r="F1211" s="18">
        <f t="shared" si="108"/>
        <v>0</v>
      </c>
      <c r="G1211" s="1" t="str">
        <f t="shared" si="111"/>
        <v/>
      </c>
      <c r="M1211" s="18">
        <f t="shared" si="109"/>
        <v>0</v>
      </c>
      <c r="N1211" s="1" t="str">
        <f t="shared" si="112"/>
        <v/>
      </c>
      <c r="T1211" s="18">
        <f t="shared" si="110"/>
        <v>0</v>
      </c>
      <c r="U1211" s="1" t="str">
        <f t="shared" si="113"/>
        <v/>
      </c>
      <c r="W1211" s="21" t="str">
        <f>IF(C1211&gt;0,CONCATENATE("0x",(DEC2HEX(IF(B1211&lt;&gt;"",VLOOKUP(B1211,Notes!$A$2:$B$37,2,FALSE)*1024,0) + C1211*16 + IF(D1211="",7,D1211)*2 + IF(E1211&gt;0, 1, 0))),","),"")</f>
        <v/>
      </c>
      <c r="X1211" s="21" t="str">
        <f>IF(J1211&gt;0,CONCATENATE("0x",(DEC2HEX(IF(I1211&lt;&gt;"",VLOOKUP(I1211,Notes!$A$2:$B$37,2,FALSE)*1024,0) + J1211*16 + IF(K1211="",7,K1211)*2 + IF(L1211&gt;0, 1, 0))),","),"")</f>
        <v/>
      </c>
      <c r="Y1211" s="21" t="str">
        <f>IF(Q1211&gt;0,CONCATENATE("0x",(DEC2HEX(IF(P1211&lt;&gt;"",VLOOKUP(P1211,Notes!$A$2:$B$37,2,FALSE)*1024,0) + Q1211*16 + IF(R1211="",7,R1211)*2 + IF(S1211&gt;0, 1, 0))),","),"")</f>
        <v/>
      </c>
    </row>
    <row r="1212" spans="2:25" x14ac:dyDescent="0.25">
      <c r="F1212" s="18">
        <f t="shared" si="108"/>
        <v>0</v>
      </c>
      <c r="G1212" s="1" t="str">
        <f t="shared" si="111"/>
        <v/>
      </c>
      <c r="M1212" s="18">
        <f t="shared" si="109"/>
        <v>0</v>
      </c>
      <c r="N1212" s="1" t="str">
        <f t="shared" si="112"/>
        <v/>
      </c>
      <c r="T1212" s="18">
        <f t="shared" si="110"/>
        <v>0</v>
      </c>
      <c r="U1212" s="1" t="str">
        <f t="shared" si="113"/>
        <v/>
      </c>
      <c r="W1212" s="21" t="str">
        <f>IF(C1212&gt;0,CONCATENATE("0x",(DEC2HEX(IF(B1212&lt;&gt;"",VLOOKUP(B1212,Notes!$A$2:$B$37,2,FALSE)*1024,0) + C1212*16 + IF(D1212="",7,D1212)*2 + IF(E1212&gt;0, 1, 0))),","),"")</f>
        <v/>
      </c>
      <c r="X1212" s="21" t="str">
        <f>IF(J1212&gt;0,CONCATENATE("0x",(DEC2HEX(IF(I1212&lt;&gt;"",VLOOKUP(I1212,Notes!$A$2:$B$37,2,FALSE)*1024,0) + J1212*16 + IF(K1212="",7,K1212)*2 + IF(L1212&gt;0, 1, 0))),","),"")</f>
        <v/>
      </c>
      <c r="Y1212" s="21" t="str">
        <f>IF(Q1212&gt;0,CONCATENATE("0x",(DEC2HEX(IF(P1212&lt;&gt;"",VLOOKUP(P1212,Notes!$A$2:$B$37,2,FALSE)*1024,0) + Q1212*16 + IF(R1212="",7,R1212)*2 + IF(S1212&gt;0, 1, 0))),","),"")</f>
        <v/>
      </c>
    </row>
    <row r="1213" spans="2:25" x14ac:dyDescent="0.25">
      <c r="F1213" s="18">
        <f t="shared" si="108"/>
        <v>0</v>
      </c>
      <c r="G1213" s="1" t="str">
        <f t="shared" si="111"/>
        <v/>
      </c>
      <c r="M1213" s="18">
        <f t="shared" si="109"/>
        <v>0</v>
      </c>
      <c r="N1213" s="1" t="str">
        <f t="shared" si="112"/>
        <v/>
      </c>
      <c r="T1213" s="18">
        <f t="shared" si="110"/>
        <v>0</v>
      </c>
      <c r="U1213" s="1" t="str">
        <f t="shared" si="113"/>
        <v/>
      </c>
      <c r="W1213" s="21" t="str">
        <f>IF(C1213&gt;0,CONCATENATE("0x",(DEC2HEX(IF(B1213&lt;&gt;"",VLOOKUP(B1213,Notes!$A$2:$B$37,2,FALSE)*1024,0) + C1213*16 + IF(D1213="",7,D1213)*2 + IF(E1213&gt;0, 1, 0))),","),"")</f>
        <v/>
      </c>
      <c r="X1213" s="21" t="str">
        <f>IF(J1213&gt;0,CONCATENATE("0x",(DEC2HEX(IF(I1213&lt;&gt;"",VLOOKUP(I1213,Notes!$A$2:$B$37,2,FALSE)*1024,0) + J1213*16 + IF(K1213="",7,K1213)*2 + IF(L1213&gt;0, 1, 0))),","),"")</f>
        <v/>
      </c>
      <c r="Y1213" s="21" t="str">
        <f>IF(Q1213&gt;0,CONCATENATE("0x",(DEC2HEX(IF(P1213&lt;&gt;"",VLOOKUP(P1213,Notes!$A$2:$B$37,2,FALSE)*1024,0) + Q1213*16 + IF(R1213="",7,R1213)*2 + IF(S1213&gt;0, 1, 0))),","),"")</f>
        <v/>
      </c>
    </row>
    <row r="1214" spans="2:25" x14ac:dyDescent="0.25">
      <c r="F1214" s="18">
        <f t="shared" si="108"/>
        <v>0</v>
      </c>
      <c r="G1214" s="1" t="str">
        <f t="shared" si="111"/>
        <v/>
      </c>
      <c r="M1214" s="18">
        <f t="shared" si="109"/>
        <v>0</v>
      </c>
      <c r="N1214" s="1" t="str">
        <f t="shared" si="112"/>
        <v/>
      </c>
      <c r="T1214" s="18">
        <f t="shared" si="110"/>
        <v>0</v>
      </c>
      <c r="U1214" s="1" t="str">
        <f t="shared" si="113"/>
        <v/>
      </c>
      <c r="W1214" s="21" t="str">
        <f>IF(C1214&gt;0,CONCATENATE("0x",(DEC2HEX(IF(B1214&lt;&gt;"",VLOOKUP(B1214,Notes!$A$2:$B$37,2,FALSE)*1024,0) + C1214*16 + IF(D1214="",7,D1214)*2 + IF(E1214&gt;0, 1, 0))),","),"")</f>
        <v/>
      </c>
      <c r="X1214" s="21" t="str">
        <f>IF(J1214&gt;0,CONCATENATE("0x",(DEC2HEX(IF(I1214&lt;&gt;"",VLOOKUP(I1214,Notes!$A$2:$B$37,2,FALSE)*1024,0) + J1214*16 + IF(K1214="",7,K1214)*2 + IF(L1214&gt;0, 1, 0))),","),"")</f>
        <v/>
      </c>
      <c r="Y1214" s="21" t="str">
        <f>IF(Q1214&gt;0,CONCATENATE("0x",(DEC2HEX(IF(P1214&lt;&gt;"",VLOOKUP(P1214,Notes!$A$2:$B$37,2,FALSE)*1024,0) + Q1214*16 + IF(R1214="",7,R1214)*2 + IF(S1214&gt;0, 1, 0))),","),"")</f>
        <v/>
      </c>
    </row>
    <row r="1215" spans="2:25" x14ac:dyDescent="0.25">
      <c r="F1215" s="18">
        <f t="shared" si="108"/>
        <v>0</v>
      </c>
      <c r="G1215" s="1" t="str">
        <f t="shared" si="111"/>
        <v/>
      </c>
      <c r="M1215" s="18">
        <f t="shared" si="109"/>
        <v>0</v>
      </c>
      <c r="N1215" s="1" t="str">
        <f t="shared" si="112"/>
        <v/>
      </c>
      <c r="T1215" s="18">
        <f t="shared" si="110"/>
        <v>0</v>
      </c>
      <c r="U1215" s="1" t="str">
        <f t="shared" si="113"/>
        <v/>
      </c>
      <c r="W1215" s="21" t="str">
        <f>IF(C1215&gt;0,CONCATENATE("0x",(DEC2HEX(IF(B1215&lt;&gt;"",VLOOKUP(B1215,Notes!$A$2:$B$37,2,FALSE)*1024,0) + C1215*16 + IF(D1215="",7,D1215)*2 + IF(E1215&gt;0, 1, 0))),","),"")</f>
        <v/>
      </c>
      <c r="X1215" s="21" t="str">
        <f>IF(J1215&gt;0,CONCATENATE("0x",(DEC2HEX(IF(I1215&lt;&gt;"",VLOOKUP(I1215,Notes!$A$2:$B$37,2,FALSE)*1024,0) + J1215*16 + IF(K1215="",7,K1215)*2 + IF(L1215&gt;0, 1, 0))),","),"")</f>
        <v/>
      </c>
      <c r="Y1215" s="21" t="str">
        <f>IF(Q1215&gt;0,CONCATENATE("0x",(DEC2HEX(IF(P1215&lt;&gt;"",VLOOKUP(P1215,Notes!$A$2:$B$37,2,FALSE)*1024,0) + Q1215*16 + IF(R1215="",7,R1215)*2 + IF(S1215&gt;0, 1, 0))),","),"")</f>
        <v/>
      </c>
    </row>
    <row r="1216" spans="2:25" x14ac:dyDescent="0.25">
      <c r="F1216" s="18">
        <f t="shared" si="108"/>
        <v>0</v>
      </c>
      <c r="G1216" s="1" t="str">
        <f t="shared" si="111"/>
        <v/>
      </c>
      <c r="M1216" s="18">
        <f t="shared" si="109"/>
        <v>0</v>
      </c>
      <c r="N1216" s="1" t="str">
        <f t="shared" si="112"/>
        <v/>
      </c>
      <c r="T1216" s="18">
        <f t="shared" si="110"/>
        <v>0</v>
      </c>
      <c r="U1216" s="1" t="str">
        <f t="shared" si="113"/>
        <v/>
      </c>
      <c r="W1216" s="21" t="str">
        <f>IF(C1216&gt;0,CONCATENATE("0x",(DEC2HEX(IF(B1216&lt;&gt;"",VLOOKUP(B1216,Notes!$A$2:$B$37,2,FALSE)*1024,0) + C1216*16 + IF(D1216="",7,D1216)*2 + IF(E1216&gt;0, 1, 0))),","),"")</f>
        <v/>
      </c>
      <c r="X1216" s="21" t="str">
        <f>IF(J1216&gt;0,CONCATENATE("0x",(DEC2HEX(IF(I1216&lt;&gt;"",VLOOKUP(I1216,Notes!$A$2:$B$37,2,FALSE)*1024,0) + J1216*16 + IF(K1216="",7,K1216)*2 + IF(L1216&gt;0, 1, 0))),","),"")</f>
        <v/>
      </c>
      <c r="Y1216" s="21" t="str">
        <f>IF(Q1216&gt;0,CONCATENATE("0x",(DEC2HEX(IF(P1216&lt;&gt;"",VLOOKUP(P1216,Notes!$A$2:$B$37,2,FALSE)*1024,0) + Q1216*16 + IF(R1216="",7,R1216)*2 + IF(S1216&gt;0, 1, 0))),","),"")</f>
        <v/>
      </c>
    </row>
    <row r="1217" spans="1:25" ht="16.5" thickBot="1" x14ac:dyDescent="0.3">
      <c r="B1217" s="15"/>
      <c r="C1217" s="16"/>
      <c r="D1217" s="16"/>
      <c r="E1217" s="17"/>
      <c r="F1217" s="18">
        <f t="shared" si="108"/>
        <v>0</v>
      </c>
      <c r="G1217" s="1" t="str">
        <f t="shared" si="111"/>
        <v/>
      </c>
      <c r="I1217" s="15"/>
      <c r="J1217" s="16"/>
      <c r="K1217" s="16"/>
      <c r="L1217" s="17"/>
      <c r="M1217" s="18">
        <f t="shared" si="109"/>
        <v>0</v>
      </c>
      <c r="N1217" s="1" t="str">
        <f t="shared" si="112"/>
        <v/>
      </c>
      <c r="P1217" s="15"/>
      <c r="Q1217" s="16"/>
      <c r="R1217" s="16"/>
      <c r="S1217" s="17"/>
      <c r="T1217" s="18">
        <f t="shared" si="110"/>
        <v>0</v>
      </c>
      <c r="U1217" s="1" t="str">
        <f t="shared" si="113"/>
        <v/>
      </c>
      <c r="W1217" s="21" t="str">
        <f>IF(C1217&gt;0,CONCATENATE("0x",(DEC2HEX(IF(B1217&lt;&gt;"",VLOOKUP(B1217,Notes!$A$2:$B$37,2,FALSE)*1024,0) + C1217*16 + IF(D1217="",7,D1217)*2 + IF(E1217&gt;0, 1, 0))),","),"")</f>
        <v/>
      </c>
      <c r="X1217" s="21" t="str">
        <f>IF(J1217&gt;0,CONCATENATE("0x",(DEC2HEX(IF(I1217&lt;&gt;"",VLOOKUP(I1217,Notes!$A$2:$B$37,2,FALSE)*1024,0) + J1217*16 + IF(K1217="",7,K1217)*2 + IF(L1217&gt;0, 1, 0))),","),"")</f>
        <v/>
      </c>
      <c r="Y1217" s="21" t="str">
        <f>IF(Q1217&gt;0,CONCATENATE("0x",(DEC2HEX(IF(P1217&lt;&gt;"",VLOOKUP(P1217,Notes!$A$2:$B$37,2,FALSE)*1024,0) + Q1217*16 + IF(R1217="",7,R1217)*2 + IF(S1217&gt;0, 1, 0))),","),"")</f>
        <v/>
      </c>
    </row>
    <row r="1218" spans="1:25" ht="16.5" thickTop="1" x14ac:dyDescent="0.25">
      <c r="A1218" s="1">
        <v>39</v>
      </c>
      <c r="F1218" s="18">
        <f t="shared" si="108"/>
        <v>0</v>
      </c>
      <c r="G1218" s="1" t="str">
        <f t="shared" si="111"/>
        <v/>
      </c>
      <c r="M1218" s="18">
        <f t="shared" si="109"/>
        <v>0</v>
      </c>
      <c r="N1218" s="1" t="str">
        <f t="shared" si="112"/>
        <v/>
      </c>
      <c r="T1218" s="18">
        <f t="shared" si="110"/>
        <v>0</v>
      </c>
      <c r="U1218" s="1" t="str">
        <f t="shared" si="113"/>
        <v/>
      </c>
      <c r="W1218" s="21" t="str">
        <f>IF(C1218&gt;0,CONCATENATE("0x",(DEC2HEX(IF(B1218&lt;&gt;"",VLOOKUP(B1218,Notes!$A$2:$B$37,2,FALSE)*1024,0) + C1218*16 + IF(D1218="",7,D1218)*2 + IF(E1218&gt;0, 1, 0))),","),"")</f>
        <v/>
      </c>
      <c r="X1218" s="21" t="str">
        <f>IF(J1218&gt;0,CONCATENATE("0x",(DEC2HEX(IF(I1218&lt;&gt;"",VLOOKUP(I1218,Notes!$A$2:$B$37,2,FALSE)*1024,0) + J1218*16 + IF(K1218="",7,K1218)*2 + IF(L1218&gt;0, 1, 0))),","),"")</f>
        <v/>
      </c>
      <c r="Y1218" s="21" t="str">
        <f>IF(Q1218&gt;0,CONCATENATE("0x",(DEC2HEX(IF(P1218&lt;&gt;"",VLOOKUP(P1218,Notes!$A$2:$B$37,2,FALSE)*1024,0) + Q1218*16 + IF(R1218="",7,R1218)*2 + IF(S1218&gt;0, 1, 0))),","),"")</f>
        <v/>
      </c>
    </row>
    <row r="1219" spans="1:25" x14ac:dyDescent="0.25">
      <c r="F1219" s="18">
        <f t="shared" ref="F1219:F1282" si="114">IF(C1219&gt;0, C1219, MAX(F1218-1,0))</f>
        <v>0</v>
      </c>
      <c r="G1219" s="1" t="str">
        <f t="shared" si="111"/>
        <v/>
      </c>
      <c r="M1219" s="18">
        <f t="shared" ref="M1219:M1282" si="115">IF(J1219&gt;0, J1219, MAX(M1218-1,0))</f>
        <v>0</v>
      </c>
      <c r="N1219" s="1" t="str">
        <f t="shared" si="112"/>
        <v/>
      </c>
      <c r="T1219" s="18">
        <f t="shared" ref="T1219:T1282" si="116">IF(Q1219&gt;0, Q1219, MAX(T1218-1,0))</f>
        <v>0</v>
      </c>
      <c r="U1219" s="1" t="str">
        <f t="shared" si="113"/>
        <v/>
      </c>
      <c r="W1219" s="21" t="str">
        <f>IF(C1219&gt;0,CONCATENATE("0x",(DEC2HEX(IF(B1219&lt;&gt;"",VLOOKUP(B1219,Notes!$A$2:$B$37,2,FALSE)*1024,0) + C1219*16 + IF(D1219="",7,D1219)*2 + IF(E1219&gt;0, 1, 0))),","),"")</f>
        <v/>
      </c>
      <c r="X1219" s="21" t="str">
        <f>IF(J1219&gt;0,CONCATENATE("0x",(DEC2HEX(IF(I1219&lt;&gt;"",VLOOKUP(I1219,Notes!$A$2:$B$37,2,FALSE)*1024,0) + J1219*16 + IF(K1219="",7,K1219)*2 + IF(L1219&gt;0, 1, 0))),","),"")</f>
        <v/>
      </c>
      <c r="Y1219" s="21" t="str">
        <f>IF(Q1219&gt;0,CONCATENATE("0x",(DEC2HEX(IF(P1219&lt;&gt;"",VLOOKUP(P1219,Notes!$A$2:$B$37,2,FALSE)*1024,0) + Q1219*16 + IF(R1219="",7,R1219)*2 + IF(S1219&gt;0, 1, 0))),","),"")</f>
        <v/>
      </c>
    </row>
    <row r="1220" spans="1:25" x14ac:dyDescent="0.25">
      <c r="F1220" s="18">
        <f t="shared" si="114"/>
        <v>0</v>
      </c>
      <c r="G1220" s="1" t="str">
        <f t="shared" ref="G1220:G1283" si="117">IF(AND(F1219&gt;1,C1220&gt;0), "OVERLAPPING","")</f>
        <v/>
      </c>
      <c r="M1220" s="18">
        <f t="shared" si="115"/>
        <v>0</v>
      </c>
      <c r="N1220" s="1" t="str">
        <f t="shared" ref="N1220:N1283" si="118">IF(AND(M1219&gt;1,J1220&gt;0), "OVERLAPPING","")</f>
        <v/>
      </c>
      <c r="T1220" s="18">
        <f t="shared" si="116"/>
        <v>0</v>
      </c>
      <c r="U1220" s="1" t="str">
        <f t="shared" ref="U1220:U1283" si="119">IF(AND(T1219&gt;1,Q1220&gt;0), "OVERLAPPING","")</f>
        <v/>
      </c>
      <c r="W1220" s="21" t="str">
        <f>IF(C1220&gt;0,CONCATENATE("0x",(DEC2HEX(IF(B1220&lt;&gt;"",VLOOKUP(B1220,Notes!$A$2:$B$37,2,FALSE)*1024,0) + C1220*16 + IF(D1220="",7,D1220)*2 + IF(E1220&gt;0, 1, 0))),","),"")</f>
        <v/>
      </c>
      <c r="X1220" s="21" t="str">
        <f>IF(J1220&gt;0,CONCATENATE("0x",(DEC2HEX(IF(I1220&lt;&gt;"",VLOOKUP(I1220,Notes!$A$2:$B$37,2,FALSE)*1024,0) + J1220*16 + IF(K1220="",7,K1220)*2 + IF(L1220&gt;0, 1, 0))),","),"")</f>
        <v/>
      </c>
      <c r="Y1220" s="21" t="str">
        <f>IF(Q1220&gt;0,CONCATENATE("0x",(DEC2HEX(IF(P1220&lt;&gt;"",VLOOKUP(P1220,Notes!$A$2:$B$37,2,FALSE)*1024,0) + Q1220*16 + IF(R1220="",7,R1220)*2 + IF(S1220&gt;0, 1, 0))),","),"")</f>
        <v/>
      </c>
    </row>
    <row r="1221" spans="1:25" x14ac:dyDescent="0.25">
      <c r="F1221" s="18">
        <f t="shared" si="114"/>
        <v>0</v>
      </c>
      <c r="G1221" s="1" t="str">
        <f t="shared" si="117"/>
        <v/>
      </c>
      <c r="M1221" s="18">
        <f t="shared" si="115"/>
        <v>0</v>
      </c>
      <c r="N1221" s="1" t="str">
        <f t="shared" si="118"/>
        <v/>
      </c>
      <c r="T1221" s="18">
        <f t="shared" si="116"/>
        <v>0</v>
      </c>
      <c r="U1221" s="1" t="str">
        <f t="shared" si="119"/>
        <v/>
      </c>
      <c r="W1221" s="21" t="str">
        <f>IF(C1221&gt;0,CONCATENATE("0x",(DEC2HEX(IF(B1221&lt;&gt;"",VLOOKUP(B1221,Notes!$A$2:$B$37,2,FALSE)*1024,0) + C1221*16 + IF(D1221="",7,D1221)*2 + IF(E1221&gt;0, 1, 0))),","),"")</f>
        <v/>
      </c>
      <c r="X1221" s="21" t="str">
        <f>IF(J1221&gt;0,CONCATENATE("0x",(DEC2HEX(IF(I1221&lt;&gt;"",VLOOKUP(I1221,Notes!$A$2:$B$37,2,FALSE)*1024,0) + J1221*16 + IF(K1221="",7,K1221)*2 + IF(L1221&gt;0, 1, 0))),","),"")</f>
        <v/>
      </c>
      <c r="Y1221" s="21" t="str">
        <f>IF(Q1221&gt;0,CONCATENATE("0x",(DEC2HEX(IF(P1221&lt;&gt;"",VLOOKUP(P1221,Notes!$A$2:$B$37,2,FALSE)*1024,0) + Q1221*16 + IF(R1221="",7,R1221)*2 + IF(S1221&gt;0, 1, 0))),","),"")</f>
        <v/>
      </c>
    </row>
    <row r="1222" spans="1:25" x14ac:dyDescent="0.25">
      <c r="F1222" s="18">
        <f t="shared" si="114"/>
        <v>0</v>
      </c>
      <c r="G1222" s="1" t="str">
        <f t="shared" si="117"/>
        <v/>
      </c>
      <c r="M1222" s="18">
        <f t="shared" si="115"/>
        <v>0</v>
      </c>
      <c r="N1222" s="1" t="str">
        <f t="shared" si="118"/>
        <v/>
      </c>
      <c r="T1222" s="18">
        <f t="shared" si="116"/>
        <v>0</v>
      </c>
      <c r="U1222" s="1" t="str">
        <f t="shared" si="119"/>
        <v/>
      </c>
      <c r="W1222" s="21" t="str">
        <f>IF(C1222&gt;0,CONCATENATE("0x",(DEC2HEX(IF(B1222&lt;&gt;"",VLOOKUP(B1222,Notes!$A$2:$B$37,2,FALSE)*1024,0) + C1222*16 + IF(D1222="",7,D1222)*2 + IF(E1222&gt;0, 1, 0))),","),"")</f>
        <v/>
      </c>
      <c r="X1222" s="21" t="str">
        <f>IF(J1222&gt;0,CONCATENATE("0x",(DEC2HEX(IF(I1222&lt;&gt;"",VLOOKUP(I1222,Notes!$A$2:$B$37,2,FALSE)*1024,0) + J1222*16 + IF(K1222="",7,K1222)*2 + IF(L1222&gt;0, 1, 0))),","),"")</f>
        <v/>
      </c>
      <c r="Y1222" s="21" t="str">
        <f>IF(Q1222&gt;0,CONCATENATE("0x",(DEC2HEX(IF(P1222&lt;&gt;"",VLOOKUP(P1222,Notes!$A$2:$B$37,2,FALSE)*1024,0) + Q1222*16 + IF(R1222="",7,R1222)*2 + IF(S1222&gt;0, 1, 0))),","),"")</f>
        <v/>
      </c>
    </row>
    <row r="1223" spans="1:25" x14ac:dyDescent="0.25">
      <c r="F1223" s="18">
        <f t="shared" si="114"/>
        <v>0</v>
      </c>
      <c r="G1223" s="1" t="str">
        <f t="shared" si="117"/>
        <v/>
      </c>
      <c r="M1223" s="18">
        <f t="shared" si="115"/>
        <v>0</v>
      </c>
      <c r="N1223" s="1" t="str">
        <f t="shared" si="118"/>
        <v/>
      </c>
      <c r="T1223" s="18">
        <f t="shared" si="116"/>
        <v>0</v>
      </c>
      <c r="U1223" s="1" t="str">
        <f t="shared" si="119"/>
        <v/>
      </c>
      <c r="W1223" s="21" t="str">
        <f>IF(C1223&gt;0,CONCATENATE("0x",(DEC2HEX(IF(B1223&lt;&gt;"",VLOOKUP(B1223,Notes!$A$2:$B$37,2,FALSE)*1024,0) + C1223*16 + IF(D1223="",7,D1223)*2 + IF(E1223&gt;0, 1, 0))),","),"")</f>
        <v/>
      </c>
      <c r="X1223" s="21" t="str">
        <f>IF(J1223&gt;0,CONCATENATE("0x",(DEC2HEX(IF(I1223&lt;&gt;"",VLOOKUP(I1223,Notes!$A$2:$B$37,2,FALSE)*1024,0) + J1223*16 + IF(K1223="",7,K1223)*2 + IF(L1223&gt;0, 1, 0))),","),"")</f>
        <v/>
      </c>
      <c r="Y1223" s="21" t="str">
        <f>IF(Q1223&gt;0,CONCATENATE("0x",(DEC2HEX(IF(P1223&lt;&gt;"",VLOOKUP(P1223,Notes!$A$2:$B$37,2,FALSE)*1024,0) + Q1223*16 + IF(R1223="",7,R1223)*2 + IF(S1223&gt;0, 1, 0))),","),"")</f>
        <v/>
      </c>
    </row>
    <row r="1224" spans="1:25" x14ac:dyDescent="0.25">
      <c r="F1224" s="18">
        <f t="shared" si="114"/>
        <v>0</v>
      </c>
      <c r="G1224" s="1" t="str">
        <f t="shared" si="117"/>
        <v/>
      </c>
      <c r="M1224" s="18">
        <f t="shared" si="115"/>
        <v>0</v>
      </c>
      <c r="N1224" s="1" t="str">
        <f t="shared" si="118"/>
        <v/>
      </c>
      <c r="T1224" s="18">
        <f t="shared" si="116"/>
        <v>0</v>
      </c>
      <c r="U1224" s="1" t="str">
        <f t="shared" si="119"/>
        <v/>
      </c>
      <c r="W1224" s="21" t="str">
        <f>IF(C1224&gt;0,CONCATENATE("0x",(DEC2HEX(IF(B1224&lt;&gt;"",VLOOKUP(B1224,Notes!$A$2:$B$37,2,FALSE)*1024,0) + C1224*16 + IF(D1224="",7,D1224)*2 + IF(E1224&gt;0, 1, 0))),","),"")</f>
        <v/>
      </c>
      <c r="X1224" s="21" t="str">
        <f>IF(J1224&gt;0,CONCATENATE("0x",(DEC2HEX(IF(I1224&lt;&gt;"",VLOOKUP(I1224,Notes!$A$2:$B$37,2,FALSE)*1024,0) + J1224*16 + IF(K1224="",7,K1224)*2 + IF(L1224&gt;0, 1, 0))),","),"")</f>
        <v/>
      </c>
      <c r="Y1224" s="21" t="str">
        <f>IF(Q1224&gt;0,CONCATENATE("0x",(DEC2HEX(IF(P1224&lt;&gt;"",VLOOKUP(P1224,Notes!$A$2:$B$37,2,FALSE)*1024,0) + Q1224*16 + IF(R1224="",7,R1224)*2 + IF(S1224&gt;0, 1, 0))),","),"")</f>
        <v/>
      </c>
    </row>
    <row r="1225" spans="1:25" x14ac:dyDescent="0.25">
      <c r="B1225" s="12"/>
      <c r="C1225" s="13"/>
      <c r="D1225" s="13"/>
      <c r="E1225" s="14"/>
      <c r="F1225" s="18">
        <f t="shared" si="114"/>
        <v>0</v>
      </c>
      <c r="G1225" s="1" t="str">
        <f t="shared" si="117"/>
        <v/>
      </c>
      <c r="I1225" s="12"/>
      <c r="J1225" s="13"/>
      <c r="K1225" s="13"/>
      <c r="L1225" s="14"/>
      <c r="M1225" s="18">
        <f t="shared" si="115"/>
        <v>0</v>
      </c>
      <c r="N1225" s="1" t="str">
        <f t="shared" si="118"/>
        <v/>
      </c>
      <c r="P1225" s="12"/>
      <c r="Q1225" s="13"/>
      <c r="R1225" s="13"/>
      <c r="S1225" s="14"/>
      <c r="T1225" s="18">
        <f t="shared" si="116"/>
        <v>0</v>
      </c>
      <c r="U1225" s="1" t="str">
        <f t="shared" si="119"/>
        <v/>
      </c>
      <c r="W1225" s="21" t="str">
        <f>IF(C1225&gt;0,CONCATENATE("0x",(DEC2HEX(IF(B1225&lt;&gt;"",VLOOKUP(B1225,Notes!$A$2:$B$37,2,FALSE)*1024,0) + C1225*16 + IF(D1225="",7,D1225)*2 + IF(E1225&gt;0, 1, 0))),","),"")</f>
        <v/>
      </c>
      <c r="X1225" s="21" t="str">
        <f>IF(J1225&gt;0,CONCATENATE("0x",(DEC2HEX(IF(I1225&lt;&gt;"",VLOOKUP(I1225,Notes!$A$2:$B$37,2,FALSE)*1024,0) + J1225*16 + IF(K1225="",7,K1225)*2 + IF(L1225&gt;0, 1, 0))),","),"")</f>
        <v/>
      </c>
      <c r="Y1225" s="21" t="str">
        <f>IF(Q1225&gt;0,CONCATENATE("0x",(DEC2HEX(IF(P1225&lt;&gt;"",VLOOKUP(P1225,Notes!$A$2:$B$37,2,FALSE)*1024,0) + Q1225*16 + IF(R1225="",7,R1225)*2 + IF(S1225&gt;0, 1, 0))),","),"")</f>
        <v/>
      </c>
    </row>
    <row r="1226" spans="1:25" x14ac:dyDescent="0.25">
      <c r="F1226" s="18">
        <f t="shared" si="114"/>
        <v>0</v>
      </c>
      <c r="G1226" s="1" t="str">
        <f t="shared" si="117"/>
        <v/>
      </c>
      <c r="M1226" s="18">
        <f t="shared" si="115"/>
        <v>0</v>
      </c>
      <c r="N1226" s="1" t="str">
        <f t="shared" si="118"/>
        <v/>
      </c>
      <c r="T1226" s="18">
        <f t="shared" si="116"/>
        <v>0</v>
      </c>
      <c r="U1226" s="1" t="str">
        <f t="shared" si="119"/>
        <v/>
      </c>
      <c r="W1226" s="21" t="str">
        <f>IF(C1226&gt;0,CONCATENATE("0x",(DEC2HEX(IF(B1226&lt;&gt;"",VLOOKUP(B1226,Notes!$A$2:$B$37,2,FALSE)*1024,0) + C1226*16 + IF(D1226="",7,D1226)*2 + IF(E1226&gt;0, 1, 0))),","),"")</f>
        <v/>
      </c>
      <c r="X1226" s="21" t="str">
        <f>IF(J1226&gt;0,CONCATENATE("0x",(DEC2HEX(IF(I1226&lt;&gt;"",VLOOKUP(I1226,Notes!$A$2:$B$37,2,FALSE)*1024,0) + J1226*16 + IF(K1226="",7,K1226)*2 + IF(L1226&gt;0, 1, 0))),","),"")</f>
        <v/>
      </c>
      <c r="Y1226" s="21" t="str">
        <f>IF(Q1226&gt;0,CONCATENATE("0x",(DEC2HEX(IF(P1226&lt;&gt;"",VLOOKUP(P1226,Notes!$A$2:$B$37,2,FALSE)*1024,0) + Q1226*16 + IF(R1226="",7,R1226)*2 + IF(S1226&gt;0, 1, 0))),","),"")</f>
        <v/>
      </c>
    </row>
    <row r="1227" spans="1:25" x14ac:dyDescent="0.25">
      <c r="F1227" s="18">
        <f t="shared" si="114"/>
        <v>0</v>
      </c>
      <c r="G1227" s="1" t="str">
        <f t="shared" si="117"/>
        <v/>
      </c>
      <c r="M1227" s="18">
        <f t="shared" si="115"/>
        <v>0</v>
      </c>
      <c r="N1227" s="1" t="str">
        <f t="shared" si="118"/>
        <v/>
      </c>
      <c r="T1227" s="18">
        <f t="shared" si="116"/>
        <v>0</v>
      </c>
      <c r="U1227" s="1" t="str">
        <f t="shared" si="119"/>
        <v/>
      </c>
      <c r="W1227" s="21" t="str">
        <f>IF(C1227&gt;0,CONCATENATE("0x",(DEC2HEX(IF(B1227&lt;&gt;"",VLOOKUP(B1227,Notes!$A$2:$B$37,2,FALSE)*1024,0) + C1227*16 + IF(D1227="",7,D1227)*2 + IF(E1227&gt;0, 1, 0))),","),"")</f>
        <v/>
      </c>
      <c r="X1227" s="21" t="str">
        <f>IF(J1227&gt;0,CONCATENATE("0x",(DEC2HEX(IF(I1227&lt;&gt;"",VLOOKUP(I1227,Notes!$A$2:$B$37,2,FALSE)*1024,0) + J1227*16 + IF(K1227="",7,K1227)*2 + IF(L1227&gt;0, 1, 0))),","),"")</f>
        <v/>
      </c>
      <c r="Y1227" s="21" t="str">
        <f>IF(Q1227&gt;0,CONCATENATE("0x",(DEC2HEX(IF(P1227&lt;&gt;"",VLOOKUP(P1227,Notes!$A$2:$B$37,2,FALSE)*1024,0) + Q1227*16 + IF(R1227="",7,R1227)*2 + IF(S1227&gt;0, 1, 0))),","),"")</f>
        <v/>
      </c>
    </row>
    <row r="1228" spans="1:25" x14ac:dyDescent="0.25">
      <c r="F1228" s="18">
        <f t="shared" si="114"/>
        <v>0</v>
      </c>
      <c r="G1228" s="1" t="str">
        <f t="shared" si="117"/>
        <v/>
      </c>
      <c r="M1228" s="18">
        <f t="shared" si="115"/>
        <v>0</v>
      </c>
      <c r="N1228" s="1" t="str">
        <f t="shared" si="118"/>
        <v/>
      </c>
      <c r="T1228" s="18">
        <f t="shared" si="116"/>
        <v>0</v>
      </c>
      <c r="U1228" s="1" t="str">
        <f t="shared" si="119"/>
        <v/>
      </c>
      <c r="W1228" s="21" t="str">
        <f>IF(C1228&gt;0,CONCATENATE("0x",(DEC2HEX(IF(B1228&lt;&gt;"",VLOOKUP(B1228,Notes!$A$2:$B$37,2,FALSE)*1024,0) + C1228*16 + IF(D1228="",7,D1228)*2 + IF(E1228&gt;0, 1, 0))),","),"")</f>
        <v/>
      </c>
      <c r="X1228" s="21" t="str">
        <f>IF(J1228&gt;0,CONCATENATE("0x",(DEC2HEX(IF(I1228&lt;&gt;"",VLOOKUP(I1228,Notes!$A$2:$B$37,2,FALSE)*1024,0) + J1228*16 + IF(K1228="",7,K1228)*2 + IF(L1228&gt;0, 1, 0))),","),"")</f>
        <v/>
      </c>
      <c r="Y1228" s="21" t="str">
        <f>IF(Q1228&gt;0,CONCATENATE("0x",(DEC2HEX(IF(P1228&lt;&gt;"",VLOOKUP(P1228,Notes!$A$2:$B$37,2,FALSE)*1024,0) + Q1228*16 + IF(R1228="",7,R1228)*2 + IF(S1228&gt;0, 1, 0))),","),"")</f>
        <v/>
      </c>
    </row>
    <row r="1229" spans="1:25" x14ac:dyDescent="0.25">
      <c r="F1229" s="18">
        <f t="shared" si="114"/>
        <v>0</v>
      </c>
      <c r="G1229" s="1" t="str">
        <f t="shared" si="117"/>
        <v/>
      </c>
      <c r="M1229" s="18">
        <f t="shared" si="115"/>
        <v>0</v>
      </c>
      <c r="N1229" s="1" t="str">
        <f t="shared" si="118"/>
        <v/>
      </c>
      <c r="T1229" s="18">
        <f t="shared" si="116"/>
        <v>0</v>
      </c>
      <c r="U1229" s="1" t="str">
        <f t="shared" si="119"/>
        <v/>
      </c>
      <c r="W1229" s="21" t="str">
        <f>IF(C1229&gt;0,CONCATENATE("0x",(DEC2HEX(IF(B1229&lt;&gt;"",VLOOKUP(B1229,Notes!$A$2:$B$37,2,FALSE)*1024,0) + C1229*16 + IF(D1229="",7,D1229)*2 + IF(E1229&gt;0, 1, 0))),","),"")</f>
        <v/>
      </c>
      <c r="X1229" s="21" t="str">
        <f>IF(J1229&gt;0,CONCATENATE("0x",(DEC2HEX(IF(I1229&lt;&gt;"",VLOOKUP(I1229,Notes!$A$2:$B$37,2,FALSE)*1024,0) + J1229*16 + IF(K1229="",7,K1229)*2 + IF(L1229&gt;0, 1, 0))),","),"")</f>
        <v/>
      </c>
      <c r="Y1229" s="21" t="str">
        <f>IF(Q1229&gt;0,CONCATENATE("0x",(DEC2HEX(IF(P1229&lt;&gt;"",VLOOKUP(P1229,Notes!$A$2:$B$37,2,FALSE)*1024,0) + Q1229*16 + IF(R1229="",7,R1229)*2 + IF(S1229&gt;0, 1, 0))),","),"")</f>
        <v/>
      </c>
    </row>
    <row r="1230" spans="1:25" x14ac:dyDescent="0.25">
      <c r="F1230" s="18">
        <f t="shared" si="114"/>
        <v>0</v>
      </c>
      <c r="G1230" s="1" t="str">
        <f t="shared" si="117"/>
        <v/>
      </c>
      <c r="M1230" s="18">
        <f t="shared" si="115"/>
        <v>0</v>
      </c>
      <c r="N1230" s="1" t="str">
        <f t="shared" si="118"/>
        <v/>
      </c>
      <c r="T1230" s="18">
        <f t="shared" si="116"/>
        <v>0</v>
      </c>
      <c r="U1230" s="1" t="str">
        <f t="shared" si="119"/>
        <v/>
      </c>
      <c r="W1230" s="21" t="str">
        <f>IF(C1230&gt;0,CONCATENATE("0x",(DEC2HEX(IF(B1230&lt;&gt;"",VLOOKUP(B1230,Notes!$A$2:$B$37,2,FALSE)*1024,0) + C1230*16 + IF(D1230="",7,D1230)*2 + IF(E1230&gt;0, 1, 0))),","),"")</f>
        <v/>
      </c>
      <c r="X1230" s="21" t="str">
        <f>IF(J1230&gt;0,CONCATENATE("0x",(DEC2HEX(IF(I1230&lt;&gt;"",VLOOKUP(I1230,Notes!$A$2:$B$37,2,FALSE)*1024,0) + J1230*16 + IF(K1230="",7,K1230)*2 + IF(L1230&gt;0, 1, 0))),","),"")</f>
        <v/>
      </c>
      <c r="Y1230" s="21" t="str">
        <f>IF(Q1230&gt;0,CONCATENATE("0x",(DEC2HEX(IF(P1230&lt;&gt;"",VLOOKUP(P1230,Notes!$A$2:$B$37,2,FALSE)*1024,0) + Q1230*16 + IF(R1230="",7,R1230)*2 + IF(S1230&gt;0, 1, 0))),","),"")</f>
        <v/>
      </c>
    </row>
    <row r="1231" spans="1:25" x14ac:dyDescent="0.25">
      <c r="F1231" s="18">
        <f t="shared" si="114"/>
        <v>0</v>
      </c>
      <c r="G1231" s="1" t="str">
        <f t="shared" si="117"/>
        <v/>
      </c>
      <c r="M1231" s="18">
        <f t="shared" si="115"/>
        <v>0</v>
      </c>
      <c r="N1231" s="1" t="str">
        <f t="shared" si="118"/>
        <v/>
      </c>
      <c r="T1231" s="18">
        <f t="shared" si="116"/>
        <v>0</v>
      </c>
      <c r="U1231" s="1" t="str">
        <f t="shared" si="119"/>
        <v/>
      </c>
      <c r="W1231" s="21" t="str">
        <f>IF(C1231&gt;0,CONCATENATE("0x",(DEC2HEX(IF(B1231&lt;&gt;"",VLOOKUP(B1231,Notes!$A$2:$B$37,2,FALSE)*1024,0) + C1231*16 + IF(D1231="",7,D1231)*2 + IF(E1231&gt;0, 1, 0))),","),"")</f>
        <v/>
      </c>
      <c r="X1231" s="21" t="str">
        <f>IF(J1231&gt;0,CONCATENATE("0x",(DEC2HEX(IF(I1231&lt;&gt;"",VLOOKUP(I1231,Notes!$A$2:$B$37,2,FALSE)*1024,0) + J1231*16 + IF(K1231="",7,K1231)*2 + IF(L1231&gt;0, 1, 0))),","),"")</f>
        <v/>
      </c>
      <c r="Y1231" s="21" t="str">
        <f>IF(Q1231&gt;0,CONCATENATE("0x",(DEC2HEX(IF(P1231&lt;&gt;"",VLOOKUP(P1231,Notes!$A$2:$B$37,2,FALSE)*1024,0) + Q1231*16 + IF(R1231="",7,R1231)*2 + IF(S1231&gt;0, 1, 0))),","),"")</f>
        <v/>
      </c>
    </row>
    <row r="1232" spans="1:25" x14ac:dyDescent="0.25">
      <c r="F1232" s="18">
        <f t="shared" si="114"/>
        <v>0</v>
      </c>
      <c r="G1232" s="1" t="str">
        <f t="shared" si="117"/>
        <v/>
      </c>
      <c r="M1232" s="18">
        <f t="shared" si="115"/>
        <v>0</v>
      </c>
      <c r="N1232" s="1" t="str">
        <f t="shared" si="118"/>
        <v/>
      </c>
      <c r="T1232" s="18">
        <f t="shared" si="116"/>
        <v>0</v>
      </c>
      <c r="U1232" s="1" t="str">
        <f t="shared" si="119"/>
        <v/>
      </c>
      <c r="W1232" s="21" t="str">
        <f>IF(C1232&gt;0,CONCATENATE("0x",(DEC2HEX(IF(B1232&lt;&gt;"",VLOOKUP(B1232,Notes!$A$2:$B$37,2,FALSE)*1024,0) + C1232*16 + IF(D1232="",7,D1232)*2 + IF(E1232&gt;0, 1, 0))),","),"")</f>
        <v/>
      </c>
      <c r="X1232" s="21" t="str">
        <f>IF(J1232&gt;0,CONCATENATE("0x",(DEC2HEX(IF(I1232&lt;&gt;"",VLOOKUP(I1232,Notes!$A$2:$B$37,2,FALSE)*1024,0) + J1232*16 + IF(K1232="",7,K1232)*2 + IF(L1232&gt;0, 1, 0))),","),"")</f>
        <v/>
      </c>
      <c r="Y1232" s="21" t="str">
        <f>IF(Q1232&gt;0,CONCATENATE("0x",(DEC2HEX(IF(P1232&lt;&gt;"",VLOOKUP(P1232,Notes!$A$2:$B$37,2,FALSE)*1024,0) + Q1232*16 + IF(R1232="",7,R1232)*2 + IF(S1232&gt;0, 1, 0))),","),"")</f>
        <v/>
      </c>
    </row>
    <row r="1233" spans="2:25" x14ac:dyDescent="0.25">
      <c r="B1233" s="12"/>
      <c r="C1233" s="13"/>
      <c r="D1233" s="13"/>
      <c r="E1233" s="14"/>
      <c r="F1233" s="18">
        <f t="shared" si="114"/>
        <v>0</v>
      </c>
      <c r="G1233" s="1" t="str">
        <f t="shared" si="117"/>
        <v/>
      </c>
      <c r="I1233" s="12"/>
      <c r="J1233" s="13"/>
      <c r="K1233" s="13"/>
      <c r="L1233" s="14"/>
      <c r="M1233" s="18">
        <f t="shared" si="115"/>
        <v>0</v>
      </c>
      <c r="N1233" s="1" t="str">
        <f t="shared" si="118"/>
        <v/>
      </c>
      <c r="P1233" s="12"/>
      <c r="Q1233" s="13"/>
      <c r="R1233" s="13"/>
      <c r="S1233" s="14"/>
      <c r="T1233" s="18">
        <f t="shared" si="116"/>
        <v>0</v>
      </c>
      <c r="U1233" s="1" t="str">
        <f t="shared" si="119"/>
        <v/>
      </c>
      <c r="W1233" s="21" t="str">
        <f>IF(C1233&gt;0,CONCATENATE("0x",(DEC2HEX(IF(B1233&lt;&gt;"",VLOOKUP(B1233,Notes!$A$2:$B$37,2,FALSE)*1024,0) + C1233*16 + IF(D1233="",7,D1233)*2 + IF(E1233&gt;0, 1, 0))),","),"")</f>
        <v/>
      </c>
      <c r="X1233" s="21" t="str">
        <f>IF(J1233&gt;0,CONCATENATE("0x",(DEC2HEX(IF(I1233&lt;&gt;"",VLOOKUP(I1233,Notes!$A$2:$B$37,2,FALSE)*1024,0) + J1233*16 + IF(K1233="",7,K1233)*2 + IF(L1233&gt;0, 1, 0))),","),"")</f>
        <v/>
      </c>
      <c r="Y1233" s="21" t="str">
        <f>IF(Q1233&gt;0,CONCATENATE("0x",(DEC2HEX(IF(P1233&lt;&gt;"",VLOOKUP(P1233,Notes!$A$2:$B$37,2,FALSE)*1024,0) + Q1233*16 + IF(R1233="",7,R1233)*2 + IF(S1233&gt;0, 1, 0))),","),"")</f>
        <v/>
      </c>
    </row>
    <row r="1234" spans="2:25" x14ac:dyDescent="0.25">
      <c r="F1234" s="18">
        <f t="shared" si="114"/>
        <v>0</v>
      </c>
      <c r="G1234" s="1" t="str">
        <f t="shared" si="117"/>
        <v/>
      </c>
      <c r="M1234" s="18">
        <f t="shared" si="115"/>
        <v>0</v>
      </c>
      <c r="N1234" s="1" t="str">
        <f t="shared" si="118"/>
        <v/>
      </c>
      <c r="T1234" s="18">
        <f t="shared" si="116"/>
        <v>0</v>
      </c>
      <c r="U1234" s="1" t="str">
        <f t="shared" si="119"/>
        <v/>
      </c>
      <c r="W1234" s="21" t="str">
        <f>IF(C1234&gt;0,CONCATENATE("0x",(DEC2HEX(IF(B1234&lt;&gt;"",VLOOKUP(B1234,Notes!$A$2:$B$37,2,FALSE)*1024,0) + C1234*16 + IF(D1234="",7,D1234)*2 + IF(E1234&gt;0, 1, 0))),","),"")</f>
        <v/>
      </c>
      <c r="X1234" s="21" t="str">
        <f>IF(J1234&gt;0,CONCATENATE("0x",(DEC2HEX(IF(I1234&lt;&gt;"",VLOOKUP(I1234,Notes!$A$2:$B$37,2,FALSE)*1024,0) + J1234*16 + IF(K1234="",7,K1234)*2 + IF(L1234&gt;0, 1, 0))),","),"")</f>
        <v/>
      </c>
      <c r="Y1234" s="21" t="str">
        <f>IF(Q1234&gt;0,CONCATENATE("0x",(DEC2HEX(IF(P1234&lt;&gt;"",VLOOKUP(P1234,Notes!$A$2:$B$37,2,FALSE)*1024,0) + Q1234*16 + IF(R1234="",7,R1234)*2 + IF(S1234&gt;0, 1, 0))),","),"")</f>
        <v/>
      </c>
    </row>
    <row r="1235" spans="2:25" x14ac:dyDescent="0.25">
      <c r="F1235" s="18">
        <f t="shared" si="114"/>
        <v>0</v>
      </c>
      <c r="G1235" s="1" t="str">
        <f t="shared" si="117"/>
        <v/>
      </c>
      <c r="M1235" s="18">
        <f t="shared" si="115"/>
        <v>0</v>
      </c>
      <c r="N1235" s="1" t="str">
        <f t="shared" si="118"/>
        <v/>
      </c>
      <c r="T1235" s="18">
        <f t="shared" si="116"/>
        <v>0</v>
      </c>
      <c r="U1235" s="1" t="str">
        <f t="shared" si="119"/>
        <v/>
      </c>
      <c r="W1235" s="21" t="str">
        <f>IF(C1235&gt;0,CONCATENATE("0x",(DEC2HEX(IF(B1235&lt;&gt;"",VLOOKUP(B1235,Notes!$A$2:$B$37,2,FALSE)*1024,0) + C1235*16 + IF(D1235="",7,D1235)*2 + IF(E1235&gt;0, 1, 0))),","),"")</f>
        <v/>
      </c>
      <c r="X1235" s="21" t="str">
        <f>IF(J1235&gt;0,CONCATENATE("0x",(DEC2HEX(IF(I1235&lt;&gt;"",VLOOKUP(I1235,Notes!$A$2:$B$37,2,FALSE)*1024,0) + J1235*16 + IF(K1235="",7,K1235)*2 + IF(L1235&gt;0, 1, 0))),","),"")</f>
        <v/>
      </c>
      <c r="Y1235" s="21" t="str">
        <f>IF(Q1235&gt;0,CONCATENATE("0x",(DEC2HEX(IF(P1235&lt;&gt;"",VLOOKUP(P1235,Notes!$A$2:$B$37,2,FALSE)*1024,0) + Q1235*16 + IF(R1235="",7,R1235)*2 + IF(S1235&gt;0, 1, 0))),","),"")</f>
        <v/>
      </c>
    </row>
    <row r="1236" spans="2:25" x14ac:dyDescent="0.25">
      <c r="F1236" s="18">
        <f t="shared" si="114"/>
        <v>0</v>
      </c>
      <c r="G1236" s="1" t="str">
        <f t="shared" si="117"/>
        <v/>
      </c>
      <c r="M1236" s="18">
        <f t="shared" si="115"/>
        <v>0</v>
      </c>
      <c r="N1236" s="1" t="str">
        <f t="shared" si="118"/>
        <v/>
      </c>
      <c r="T1236" s="18">
        <f t="shared" si="116"/>
        <v>0</v>
      </c>
      <c r="U1236" s="1" t="str">
        <f t="shared" si="119"/>
        <v/>
      </c>
      <c r="W1236" s="21" t="str">
        <f>IF(C1236&gt;0,CONCATENATE("0x",(DEC2HEX(IF(B1236&lt;&gt;"",VLOOKUP(B1236,Notes!$A$2:$B$37,2,FALSE)*1024,0) + C1236*16 + IF(D1236="",7,D1236)*2 + IF(E1236&gt;0, 1, 0))),","),"")</f>
        <v/>
      </c>
      <c r="X1236" s="21" t="str">
        <f>IF(J1236&gt;0,CONCATENATE("0x",(DEC2HEX(IF(I1236&lt;&gt;"",VLOOKUP(I1236,Notes!$A$2:$B$37,2,FALSE)*1024,0) + J1236*16 + IF(K1236="",7,K1236)*2 + IF(L1236&gt;0, 1, 0))),","),"")</f>
        <v/>
      </c>
      <c r="Y1236" s="21" t="str">
        <f>IF(Q1236&gt;0,CONCATENATE("0x",(DEC2HEX(IF(P1236&lt;&gt;"",VLOOKUP(P1236,Notes!$A$2:$B$37,2,FALSE)*1024,0) + Q1236*16 + IF(R1236="",7,R1236)*2 + IF(S1236&gt;0, 1, 0))),","),"")</f>
        <v/>
      </c>
    </row>
    <row r="1237" spans="2:25" x14ac:dyDescent="0.25">
      <c r="F1237" s="18">
        <f t="shared" si="114"/>
        <v>0</v>
      </c>
      <c r="G1237" s="1" t="str">
        <f t="shared" si="117"/>
        <v/>
      </c>
      <c r="M1237" s="18">
        <f t="shared" si="115"/>
        <v>0</v>
      </c>
      <c r="N1237" s="1" t="str">
        <f t="shared" si="118"/>
        <v/>
      </c>
      <c r="T1237" s="18">
        <f t="shared" si="116"/>
        <v>0</v>
      </c>
      <c r="U1237" s="1" t="str">
        <f t="shared" si="119"/>
        <v/>
      </c>
      <c r="W1237" s="21" t="str">
        <f>IF(C1237&gt;0,CONCATENATE("0x",(DEC2HEX(IF(B1237&lt;&gt;"",VLOOKUP(B1237,Notes!$A$2:$B$37,2,FALSE)*1024,0) + C1237*16 + IF(D1237="",7,D1237)*2 + IF(E1237&gt;0, 1, 0))),","),"")</f>
        <v/>
      </c>
      <c r="X1237" s="21" t="str">
        <f>IF(J1237&gt;0,CONCATENATE("0x",(DEC2HEX(IF(I1237&lt;&gt;"",VLOOKUP(I1237,Notes!$A$2:$B$37,2,FALSE)*1024,0) + J1237*16 + IF(K1237="",7,K1237)*2 + IF(L1237&gt;0, 1, 0))),","),"")</f>
        <v/>
      </c>
      <c r="Y1237" s="21" t="str">
        <f>IF(Q1237&gt;0,CONCATENATE("0x",(DEC2HEX(IF(P1237&lt;&gt;"",VLOOKUP(P1237,Notes!$A$2:$B$37,2,FALSE)*1024,0) + Q1237*16 + IF(R1237="",7,R1237)*2 + IF(S1237&gt;0, 1, 0))),","),"")</f>
        <v/>
      </c>
    </row>
    <row r="1238" spans="2:25" x14ac:dyDescent="0.25">
      <c r="F1238" s="18">
        <f t="shared" si="114"/>
        <v>0</v>
      </c>
      <c r="G1238" s="1" t="str">
        <f t="shared" si="117"/>
        <v/>
      </c>
      <c r="M1238" s="18">
        <f t="shared" si="115"/>
        <v>0</v>
      </c>
      <c r="N1238" s="1" t="str">
        <f t="shared" si="118"/>
        <v/>
      </c>
      <c r="T1238" s="18">
        <f t="shared" si="116"/>
        <v>0</v>
      </c>
      <c r="U1238" s="1" t="str">
        <f t="shared" si="119"/>
        <v/>
      </c>
      <c r="W1238" s="21" t="str">
        <f>IF(C1238&gt;0,CONCATENATE("0x",(DEC2HEX(IF(B1238&lt;&gt;"",VLOOKUP(B1238,Notes!$A$2:$B$37,2,FALSE)*1024,0) + C1238*16 + IF(D1238="",7,D1238)*2 + IF(E1238&gt;0, 1, 0))),","),"")</f>
        <v/>
      </c>
      <c r="X1238" s="21" t="str">
        <f>IF(J1238&gt;0,CONCATENATE("0x",(DEC2HEX(IF(I1238&lt;&gt;"",VLOOKUP(I1238,Notes!$A$2:$B$37,2,FALSE)*1024,0) + J1238*16 + IF(K1238="",7,K1238)*2 + IF(L1238&gt;0, 1, 0))),","),"")</f>
        <v/>
      </c>
      <c r="Y1238" s="21" t="str">
        <f>IF(Q1238&gt;0,CONCATENATE("0x",(DEC2HEX(IF(P1238&lt;&gt;"",VLOOKUP(P1238,Notes!$A$2:$B$37,2,FALSE)*1024,0) + Q1238*16 + IF(R1238="",7,R1238)*2 + IF(S1238&gt;0, 1, 0))),","),"")</f>
        <v/>
      </c>
    </row>
    <row r="1239" spans="2:25" x14ac:dyDescent="0.25">
      <c r="F1239" s="18">
        <f t="shared" si="114"/>
        <v>0</v>
      </c>
      <c r="G1239" s="1" t="str">
        <f t="shared" si="117"/>
        <v/>
      </c>
      <c r="M1239" s="18">
        <f t="shared" si="115"/>
        <v>0</v>
      </c>
      <c r="N1239" s="1" t="str">
        <f t="shared" si="118"/>
        <v/>
      </c>
      <c r="T1239" s="18">
        <f t="shared" si="116"/>
        <v>0</v>
      </c>
      <c r="U1239" s="1" t="str">
        <f t="shared" si="119"/>
        <v/>
      </c>
      <c r="W1239" s="21" t="str">
        <f>IF(C1239&gt;0,CONCATENATE("0x",(DEC2HEX(IF(B1239&lt;&gt;"",VLOOKUP(B1239,Notes!$A$2:$B$37,2,FALSE)*1024,0) + C1239*16 + IF(D1239="",7,D1239)*2 + IF(E1239&gt;0, 1, 0))),","),"")</f>
        <v/>
      </c>
      <c r="X1239" s="21" t="str">
        <f>IF(J1239&gt;0,CONCATENATE("0x",(DEC2HEX(IF(I1239&lt;&gt;"",VLOOKUP(I1239,Notes!$A$2:$B$37,2,FALSE)*1024,0) + J1239*16 + IF(K1239="",7,K1239)*2 + IF(L1239&gt;0, 1, 0))),","),"")</f>
        <v/>
      </c>
      <c r="Y1239" s="21" t="str">
        <f>IF(Q1239&gt;0,CONCATENATE("0x",(DEC2HEX(IF(P1239&lt;&gt;"",VLOOKUP(P1239,Notes!$A$2:$B$37,2,FALSE)*1024,0) + Q1239*16 + IF(R1239="",7,R1239)*2 + IF(S1239&gt;0, 1, 0))),","),"")</f>
        <v/>
      </c>
    </row>
    <row r="1240" spans="2:25" x14ac:dyDescent="0.25">
      <c r="F1240" s="18">
        <f t="shared" si="114"/>
        <v>0</v>
      </c>
      <c r="G1240" s="1" t="str">
        <f t="shared" si="117"/>
        <v/>
      </c>
      <c r="M1240" s="18">
        <f t="shared" si="115"/>
        <v>0</v>
      </c>
      <c r="N1240" s="1" t="str">
        <f t="shared" si="118"/>
        <v/>
      </c>
      <c r="T1240" s="18">
        <f t="shared" si="116"/>
        <v>0</v>
      </c>
      <c r="U1240" s="1" t="str">
        <f t="shared" si="119"/>
        <v/>
      </c>
      <c r="W1240" s="21" t="str">
        <f>IF(C1240&gt;0,CONCATENATE("0x",(DEC2HEX(IF(B1240&lt;&gt;"",VLOOKUP(B1240,Notes!$A$2:$B$37,2,FALSE)*1024,0) + C1240*16 + IF(D1240="",7,D1240)*2 + IF(E1240&gt;0, 1, 0))),","),"")</f>
        <v/>
      </c>
      <c r="X1240" s="21" t="str">
        <f>IF(J1240&gt;0,CONCATENATE("0x",(DEC2HEX(IF(I1240&lt;&gt;"",VLOOKUP(I1240,Notes!$A$2:$B$37,2,FALSE)*1024,0) + J1240*16 + IF(K1240="",7,K1240)*2 + IF(L1240&gt;0, 1, 0))),","),"")</f>
        <v/>
      </c>
      <c r="Y1240" s="21" t="str">
        <f>IF(Q1240&gt;0,CONCATENATE("0x",(DEC2HEX(IF(P1240&lt;&gt;"",VLOOKUP(P1240,Notes!$A$2:$B$37,2,FALSE)*1024,0) + Q1240*16 + IF(R1240="",7,R1240)*2 + IF(S1240&gt;0, 1, 0))),","),"")</f>
        <v/>
      </c>
    </row>
    <row r="1241" spans="2:25" x14ac:dyDescent="0.25">
      <c r="B1241" s="12"/>
      <c r="C1241" s="13"/>
      <c r="D1241" s="13"/>
      <c r="E1241" s="14"/>
      <c r="F1241" s="18">
        <f t="shared" si="114"/>
        <v>0</v>
      </c>
      <c r="G1241" s="1" t="str">
        <f t="shared" si="117"/>
        <v/>
      </c>
      <c r="I1241" s="12"/>
      <c r="J1241" s="13"/>
      <c r="K1241" s="13"/>
      <c r="L1241" s="14"/>
      <c r="M1241" s="18">
        <f t="shared" si="115"/>
        <v>0</v>
      </c>
      <c r="N1241" s="1" t="str">
        <f t="shared" si="118"/>
        <v/>
      </c>
      <c r="P1241" s="12"/>
      <c r="Q1241" s="13"/>
      <c r="R1241" s="13"/>
      <c r="S1241" s="14"/>
      <c r="T1241" s="18">
        <f t="shared" si="116"/>
        <v>0</v>
      </c>
      <c r="U1241" s="1" t="str">
        <f t="shared" si="119"/>
        <v/>
      </c>
      <c r="W1241" s="21" t="str">
        <f>IF(C1241&gt;0,CONCATENATE("0x",(DEC2HEX(IF(B1241&lt;&gt;"",VLOOKUP(B1241,Notes!$A$2:$B$37,2,FALSE)*1024,0) + C1241*16 + IF(D1241="",7,D1241)*2 + IF(E1241&gt;0, 1, 0))),","),"")</f>
        <v/>
      </c>
      <c r="X1241" s="21" t="str">
        <f>IF(J1241&gt;0,CONCATENATE("0x",(DEC2HEX(IF(I1241&lt;&gt;"",VLOOKUP(I1241,Notes!$A$2:$B$37,2,FALSE)*1024,0) + J1241*16 + IF(K1241="",7,K1241)*2 + IF(L1241&gt;0, 1, 0))),","),"")</f>
        <v/>
      </c>
      <c r="Y1241" s="21" t="str">
        <f>IF(Q1241&gt;0,CONCATENATE("0x",(DEC2HEX(IF(P1241&lt;&gt;"",VLOOKUP(P1241,Notes!$A$2:$B$37,2,FALSE)*1024,0) + Q1241*16 + IF(R1241="",7,R1241)*2 + IF(S1241&gt;0, 1, 0))),","),"")</f>
        <v/>
      </c>
    </row>
    <row r="1242" spans="2:25" x14ac:dyDescent="0.25">
      <c r="F1242" s="18">
        <f t="shared" si="114"/>
        <v>0</v>
      </c>
      <c r="G1242" s="1" t="str">
        <f t="shared" si="117"/>
        <v/>
      </c>
      <c r="M1242" s="18">
        <f t="shared" si="115"/>
        <v>0</v>
      </c>
      <c r="N1242" s="1" t="str">
        <f t="shared" si="118"/>
        <v/>
      </c>
      <c r="T1242" s="18">
        <f t="shared" si="116"/>
        <v>0</v>
      </c>
      <c r="U1242" s="1" t="str">
        <f t="shared" si="119"/>
        <v/>
      </c>
      <c r="W1242" s="21" t="str">
        <f>IF(C1242&gt;0,CONCATENATE("0x",(DEC2HEX(IF(B1242&lt;&gt;"",VLOOKUP(B1242,Notes!$A$2:$B$37,2,FALSE)*1024,0) + C1242*16 + IF(D1242="",7,D1242)*2 + IF(E1242&gt;0, 1, 0))),","),"")</f>
        <v/>
      </c>
      <c r="X1242" s="21" t="str">
        <f>IF(J1242&gt;0,CONCATENATE("0x",(DEC2HEX(IF(I1242&lt;&gt;"",VLOOKUP(I1242,Notes!$A$2:$B$37,2,FALSE)*1024,0) + J1242*16 + IF(K1242="",7,K1242)*2 + IF(L1242&gt;0, 1, 0))),","),"")</f>
        <v/>
      </c>
      <c r="Y1242" s="21" t="str">
        <f>IF(Q1242&gt;0,CONCATENATE("0x",(DEC2HEX(IF(P1242&lt;&gt;"",VLOOKUP(P1242,Notes!$A$2:$B$37,2,FALSE)*1024,0) + Q1242*16 + IF(R1242="",7,R1242)*2 + IF(S1242&gt;0, 1, 0))),","),"")</f>
        <v/>
      </c>
    </row>
    <row r="1243" spans="2:25" x14ac:dyDescent="0.25">
      <c r="F1243" s="18">
        <f t="shared" si="114"/>
        <v>0</v>
      </c>
      <c r="G1243" s="1" t="str">
        <f t="shared" si="117"/>
        <v/>
      </c>
      <c r="M1243" s="18">
        <f t="shared" si="115"/>
        <v>0</v>
      </c>
      <c r="N1243" s="1" t="str">
        <f t="shared" si="118"/>
        <v/>
      </c>
      <c r="T1243" s="18">
        <f t="shared" si="116"/>
        <v>0</v>
      </c>
      <c r="U1243" s="1" t="str">
        <f t="shared" si="119"/>
        <v/>
      </c>
      <c r="W1243" s="21" t="str">
        <f>IF(C1243&gt;0,CONCATENATE("0x",(DEC2HEX(IF(B1243&lt;&gt;"",VLOOKUP(B1243,Notes!$A$2:$B$37,2,FALSE)*1024,0) + C1243*16 + IF(D1243="",7,D1243)*2 + IF(E1243&gt;0, 1, 0))),","),"")</f>
        <v/>
      </c>
      <c r="X1243" s="21" t="str">
        <f>IF(J1243&gt;0,CONCATENATE("0x",(DEC2HEX(IF(I1243&lt;&gt;"",VLOOKUP(I1243,Notes!$A$2:$B$37,2,FALSE)*1024,0) + J1243*16 + IF(K1243="",7,K1243)*2 + IF(L1243&gt;0, 1, 0))),","),"")</f>
        <v/>
      </c>
      <c r="Y1243" s="21" t="str">
        <f>IF(Q1243&gt;0,CONCATENATE("0x",(DEC2HEX(IF(P1243&lt;&gt;"",VLOOKUP(P1243,Notes!$A$2:$B$37,2,FALSE)*1024,0) + Q1243*16 + IF(R1243="",7,R1243)*2 + IF(S1243&gt;0, 1, 0))),","),"")</f>
        <v/>
      </c>
    </row>
    <row r="1244" spans="2:25" x14ac:dyDescent="0.25">
      <c r="F1244" s="18">
        <f t="shared" si="114"/>
        <v>0</v>
      </c>
      <c r="G1244" s="1" t="str">
        <f t="shared" si="117"/>
        <v/>
      </c>
      <c r="M1244" s="18">
        <f t="shared" si="115"/>
        <v>0</v>
      </c>
      <c r="N1244" s="1" t="str">
        <f t="shared" si="118"/>
        <v/>
      </c>
      <c r="T1244" s="18">
        <f t="shared" si="116"/>
        <v>0</v>
      </c>
      <c r="U1244" s="1" t="str">
        <f t="shared" si="119"/>
        <v/>
      </c>
      <c r="W1244" s="21" t="str">
        <f>IF(C1244&gt;0,CONCATENATE("0x",(DEC2HEX(IF(B1244&lt;&gt;"",VLOOKUP(B1244,Notes!$A$2:$B$37,2,FALSE)*1024,0) + C1244*16 + IF(D1244="",7,D1244)*2 + IF(E1244&gt;0, 1, 0))),","),"")</f>
        <v/>
      </c>
      <c r="X1244" s="21" t="str">
        <f>IF(J1244&gt;0,CONCATENATE("0x",(DEC2HEX(IF(I1244&lt;&gt;"",VLOOKUP(I1244,Notes!$A$2:$B$37,2,FALSE)*1024,0) + J1244*16 + IF(K1244="",7,K1244)*2 + IF(L1244&gt;0, 1, 0))),","),"")</f>
        <v/>
      </c>
      <c r="Y1244" s="21" t="str">
        <f>IF(Q1244&gt;0,CONCATENATE("0x",(DEC2HEX(IF(P1244&lt;&gt;"",VLOOKUP(P1244,Notes!$A$2:$B$37,2,FALSE)*1024,0) + Q1244*16 + IF(R1244="",7,R1244)*2 + IF(S1244&gt;0, 1, 0))),","),"")</f>
        <v/>
      </c>
    </row>
    <row r="1245" spans="2:25" x14ac:dyDescent="0.25">
      <c r="F1245" s="18">
        <f t="shared" si="114"/>
        <v>0</v>
      </c>
      <c r="G1245" s="1" t="str">
        <f t="shared" si="117"/>
        <v/>
      </c>
      <c r="M1245" s="18">
        <f t="shared" si="115"/>
        <v>0</v>
      </c>
      <c r="N1245" s="1" t="str">
        <f t="shared" si="118"/>
        <v/>
      </c>
      <c r="T1245" s="18">
        <f t="shared" si="116"/>
        <v>0</v>
      </c>
      <c r="U1245" s="1" t="str">
        <f t="shared" si="119"/>
        <v/>
      </c>
      <c r="W1245" s="21" t="str">
        <f>IF(C1245&gt;0,CONCATENATE("0x",(DEC2HEX(IF(B1245&lt;&gt;"",VLOOKUP(B1245,Notes!$A$2:$B$37,2,FALSE)*1024,0) + C1245*16 + IF(D1245="",7,D1245)*2 + IF(E1245&gt;0, 1, 0))),","),"")</f>
        <v/>
      </c>
      <c r="X1245" s="21" t="str">
        <f>IF(J1245&gt;0,CONCATENATE("0x",(DEC2HEX(IF(I1245&lt;&gt;"",VLOOKUP(I1245,Notes!$A$2:$B$37,2,FALSE)*1024,0) + J1245*16 + IF(K1245="",7,K1245)*2 + IF(L1245&gt;0, 1, 0))),","),"")</f>
        <v/>
      </c>
      <c r="Y1245" s="21" t="str">
        <f>IF(Q1245&gt;0,CONCATENATE("0x",(DEC2HEX(IF(P1245&lt;&gt;"",VLOOKUP(P1245,Notes!$A$2:$B$37,2,FALSE)*1024,0) + Q1245*16 + IF(R1245="",7,R1245)*2 + IF(S1245&gt;0, 1, 0))),","),"")</f>
        <v/>
      </c>
    </row>
    <row r="1246" spans="2:25" x14ac:dyDescent="0.25">
      <c r="F1246" s="18">
        <f t="shared" si="114"/>
        <v>0</v>
      </c>
      <c r="G1246" s="1" t="str">
        <f t="shared" si="117"/>
        <v/>
      </c>
      <c r="M1246" s="18">
        <f t="shared" si="115"/>
        <v>0</v>
      </c>
      <c r="N1246" s="1" t="str">
        <f t="shared" si="118"/>
        <v/>
      </c>
      <c r="T1246" s="18">
        <f t="shared" si="116"/>
        <v>0</v>
      </c>
      <c r="U1246" s="1" t="str">
        <f t="shared" si="119"/>
        <v/>
      </c>
      <c r="W1246" s="21" t="str">
        <f>IF(C1246&gt;0,CONCATENATE("0x",(DEC2HEX(IF(B1246&lt;&gt;"",VLOOKUP(B1246,Notes!$A$2:$B$37,2,FALSE)*1024,0) + C1246*16 + IF(D1246="",7,D1246)*2 + IF(E1246&gt;0, 1, 0))),","),"")</f>
        <v/>
      </c>
      <c r="X1246" s="21" t="str">
        <f>IF(J1246&gt;0,CONCATENATE("0x",(DEC2HEX(IF(I1246&lt;&gt;"",VLOOKUP(I1246,Notes!$A$2:$B$37,2,FALSE)*1024,0) + J1246*16 + IF(K1246="",7,K1246)*2 + IF(L1246&gt;0, 1, 0))),","),"")</f>
        <v/>
      </c>
      <c r="Y1246" s="21" t="str">
        <f>IF(Q1246&gt;0,CONCATENATE("0x",(DEC2HEX(IF(P1246&lt;&gt;"",VLOOKUP(P1246,Notes!$A$2:$B$37,2,FALSE)*1024,0) + Q1246*16 + IF(R1246="",7,R1246)*2 + IF(S1246&gt;0, 1, 0))),","),"")</f>
        <v/>
      </c>
    </row>
    <row r="1247" spans="2:25" x14ac:dyDescent="0.25">
      <c r="F1247" s="18">
        <f t="shared" si="114"/>
        <v>0</v>
      </c>
      <c r="G1247" s="1" t="str">
        <f t="shared" si="117"/>
        <v/>
      </c>
      <c r="M1247" s="18">
        <f t="shared" si="115"/>
        <v>0</v>
      </c>
      <c r="N1247" s="1" t="str">
        <f t="shared" si="118"/>
        <v/>
      </c>
      <c r="T1247" s="18">
        <f t="shared" si="116"/>
        <v>0</v>
      </c>
      <c r="U1247" s="1" t="str">
        <f t="shared" si="119"/>
        <v/>
      </c>
      <c r="W1247" s="21" t="str">
        <f>IF(C1247&gt;0,CONCATENATE("0x",(DEC2HEX(IF(B1247&lt;&gt;"",VLOOKUP(B1247,Notes!$A$2:$B$37,2,FALSE)*1024,0) + C1247*16 + IF(D1247="",7,D1247)*2 + IF(E1247&gt;0, 1, 0))),","),"")</f>
        <v/>
      </c>
      <c r="X1247" s="21" t="str">
        <f>IF(J1247&gt;0,CONCATENATE("0x",(DEC2HEX(IF(I1247&lt;&gt;"",VLOOKUP(I1247,Notes!$A$2:$B$37,2,FALSE)*1024,0) + J1247*16 + IF(K1247="",7,K1247)*2 + IF(L1247&gt;0, 1, 0))),","),"")</f>
        <v/>
      </c>
      <c r="Y1247" s="21" t="str">
        <f>IF(Q1247&gt;0,CONCATENATE("0x",(DEC2HEX(IF(P1247&lt;&gt;"",VLOOKUP(P1247,Notes!$A$2:$B$37,2,FALSE)*1024,0) + Q1247*16 + IF(R1247="",7,R1247)*2 + IF(S1247&gt;0, 1, 0))),","),"")</f>
        <v/>
      </c>
    </row>
    <row r="1248" spans="2:25" x14ac:dyDescent="0.25">
      <c r="F1248" s="18">
        <f t="shared" si="114"/>
        <v>0</v>
      </c>
      <c r="G1248" s="1" t="str">
        <f t="shared" si="117"/>
        <v/>
      </c>
      <c r="M1248" s="18">
        <f t="shared" si="115"/>
        <v>0</v>
      </c>
      <c r="N1248" s="1" t="str">
        <f t="shared" si="118"/>
        <v/>
      </c>
      <c r="T1248" s="18">
        <f t="shared" si="116"/>
        <v>0</v>
      </c>
      <c r="U1248" s="1" t="str">
        <f t="shared" si="119"/>
        <v/>
      </c>
      <c r="W1248" s="21" t="str">
        <f>IF(C1248&gt;0,CONCATENATE("0x",(DEC2HEX(IF(B1248&lt;&gt;"",VLOOKUP(B1248,Notes!$A$2:$B$37,2,FALSE)*1024,0) + C1248*16 + IF(D1248="",7,D1248)*2 + IF(E1248&gt;0, 1, 0))),","),"")</f>
        <v/>
      </c>
      <c r="X1248" s="21" t="str">
        <f>IF(J1248&gt;0,CONCATENATE("0x",(DEC2HEX(IF(I1248&lt;&gt;"",VLOOKUP(I1248,Notes!$A$2:$B$37,2,FALSE)*1024,0) + J1248*16 + IF(K1248="",7,K1248)*2 + IF(L1248&gt;0, 1, 0))),","),"")</f>
        <v/>
      </c>
      <c r="Y1248" s="21" t="str">
        <f>IF(Q1248&gt;0,CONCATENATE("0x",(DEC2HEX(IF(P1248&lt;&gt;"",VLOOKUP(P1248,Notes!$A$2:$B$37,2,FALSE)*1024,0) + Q1248*16 + IF(R1248="",7,R1248)*2 + IF(S1248&gt;0, 1, 0))),","),"")</f>
        <v/>
      </c>
    </row>
    <row r="1249" spans="1:25" ht="16.5" thickBot="1" x14ac:dyDescent="0.3">
      <c r="B1249" s="15"/>
      <c r="C1249" s="16"/>
      <c r="D1249" s="16"/>
      <c r="E1249" s="17"/>
      <c r="F1249" s="18">
        <f t="shared" si="114"/>
        <v>0</v>
      </c>
      <c r="G1249" s="1" t="str">
        <f t="shared" si="117"/>
        <v/>
      </c>
      <c r="I1249" s="15"/>
      <c r="J1249" s="16"/>
      <c r="K1249" s="16"/>
      <c r="L1249" s="17"/>
      <c r="M1249" s="18">
        <f t="shared" si="115"/>
        <v>0</v>
      </c>
      <c r="N1249" s="1" t="str">
        <f t="shared" si="118"/>
        <v/>
      </c>
      <c r="P1249" s="15"/>
      <c r="Q1249" s="16"/>
      <c r="R1249" s="16"/>
      <c r="S1249" s="17"/>
      <c r="T1249" s="18">
        <f t="shared" si="116"/>
        <v>0</v>
      </c>
      <c r="U1249" s="1" t="str">
        <f t="shared" si="119"/>
        <v/>
      </c>
      <c r="W1249" s="21" t="str">
        <f>IF(C1249&gt;0,CONCATENATE("0x",(DEC2HEX(IF(B1249&lt;&gt;"",VLOOKUP(B1249,Notes!$A$2:$B$37,2,FALSE)*1024,0) + C1249*16 + IF(D1249="",7,D1249)*2 + IF(E1249&gt;0, 1, 0))),","),"")</f>
        <v/>
      </c>
      <c r="X1249" s="21" t="str">
        <f>IF(J1249&gt;0,CONCATENATE("0x",(DEC2HEX(IF(I1249&lt;&gt;"",VLOOKUP(I1249,Notes!$A$2:$B$37,2,FALSE)*1024,0) + J1249*16 + IF(K1249="",7,K1249)*2 + IF(L1249&gt;0, 1, 0))),","),"")</f>
        <v/>
      </c>
      <c r="Y1249" s="21" t="str">
        <f>IF(Q1249&gt;0,CONCATENATE("0x",(DEC2HEX(IF(P1249&lt;&gt;"",VLOOKUP(P1249,Notes!$A$2:$B$37,2,FALSE)*1024,0) + Q1249*16 + IF(R1249="",7,R1249)*2 + IF(S1249&gt;0, 1, 0))),","),"")</f>
        <v/>
      </c>
    </row>
    <row r="1250" spans="1:25" ht="16.5" thickTop="1" x14ac:dyDescent="0.25">
      <c r="A1250" s="1">
        <v>40</v>
      </c>
      <c r="F1250" s="18">
        <f t="shared" si="114"/>
        <v>0</v>
      </c>
      <c r="G1250" s="1" t="str">
        <f t="shared" si="117"/>
        <v/>
      </c>
      <c r="M1250" s="18">
        <f t="shared" si="115"/>
        <v>0</v>
      </c>
      <c r="N1250" s="1" t="str">
        <f t="shared" si="118"/>
        <v/>
      </c>
      <c r="T1250" s="18">
        <f t="shared" si="116"/>
        <v>0</v>
      </c>
      <c r="U1250" s="1" t="str">
        <f t="shared" si="119"/>
        <v/>
      </c>
      <c r="W1250" s="21" t="str">
        <f>IF(C1250&gt;0,CONCATENATE("0x",(DEC2HEX(IF(B1250&lt;&gt;"",VLOOKUP(B1250,Notes!$A$2:$B$37,2,FALSE)*1024,0) + C1250*16 + IF(D1250="",7,D1250)*2 + IF(E1250&gt;0, 1, 0))),","),"")</f>
        <v/>
      </c>
      <c r="X1250" s="21" t="str">
        <f>IF(J1250&gt;0,CONCATENATE("0x",(DEC2HEX(IF(I1250&lt;&gt;"",VLOOKUP(I1250,Notes!$A$2:$B$37,2,FALSE)*1024,0) + J1250*16 + IF(K1250="",7,K1250)*2 + IF(L1250&gt;0, 1, 0))),","),"")</f>
        <v/>
      </c>
      <c r="Y1250" s="21" t="str">
        <f>IF(Q1250&gt;0,CONCATENATE("0x",(DEC2HEX(IF(P1250&lt;&gt;"",VLOOKUP(P1250,Notes!$A$2:$B$37,2,FALSE)*1024,0) + Q1250*16 + IF(R1250="",7,R1250)*2 + IF(S1250&gt;0, 1, 0))),","),"")</f>
        <v/>
      </c>
    </row>
    <row r="1251" spans="1:25" x14ac:dyDescent="0.25">
      <c r="F1251" s="18">
        <f t="shared" si="114"/>
        <v>0</v>
      </c>
      <c r="G1251" s="1" t="str">
        <f t="shared" si="117"/>
        <v/>
      </c>
      <c r="M1251" s="18">
        <f t="shared" si="115"/>
        <v>0</v>
      </c>
      <c r="N1251" s="1" t="str">
        <f t="shared" si="118"/>
        <v/>
      </c>
      <c r="T1251" s="18">
        <f t="shared" si="116"/>
        <v>0</v>
      </c>
      <c r="U1251" s="1" t="str">
        <f t="shared" si="119"/>
        <v/>
      </c>
      <c r="W1251" s="21" t="str">
        <f>IF(C1251&gt;0,CONCATENATE("0x",(DEC2HEX(IF(B1251&lt;&gt;"",VLOOKUP(B1251,Notes!$A$2:$B$37,2,FALSE)*1024,0) + C1251*16 + IF(D1251="",7,D1251)*2 + IF(E1251&gt;0, 1, 0))),","),"")</f>
        <v/>
      </c>
      <c r="X1251" s="21" t="str">
        <f>IF(J1251&gt;0,CONCATENATE("0x",(DEC2HEX(IF(I1251&lt;&gt;"",VLOOKUP(I1251,Notes!$A$2:$B$37,2,FALSE)*1024,0) + J1251*16 + IF(K1251="",7,K1251)*2 + IF(L1251&gt;0, 1, 0))),","),"")</f>
        <v/>
      </c>
      <c r="Y1251" s="21" t="str">
        <f>IF(Q1251&gt;0,CONCATENATE("0x",(DEC2HEX(IF(P1251&lt;&gt;"",VLOOKUP(P1251,Notes!$A$2:$B$37,2,FALSE)*1024,0) + Q1251*16 + IF(R1251="",7,R1251)*2 + IF(S1251&gt;0, 1, 0))),","),"")</f>
        <v/>
      </c>
    </row>
    <row r="1252" spans="1:25" x14ac:dyDescent="0.25">
      <c r="F1252" s="18">
        <f t="shared" si="114"/>
        <v>0</v>
      </c>
      <c r="G1252" s="1" t="str">
        <f t="shared" si="117"/>
        <v/>
      </c>
      <c r="M1252" s="18">
        <f t="shared" si="115"/>
        <v>0</v>
      </c>
      <c r="N1252" s="1" t="str">
        <f t="shared" si="118"/>
        <v/>
      </c>
      <c r="T1252" s="18">
        <f t="shared" si="116"/>
        <v>0</v>
      </c>
      <c r="U1252" s="1" t="str">
        <f t="shared" si="119"/>
        <v/>
      </c>
      <c r="W1252" s="21" t="str">
        <f>IF(C1252&gt;0,CONCATENATE("0x",(DEC2HEX(IF(B1252&lt;&gt;"",VLOOKUP(B1252,Notes!$A$2:$B$37,2,FALSE)*1024,0) + C1252*16 + IF(D1252="",7,D1252)*2 + IF(E1252&gt;0, 1, 0))),","),"")</f>
        <v/>
      </c>
      <c r="X1252" s="21" t="str">
        <f>IF(J1252&gt;0,CONCATENATE("0x",(DEC2HEX(IF(I1252&lt;&gt;"",VLOOKUP(I1252,Notes!$A$2:$B$37,2,FALSE)*1024,0) + J1252*16 + IF(K1252="",7,K1252)*2 + IF(L1252&gt;0, 1, 0))),","),"")</f>
        <v/>
      </c>
      <c r="Y1252" s="21" t="str">
        <f>IF(Q1252&gt;0,CONCATENATE("0x",(DEC2HEX(IF(P1252&lt;&gt;"",VLOOKUP(P1252,Notes!$A$2:$B$37,2,FALSE)*1024,0) + Q1252*16 + IF(R1252="",7,R1252)*2 + IF(S1252&gt;0, 1, 0))),","),"")</f>
        <v/>
      </c>
    </row>
    <row r="1253" spans="1:25" x14ac:dyDescent="0.25">
      <c r="F1253" s="18">
        <f t="shared" si="114"/>
        <v>0</v>
      </c>
      <c r="G1253" s="1" t="str">
        <f t="shared" si="117"/>
        <v/>
      </c>
      <c r="M1253" s="18">
        <f t="shared" si="115"/>
        <v>0</v>
      </c>
      <c r="N1253" s="1" t="str">
        <f t="shared" si="118"/>
        <v/>
      </c>
      <c r="T1253" s="18">
        <f t="shared" si="116"/>
        <v>0</v>
      </c>
      <c r="U1253" s="1" t="str">
        <f t="shared" si="119"/>
        <v/>
      </c>
      <c r="W1253" s="21" t="str">
        <f>IF(C1253&gt;0,CONCATENATE("0x",(DEC2HEX(IF(B1253&lt;&gt;"",VLOOKUP(B1253,Notes!$A$2:$B$37,2,FALSE)*1024,0) + C1253*16 + IF(D1253="",7,D1253)*2 + IF(E1253&gt;0, 1, 0))),","),"")</f>
        <v/>
      </c>
      <c r="X1253" s="21" t="str">
        <f>IF(J1253&gt;0,CONCATENATE("0x",(DEC2HEX(IF(I1253&lt;&gt;"",VLOOKUP(I1253,Notes!$A$2:$B$37,2,FALSE)*1024,0) + J1253*16 + IF(K1253="",7,K1253)*2 + IF(L1253&gt;0, 1, 0))),","),"")</f>
        <v/>
      </c>
      <c r="Y1253" s="21" t="str">
        <f>IF(Q1253&gt;0,CONCATENATE("0x",(DEC2HEX(IF(P1253&lt;&gt;"",VLOOKUP(P1253,Notes!$A$2:$B$37,2,FALSE)*1024,0) + Q1253*16 + IF(R1253="",7,R1253)*2 + IF(S1253&gt;0, 1, 0))),","),"")</f>
        <v/>
      </c>
    </row>
    <row r="1254" spans="1:25" x14ac:dyDescent="0.25">
      <c r="F1254" s="18">
        <f t="shared" si="114"/>
        <v>0</v>
      </c>
      <c r="G1254" s="1" t="str">
        <f t="shared" si="117"/>
        <v/>
      </c>
      <c r="M1254" s="18">
        <f t="shared" si="115"/>
        <v>0</v>
      </c>
      <c r="N1254" s="1" t="str">
        <f t="shared" si="118"/>
        <v/>
      </c>
      <c r="T1254" s="18">
        <f t="shared" si="116"/>
        <v>0</v>
      </c>
      <c r="U1254" s="1" t="str">
        <f t="shared" si="119"/>
        <v/>
      </c>
      <c r="W1254" s="21" t="str">
        <f>IF(C1254&gt;0,CONCATENATE("0x",(DEC2HEX(IF(B1254&lt;&gt;"",VLOOKUP(B1254,Notes!$A$2:$B$37,2,FALSE)*1024,0) + C1254*16 + IF(D1254="",7,D1254)*2 + IF(E1254&gt;0, 1, 0))),","),"")</f>
        <v/>
      </c>
      <c r="X1254" s="21" t="str">
        <f>IF(J1254&gt;0,CONCATENATE("0x",(DEC2HEX(IF(I1254&lt;&gt;"",VLOOKUP(I1254,Notes!$A$2:$B$37,2,FALSE)*1024,0) + J1254*16 + IF(K1254="",7,K1254)*2 + IF(L1254&gt;0, 1, 0))),","),"")</f>
        <v/>
      </c>
      <c r="Y1254" s="21" t="str">
        <f>IF(Q1254&gt;0,CONCATENATE("0x",(DEC2HEX(IF(P1254&lt;&gt;"",VLOOKUP(P1254,Notes!$A$2:$B$37,2,FALSE)*1024,0) + Q1254*16 + IF(R1254="",7,R1254)*2 + IF(S1254&gt;0, 1, 0))),","),"")</f>
        <v/>
      </c>
    </row>
    <row r="1255" spans="1:25" x14ac:dyDescent="0.25">
      <c r="F1255" s="18">
        <f t="shared" si="114"/>
        <v>0</v>
      </c>
      <c r="G1255" s="1" t="str">
        <f t="shared" si="117"/>
        <v/>
      </c>
      <c r="M1255" s="18">
        <f t="shared" si="115"/>
        <v>0</v>
      </c>
      <c r="N1255" s="1" t="str">
        <f t="shared" si="118"/>
        <v/>
      </c>
      <c r="T1255" s="18">
        <f t="shared" si="116"/>
        <v>0</v>
      </c>
      <c r="U1255" s="1" t="str">
        <f t="shared" si="119"/>
        <v/>
      </c>
      <c r="W1255" s="21" t="str">
        <f>IF(C1255&gt;0,CONCATENATE("0x",(DEC2HEX(IF(B1255&lt;&gt;"",VLOOKUP(B1255,Notes!$A$2:$B$37,2,FALSE)*1024,0) + C1255*16 + IF(D1255="",7,D1255)*2 + IF(E1255&gt;0, 1, 0))),","),"")</f>
        <v/>
      </c>
      <c r="X1255" s="21" t="str">
        <f>IF(J1255&gt;0,CONCATENATE("0x",(DEC2HEX(IF(I1255&lt;&gt;"",VLOOKUP(I1255,Notes!$A$2:$B$37,2,FALSE)*1024,0) + J1255*16 + IF(K1255="",7,K1255)*2 + IF(L1255&gt;0, 1, 0))),","),"")</f>
        <v/>
      </c>
      <c r="Y1255" s="21" t="str">
        <f>IF(Q1255&gt;0,CONCATENATE("0x",(DEC2HEX(IF(P1255&lt;&gt;"",VLOOKUP(P1255,Notes!$A$2:$B$37,2,FALSE)*1024,0) + Q1255*16 + IF(R1255="",7,R1255)*2 + IF(S1255&gt;0, 1, 0))),","),"")</f>
        <v/>
      </c>
    </row>
    <row r="1256" spans="1:25" x14ac:dyDescent="0.25">
      <c r="F1256" s="18">
        <f t="shared" si="114"/>
        <v>0</v>
      </c>
      <c r="G1256" s="1" t="str">
        <f t="shared" si="117"/>
        <v/>
      </c>
      <c r="M1256" s="18">
        <f t="shared" si="115"/>
        <v>0</v>
      </c>
      <c r="N1256" s="1" t="str">
        <f t="shared" si="118"/>
        <v/>
      </c>
      <c r="T1256" s="18">
        <f t="shared" si="116"/>
        <v>0</v>
      </c>
      <c r="U1256" s="1" t="str">
        <f t="shared" si="119"/>
        <v/>
      </c>
      <c r="W1256" s="21" t="str">
        <f>IF(C1256&gt;0,CONCATENATE("0x",(DEC2HEX(IF(B1256&lt;&gt;"",VLOOKUP(B1256,Notes!$A$2:$B$37,2,FALSE)*1024,0) + C1256*16 + IF(D1256="",7,D1256)*2 + IF(E1256&gt;0, 1, 0))),","),"")</f>
        <v/>
      </c>
      <c r="X1256" s="21" t="str">
        <f>IF(J1256&gt;0,CONCATENATE("0x",(DEC2HEX(IF(I1256&lt;&gt;"",VLOOKUP(I1256,Notes!$A$2:$B$37,2,FALSE)*1024,0) + J1256*16 + IF(K1256="",7,K1256)*2 + IF(L1256&gt;0, 1, 0))),","),"")</f>
        <v/>
      </c>
      <c r="Y1256" s="21" t="str">
        <f>IF(Q1256&gt;0,CONCATENATE("0x",(DEC2HEX(IF(P1256&lt;&gt;"",VLOOKUP(P1256,Notes!$A$2:$B$37,2,FALSE)*1024,0) + Q1256*16 + IF(R1256="",7,R1256)*2 + IF(S1256&gt;0, 1, 0))),","),"")</f>
        <v/>
      </c>
    </row>
    <row r="1257" spans="1:25" x14ac:dyDescent="0.25">
      <c r="B1257" s="12"/>
      <c r="C1257" s="13"/>
      <c r="D1257" s="13"/>
      <c r="E1257" s="14"/>
      <c r="F1257" s="18">
        <f t="shared" si="114"/>
        <v>0</v>
      </c>
      <c r="G1257" s="1" t="str">
        <f t="shared" si="117"/>
        <v/>
      </c>
      <c r="I1257" s="12"/>
      <c r="J1257" s="13"/>
      <c r="K1257" s="13"/>
      <c r="L1257" s="14"/>
      <c r="M1257" s="18">
        <f t="shared" si="115"/>
        <v>0</v>
      </c>
      <c r="N1257" s="1" t="str">
        <f t="shared" si="118"/>
        <v/>
      </c>
      <c r="P1257" s="12"/>
      <c r="Q1257" s="13"/>
      <c r="R1257" s="13"/>
      <c r="S1257" s="14"/>
      <c r="T1257" s="18">
        <f t="shared" si="116"/>
        <v>0</v>
      </c>
      <c r="U1257" s="1" t="str">
        <f t="shared" si="119"/>
        <v/>
      </c>
      <c r="W1257" s="21" t="str">
        <f>IF(C1257&gt;0,CONCATENATE("0x",(DEC2HEX(IF(B1257&lt;&gt;"",VLOOKUP(B1257,Notes!$A$2:$B$37,2,FALSE)*1024,0) + C1257*16 + IF(D1257="",7,D1257)*2 + IF(E1257&gt;0, 1, 0))),","),"")</f>
        <v/>
      </c>
      <c r="X1257" s="21" t="str">
        <f>IF(J1257&gt;0,CONCATENATE("0x",(DEC2HEX(IF(I1257&lt;&gt;"",VLOOKUP(I1257,Notes!$A$2:$B$37,2,FALSE)*1024,0) + J1257*16 + IF(K1257="",7,K1257)*2 + IF(L1257&gt;0, 1, 0))),","),"")</f>
        <v/>
      </c>
      <c r="Y1257" s="21" t="str">
        <f>IF(Q1257&gt;0,CONCATENATE("0x",(DEC2HEX(IF(P1257&lt;&gt;"",VLOOKUP(P1257,Notes!$A$2:$B$37,2,FALSE)*1024,0) + Q1257*16 + IF(R1257="",7,R1257)*2 + IF(S1257&gt;0, 1, 0))),","),"")</f>
        <v/>
      </c>
    </row>
    <row r="1258" spans="1:25" x14ac:dyDescent="0.25">
      <c r="F1258" s="18">
        <f t="shared" si="114"/>
        <v>0</v>
      </c>
      <c r="G1258" s="1" t="str">
        <f t="shared" si="117"/>
        <v/>
      </c>
      <c r="M1258" s="18">
        <f t="shared" si="115"/>
        <v>0</v>
      </c>
      <c r="N1258" s="1" t="str">
        <f t="shared" si="118"/>
        <v/>
      </c>
      <c r="T1258" s="18">
        <f t="shared" si="116"/>
        <v>0</v>
      </c>
      <c r="U1258" s="1" t="str">
        <f t="shared" si="119"/>
        <v/>
      </c>
      <c r="W1258" s="21" t="str">
        <f>IF(C1258&gt;0,CONCATENATE("0x",(DEC2HEX(IF(B1258&lt;&gt;"",VLOOKUP(B1258,Notes!$A$2:$B$37,2,FALSE)*1024,0) + C1258*16 + IF(D1258="",7,D1258)*2 + IF(E1258&gt;0, 1, 0))),","),"")</f>
        <v/>
      </c>
      <c r="X1258" s="21" t="str">
        <f>IF(J1258&gt;0,CONCATENATE("0x",(DEC2HEX(IF(I1258&lt;&gt;"",VLOOKUP(I1258,Notes!$A$2:$B$37,2,FALSE)*1024,0) + J1258*16 + IF(K1258="",7,K1258)*2 + IF(L1258&gt;0, 1, 0))),","),"")</f>
        <v/>
      </c>
      <c r="Y1258" s="21" t="str">
        <f>IF(Q1258&gt;0,CONCATENATE("0x",(DEC2HEX(IF(P1258&lt;&gt;"",VLOOKUP(P1258,Notes!$A$2:$B$37,2,FALSE)*1024,0) + Q1258*16 + IF(R1258="",7,R1258)*2 + IF(S1258&gt;0, 1, 0))),","),"")</f>
        <v/>
      </c>
    </row>
    <row r="1259" spans="1:25" x14ac:dyDescent="0.25">
      <c r="F1259" s="18">
        <f t="shared" si="114"/>
        <v>0</v>
      </c>
      <c r="G1259" s="1" t="str">
        <f t="shared" si="117"/>
        <v/>
      </c>
      <c r="M1259" s="18">
        <f t="shared" si="115"/>
        <v>0</v>
      </c>
      <c r="N1259" s="1" t="str">
        <f t="shared" si="118"/>
        <v/>
      </c>
      <c r="T1259" s="18">
        <f t="shared" si="116"/>
        <v>0</v>
      </c>
      <c r="U1259" s="1" t="str">
        <f t="shared" si="119"/>
        <v/>
      </c>
      <c r="W1259" s="21" t="str">
        <f>IF(C1259&gt;0,CONCATENATE("0x",(DEC2HEX(IF(B1259&lt;&gt;"",VLOOKUP(B1259,Notes!$A$2:$B$37,2,FALSE)*1024,0) + C1259*16 + IF(D1259="",7,D1259)*2 + IF(E1259&gt;0, 1, 0))),","),"")</f>
        <v/>
      </c>
      <c r="X1259" s="21" t="str">
        <f>IF(J1259&gt;0,CONCATENATE("0x",(DEC2HEX(IF(I1259&lt;&gt;"",VLOOKUP(I1259,Notes!$A$2:$B$37,2,FALSE)*1024,0) + J1259*16 + IF(K1259="",7,K1259)*2 + IF(L1259&gt;0, 1, 0))),","),"")</f>
        <v/>
      </c>
      <c r="Y1259" s="21" t="str">
        <f>IF(Q1259&gt;0,CONCATENATE("0x",(DEC2HEX(IF(P1259&lt;&gt;"",VLOOKUP(P1259,Notes!$A$2:$B$37,2,FALSE)*1024,0) + Q1259*16 + IF(R1259="",7,R1259)*2 + IF(S1259&gt;0, 1, 0))),","),"")</f>
        <v/>
      </c>
    </row>
    <row r="1260" spans="1:25" x14ac:dyDescent="0.25">
      <c r="F1260" s="18">
        <f t="shared" si="114"/>
        <v>0</v>
      </c>
      <c r="G1260" s="1" t="str">
        <f t="shared" si="117"/>
        <v/>
      </c>
      <c r="M1260" s="18">
        <f t="shared" si="115"/>
        <v>0</v>
      </c>
      <c r="N1260" s="1" t="str">
        <f t="shared" si="118"/>
        <v/>
      </c>
      <c r="T1260" s="18">
        <f t="shared" si="116"/>
        <v>0</v>
      </c>
      <c r="U1260" s="1" t="str">
        <f t="shared" si="119"/>
        <v/>
      </c>
      <c r="W1260" s="21" t="str">
        <f>IF(C1260&gt;0,CONCATENATE("0x",(DEC2HEX(IF(B1260&lt;&gt;"",VLOOKUP(B1260,Notes!$A$2:$B$37,2,FALSE)*1024,0) + C1260*16 + IF(D1260="",7,D1260)*2 + IF(E1260&gt;0, 1, 0))),","),"")</f>
        <v/>
      </c>
      <c r="X1260" s="21" t="str">
        <f>IF(J1260&gt;0,CONCATENATE("0x",(DEC2HEX(IF(I1260&lt;&gt;"",VLOOKUP(I1260,Notes!$A$2:$B$37,2,FALSE)*1024,0) + J1260*16 + IF(K1260="",7,K1260)*2 + IF(L1260&gt;0, 1, 0))),","),"")</f>
        <v/>
      </c>
      <c r="Y1260" s="21" t="str">
        <f>IF(Q1260&gt;0,CONCATENATE("0x",(DEC2HEX(IF(P1260&lt;&gt;"",VLOOKUP(P1260,Notes!$A$2:$B$37,2,FALSE)*1024,0) + Q1260*16 + IF(R1260="",7,R1260)*2 + IF(S1260&gt;0, 1, 0))),","),"")</f>
        <v/>
      </c>
    </row>
    <row r="1261" spans="1:25" x14ac:dyDescent="0.25">
      <c r="F1261" s="18">
        <f t="shared" si="114"/>
        <v>0</v>
      </c>
      <c r="G1261" s="1" t="str">
        <f t="shared" si="117"/>
        <v/>
      </c>
      <c r="M1261" s="18">
        <f t="shared" si="115"/>
        <v>0</v>
      </c>
      <c r="N1261" s="1" t="str">
        <f t="shared" si="118"/>
        <v/>
      </c>
      <c r="T1261" s="18">
        <f t="shared" si="116"/>
        <v>0</v>
      </c>
      <c r="U1261" s="1" t="str">
        <f t="shared" si="119"/>
        <v/>
      </c>
      <c r="W1261" s="21" t="str">
        <f>IF(C1261&gt;0,CONCATENATE("0x",(DEC2HEX(IF(B1261&lt;&gt;"",VLOOKUP(B1261,Notes!$A$2:$B$37,2,FALSE)*1024,0) + C1261*16 + IF(D1261="",7,D1261)*2 + IF(E1261&gt;0, 1, 0))),","),"")</f>
        <v/>
      </c>
      <c r="X1261" s="21" t="str">
        <f>IF(J1261&gt;0,CONCATENATE("0x",(DEC2HEX(IF(I1261&lt;&gt;"",VLOOKUP(I1261,Notes!$A$2:$B$37,2,FALSE)*1024,0) + J1261*16 + IF(K1261="",7,K1261)*2 + IF(L1261&gt;0, 1, 0))),","),"")</f>
        <v/>
      </c>
      <c r="Y1261" s="21" t="str">
        <f>IF(Q1261&gt;0,CONCATENATE("0x",(DEC2HEX(IF(P1261&lt;&gt;"",VLOOKUP(P1261,Notes!$A$2:$B$37,2,FALSE)*1024,0) + Q1261*16 + IF(R1261="",7,R1261)*2 + IF(S1261&gt;0, 1, 0))),","),"")</f>
        <v/>
      </c>
    </row>
    <row r="1262" spans="1:25" x14ac:dyDescent="0.25">
      <c r="F1262" s="18">
        <f t="shared" si="114"/>
        <v>0</v>
      </c>
      <c r="G1262" s="1" t="str">
        <f t="shared" si="117"/>
        <v/>
      </c>
      <c r="M1262" s="18">
        <f t="shared" si="115"/>
        <v>0</v>
      </c>
      <c r="N1262" s="1" t="str">
        <f t="shared" si="118"/>
        <v/>
      </c>
      <c r="T1262" s="18">
        <f t="shared" si="116"/>
        <v>0</v>
      </c>
      <c r="U1262" s="1" t="str">
        <f t="shared" si="119"/>
        <v/>
      </c>
      <c r="W1262" s="21" t="str">
        <f>IF(C1262&gt;0,CONCATENATE("0x",(DEC2HEX(IF(B1262&lt;&gt;"",VLOOKUP(B1262,Notes!$A$2:$B$37,2,FALSE)*1024,0) + C1262*16 + IF(D1262="",7,D1262)*2 + IF(E1262&gt;0, 1, 0))),","),"")</f>
        <v/>
      </c>
      <c r="X1262" s="21" t="str">
        <f>IF(J1262&gt;0,CONCATENATE("0x",(DEC2HEX(IF(I1262&lt;&gt;"",VLOOKUP(I1262,Notes!$A$2:$B$37,2,FALSE)*1024,0) + J1262*16 + IF(K1262="",7,K1262)*2 + IF(L1262&gt;0, 1, 0))),","),"")</f>
        <v/>
      </c>
      <c r="Y1262" s="21" t="str">
        <f>IF(Q1262&gt;0,CONCATENATE("0x",(DEC2HEX(IF(P1262&lt;&gt;"",VLOOKUP(P1262,Notes!$A$2:$B$37,2,FALSE)*1024,0) + Q1262*16 + IF(R1262="",7,R1262)*2 + IF(S1262&gt;0, 1, 0))),","),"")</f>
        <v/>
      </c>
    </row>
    <row r="1263" spans="1:25" x14ac:dyDescent="0.25">
      <c r="F1263" s="18">
        <f t="shared" si="114"/>
        <v>0</v>
      </c>
      <c r="G1263" s="1" t="str">
        <f t="shared" si="117"/>
        <v/>
      </c>
      <c r="M1263" s="18">
        <f t="shared" si="115"/>
        <v>0</v>
      </c>
      <c r="N1263" s="1" t="str">
        <f t="shared" si="118"/>
        <v/>
      </c>
      <c r="T1263" s="18">
        <f t="shared" si="116"/>
        <v>0</v>
      </c>
      <c r="U1263" s="1" t="str">
        <f t="shared" si="119"/>
        <v/>
      </c>
      <c r="W1263" s="21" t="str">
        <f>IF(C1263&gt;0,CONCATENATE("0x",(DEC2HEX(IF(B1263&lt;&gt;"",VLOOKUP(B1263,Notes!$A$2:$B$37,2,FALSE)*1024,0) + C1263*16 + IF(D1263="",7,D1263)*2 + IF(E1263&gt;0, 1, 0))),","),"")</f>
        <v/>
      </c>
      <c r="X1263" s="21" t="str">
        <f>IF(J1263&gt;0,CONCATENATE("0x",(DEC2HEX(IF(I1263&lt;&gt;"",VLOOKUP(I1263,Notes!$A$2:$B$37,2,FALSE)*1024,0) + J1263*16 + IF(K1263="",7,K1263)*2 + IF(L1263&gt;0, 1, 0))),","),"")</f>
        <v/>
      </c>
      <c r="Y1263" s="21" t="str">
        <f>IF(Q1263&gt;0,CONCATENATE("0x",(DEC2HEX(IF(P1263&lt;&gt;"",VLOOKUP(P1263,Notes!$A$2:$B$37,2,FALSE)*1024,0) + Q1263*16 + IF(R1263="",7,R1263)*2 + IF(S1263&gt;0, 1, 0))),","),"")</f>
        <v/>
      </c>
    </row>
    <row r="1264" spans="1:25" x14ac:dyDescent="0.25">
      <c r="F1264" s="18">
        <f t="shared" si="114"/>
        <v>0</v>
      </c>
      <c r="G1264" s="1" t="str">
        <f t="shared" si="117"/>
        <v/>
      </c>
      <c r="M1264" s="18">
        <f t="shared" si="115"/>
        <v>0</v>
      </c>
      <c r="N1264" s="1" t="str">
        <f t="shared" si="118"/>
        <v/>
      </c>
      <c r="T1264" s="18">
        <f t="shared" si="116"/>
        <v>0</v>
      </c>
      <c r="U1264" s="1" t="str">
        <f t="shared" si="119"/>
        <v/>
      </c>
      <c r="W1264" s="21" t="str">
        <f>IF(C1264&gt;0,CONCATENATE("0x",(DEC2HEX(IF(B1264&lt;&gt;"",VLOOKUP(B1264,Notes!$A$2:$B$37,2,FALSE)*1024,0) + C1264*16 + IF(D1264="",7,D1264)*2 + IF(E1264&gt;0, 1, 0))),","),"")</f>
        <v/>
      </c>
      <c r="X1264" s="21" t="str">
        <f>IF(J1264&gt;0,CONCATENATE("0x",(DEC2HEX(IF(I1264&lt;&gt;"",VLOOKUP(I1264,Notes!$A$2:$B$37,2,FALSE)*1024,0) + J1264*16 + IF(K1264="",7,K1264)*2 + IF(L1264&gt;0, 1, 0))),","),"")</f>
        <v/>
      </c>
      <c r="Y1264" s="21" t="str">
        <f>IF(Q1264&gt;0,CONCATENATE("0x",(DEC2HEX(IF(P1264&lt;&gt;"",VLOOKUP(P1264,Notes!$A$2:$B$37,2,FALSE)*1024,0) + Q1264*16 + IF(R1264="",7,R1264)*2 + IF(S1264&gt;0, 1, 0))),","),"")</f>
        <v/>
      </c>
    </row>
    <row r="1265" spans="2:25" x14ac:dyDescent="0.25">
      <c r="B1265" s="12"/>
      <c r="C1265" s="13"/>
      <c r="D1265" s="13"/>
      <c r="E1265" s="14"/>
      <c r="F1265" s="18">
        <f t="shared" si="114"/>
        <v>0</v>
      </c>
      <c r="G1265" s="1" t="str">
        <f t="shared" si="117"/>
        <v/>
      </c>
      <c r="I1265" s="12"/>
      <c r="J1265" s="13"/>
      <c r="K1265" s="13"/>
      <c r="L1265" s="14"/>
      <c r="M1265" s="18">
        <f t="shared" si="115"/>
        <v>0</v>
      </c>
      <c r="N1265" s="1" t="str">
        <f t="shared" si="118"/>
        <v/>
      </c>
      <c r="P1265" s="12"/>
      <c r="Q1265" s="13"/>
      <c r="R1265" s="13"/>
      <c r="S1265" s="14"/>
      <c r="T1265" s="18">
        <f t="shared" si="116"/>
        <v>0</v>
      </c>
      <c r="U1265" s="1" t="str">
        <f t="shared" si="119"/>
        <v/>
      </c>
      <c r="W1265" s="21" t="str">
        <f>IF(C1265&gt;0,CONCATENATE("0x",(DEC2HEX(IF(B1265&lt;&gt;"",VLOOKUP(B1265,Notes!$A$2:$B$37,2,FALSE)*1024,0) + C1265*16 + IF(D1265="",7,D1265)*2 + IF(E1265&gt;0, 1, 0))),","),"")</f>
        <v/>
      </c>
      <c r="X1265" s="21" t="str">
        <f>IF(J1265&gt;0,CONCATENATE("0x",(DEC2HEX(IF(I1265&lt;&gt;"",VLOOKUP(I1265,Notes!$A$2:$B$37,2,FALSE)*1024,0) + J1265*16 + IF(K1265="",7,K1265)*2 + IF(L1265&gt;0, 1, 0))),","),"")</f>
        <v/>
      </c>
      <c r="Y1265" s="21" t="str">
        <f>IF(Q1265&gt;0,CONCATENATE("0x",(DEC2HEX(IF(P1265&lt;&gt;"",VLOOKUP(P1265,Notes!$A$2:$B$37,2,FALSE)*1024,0) + Q1265*16 + IF(R1265="",7,R1265)*2 + IF(S1265&gt;0, 1, 0))),","),"")</f>
        <v/>
      </c>
    </row>
    <row r="1266" spans="2:25" x14ac:dyDescent="0.25">
      <c r="F1266" s="18">
        <f t="shared" si="114"/>
        <v>0</v>
      </c>
      <c r="G1266" s="1" t="str">
        <f t="shared" si="117"/>
        <v/>
      </c>
      <c r="M1266" s="18">
        <f t="shared" si="115"/>
        <v>0</v>
      </c>
      <c r="N1266" s="1" t="str">
        <f t="shared" si="118"/>
        <v/>
      </c>
      <c r="T1266" s="18">
        <f t="shared" si="116"/>
        <v>0</v>
      </c>
      <c r="U1266" s="1" t="str">
        <f t="shared" si="119"/>
        <v/>
      </c>
      <c r="W1266" s="21" t="str">
        <f>IF(C1266&gt;0,CONCATENATE("0x",(DEC2HEX(IF(B1266&lt;&gt;"",VLOOKUP(B1266,Notes!$A$2:$B$37,2,FALSE)*1024,0) + C1266*16 + IF(D1266="",7,D1266)*2 + IF(E1266&gt;0, 1, 0))),","),"")</f>
        <v/>
      </c>
      <c r="X1266" s="21" t="str">
        <f>IF(J1266&gt;0,CONCATENATE("0x",(DEC2HEX(IF(I1266&lt;&gt;"",VLOOKUP(I1266,Notes!$A$2:$B$37,2,FALSE)*1024,0) + J1266*16 + IF(K1266="",7,K1266)*2 + IF(L1266&gt;0, 1, 0))),","),"")</f>
        <v/>
      </c>
      <c r="Y1266" s="21" t="str">
        <f>IF(Q1266&gt;0,CONCATENATE("0x",(DEC2HEX(IF(P1266&lt;&gt;"",VLOOKUP(P1266,Notes!$A$2:$B$37,2,FALSE)*1024,0) + Q1266*16 + IF(R1266="",7,R1266)*2 + IF(S1266&gt;0, 1, 0))),","),"")</f>
        <v/>
      </c>
    </row>
    <row r="1267" spans="2:25" x14ac:dyDescent="0.25">
      <c r="F1267" s="18">
        <f t="shared" si="114"/>
        <v>0</v>
      </c>
      <c r="G1267" s="1" t="str">
        <f t="shared" si="117"/>
        <v/>
      </c>
      <c r="M1267" s="18">
        <f t="shared" si="115"/>
        <v>0</v>
      </c>
      <c r="N1267" s="1" t="str">
        <f t="shared" si="118"/>
        <v/>
      </c>
      <c r="T1267" s="18">
        <f t="shared" si="116"/>
        <v>0</v>
      </c>
      <c r="U1267" s="1" t="str">
        <f t="shared" si="119"/>
        <v/>
      </c>
      <c r="W1267" s="21" t="str">
        <f>IF(C1267&gt;0,CONCATENATE("0x",(DEC2HEX(IF(B1267&lt;&gt;"",VLOOKUP(B1267,Notes!$A$2:$B$37,2,FALSE)*1024,0) + C1267*16 + IF(D1267="",7,D1267)*2 + IF(E1267&gt;0, 1, 0))),","),"")</f>
        <v/>
      </c>
      <c r="X1267" s="21" t="str">
        <f>IF(J1267&gt;0,CONCATENATE("0x",(DEC2HEX(IF(I1267&lt;&gt;"",VLOOKUP(I1267,Notes!$A$2:$B$37,2,FALSE)*1024,0) + J1267*16 + IF(K1267="",7,K1267)*2 + IF(L1267&gt;0, 1, 0))),","),"")</f>
        <v/>
      </c>
      <c r="Y1267" s="21" t="str">
        <f>IF(Q1267&gt;0,CONCATENATE("0x",(DEC2HEX(IF(P1267&lt;&gt;"",VLOOKUP(P1267,Notes!$A$2:$B$37,2,FALSE)*1024,0) + Q1267*16 + IF(R1267="",7,R1267)*2 + IF(S1267&gt;0, 1, 0))),","),"")</f>
        <v/>
      </c>
    </row>
    <row r="1268" spans="2:25" x14ac:dyDescent="0.25">
      <c r="F1268" s="18">
        <f t="shared" si="114"/>
        <v>0</v>
      </c>
      <c r="G1268" s="1" t="str">
        <f t="shared" si="117"/>
        <v/>
      </c>
      <c r="M1268" s="18">
        <f t="shared" si="115"/>
        <v>0</v>
      </c>
      <c r="N1268" s="1" t="str">
        <f t="shared" si="118"/>
        <v/>
      </c>
      <c r="T1268" s="18">
        <f t="shared" si="116"/>
        <v>0</v>
      </c>
      <c r="U1268" s="1" t="str">
        <f t="shared" si="119"/>
        <v/>
      </c>
      <c r="W1268" s="21" t="str">
        <f>IF(C1268&gt;0,CONCATENATE("0x",(DEC2HEX(IF(B1268&lt;&gt;"",VLOOKUP(B1268,Notes!$A$2:$B$37,2,FALSE)*1024,0) + C1268*16 + IF(D1268="",7,D1268)*2 + IF(E1268&gt;0, 1, 0))),","),"")</f>
        <v/>
      </c>
      <c r="X1268" s="21" t="str">
        <f>IF(J1268&gt;0,CONCATENATE("0x",(DEC2HEX(IF(I1268&lt;&gt;"",VLOOKUP(I1268,Notes!$A$2:$B$37,2,FALSE)*1024,0) + J1268*16 + IF(K1268="",7,K1268)*2 + IF(L1268&gt;0, 1, 0))),","),"")</f>
        <v/>
      </c>
      <c r="Y1268" s="21" t="str">
        <f>IF(Q1268&gt;0,CONCATENATE("0x",(DEC2HEX(IF(P1268&lt;&gt;"",VLOOKUP(P1268,Notes!$A$2:$B$37,2,FALSE)*1024,0) + Q1268*16 + IF(R1268="",7,R1268)*2 + IF(S1268&gt;0, 1, 0))),","),"")</f>
        <v/>
      </c>
    </row>
    <row r="1269" spans="2:25" x14ac:dyDescent="0.25">
      <c r="F1269" s="18">
        <f t="shared" si="114"/>
        <v>0</v>
      </c>
      <c r="G1269" s="1" t="str">
        <f t="shared" si="117"/>
        <v/>
      </c>
      <c r="M1269" s="18">
        <f t="shared" si="115"/>
        <v>0</v>
      </c>
      <c r="N1269" s="1" t="str">
        <f t="shared" si="118"/>
        <v/>
      </c>
      <c r="T1269" s="18">
        <f t="shared" si="116"/>
        <v>0</v>
      </c>
      <c r="U1269" s="1" t="str">
        <f t="shared" si="119"/>
        <v/>
      </c>
      <c r="W1269" s="21" t="str">
        <f>IF(C1269&gt;0,CONCATENATE("0x",(DEC2HEX(IF(B1269&lt;&gt;"",VLOOKUP(B1269,Notes!$A$2:$B$37,2,FALSE)*1024,0) + C1269*16 + IF(D1269="",7,D1269)*2 + IF(E1269&gt;0, 1, 0))),","),"")</f>
        <v/>
      </c>
      <c r="X1269" s="21" t="str">
        <f>IF(J1269&gt;0,CONCATENATE("0x",(DEC2HEX(IF(I1269&lt;&gt;"",VLOOKUP(I1269,Notes!$A$2:$B$37,2,FALSE)*1024,0) + J1269*16 + IF(K1269="",7,K1269)*2 + IF(L1269&gt;0, 1, 0))),","),"")</f>
        <v/>
      </c>
      <c r="Y1269" s="21" t="str">
        <f>IF(Q1269&gt;0,CONCATENATE("0x",(DEC2HEX(IF(P1269&lt;&gt;"",VLOOKUP(P1269,Notes!$A$2:$B$37,2,FALSE)*1024,0) + Q1269*16 + IF(R1269="",7,R1269)*2 + IF(S1269&gt;0, 1, 0))),","),"")</f>
        <v/>
      </c>
    </row>
    <row r="1270" spans="2:25" x14ac:dyDescent="0.25">
      <c r="F1270" s="18">
        <f t="shared" si="114"/>
        <v>0</v>
      </c>
      <c r="G1270" s="1" t="str">
        <f t="shared" si="117"/>
        <v/>
      </c>
      <c r="M1270" s="18">
        <f t="shared" si="115"/>
        <v>0</v>
      </c>
      <c r="N1270" s="1" t="str">
        <f t="shared" si="118"/>
        <v/>
      </c>
      <c r="T1270" s="18">
        <f t="shared" si="116"/>
        <v>0</v>
      </c>
      <c r="U1270" s="1" t="str">
        <f t="shared" si="119"/>
        <v/>
      </c>
      <c r="W1270" s="21" t="str">
        <f>IF(C1270&gt;0,CONCATENATE("0x",(DEC2HEX(IF(B1270&lt;&gt;"",VLOOKUP(B1270,Notes!$A$2:$B$37,2,FALSE)*1024,0) + C1270*16 + IF(D1270="",7,D1270)*2 + IF(E1270&gt;0, 1, 0))),","),"")</f>
        <v/>
      </c>
      <c r="X1270" s="21" t="str">
        <f>IF(J1270&gt;0,CONCATENATE("0x",(DEC2HEX(IF(I1270&lt;&gt;"",VLOOKUP(I1270,Notes!$A$2:$B$37,2,FALSE)*1024,0) + J1270*16 + IF(K1270="",7,K1270)*2 + IF(L1270&gt;0, 1, 0))),","),"")</f>
        <v/>
      </c>
      <c r="Y1270" s="21" t="str">
        <f>IF(Q1270&gt;0,CONCATENATE("0x",(DEC2HEX(IF(P1270&lt;&gt;"",VLOOKUP(P1270,Notes!$A$2:$B$37,2,FALSE)*1024,0) + Q1270*16 + IF(R1270="",7,R1270)*2 + IF(S1270&gt;0, 1, 0))),","),"")</f>
        <v/>
      </c>
    </row>
    <row r="1271" spans="2:25" x14ac:dyDescent="0.25">
      <c r="F1271" s="18">
        <f t="shared" si="114"/>
        <v>0</v>
      </c>
      <c r="G1271" s="1" t="str">
        <f t="shared" si="117"/>
        <v/>
      </c>
      <c r="M1271" s="18">
        <f t="shared" si="115"/>
        <v>0</v>
      </c>
      <c r="N1271" s="1" t="str">
        <f t="shared" si="118"/>
        <v/>
      </c>
      <c r="T1271" s="18">
        <f t="shared" si="116"/>
        <v>0</v>
      </c>
      <c r="U1271" s="1" t="str">
        <f t="shared" si="119"/>
        <v/>
      </c>
      <c r="W1271" s="21" t="str">
        <f>IF(C1271&gt;0,CONCATENATE("0x",(DEC2HEX(IF(B1271&lt;&gt;"",VLOOKUP(B1271,Notes!$A$2:$B$37,2,FALSE)*1024,0) + C1271*16 + IF(D1271="",7,D1271)*2 + IF(E1271&gt;0, 1, 0))),","),"")</f>
        <v/>
      </c>
      <c r="X1271" s="21" t="str">
        <f>IF(J1271&gt;0,CONCATENATE("0x",(DEC2HEX(IF(I1271&lt;&gt;"",VLOOKUP(I1271,Notes!$A$2:$B$37,2,FALSE)*1024,0) + J1271*16 + IF(K1271="",7,K1271)*2 + IF(L1271&gt;0, 1, 0))),","),"")</f>
        <v/>
      </c>
      <c r="Y1271" s="21" t="str">
        <f>IF(Q1271&gt;0,CONCATENATE("0x",(DEC2HEX(IF(P1271&lt;&gt;"",VLOOKUP(P1271,Notes!$A$2:$B$37,2,FALSE)*1024,0) + Q1271*16 + IF(R1271="",7,R1271)*2 + IF(S1271&gt;0, 1, 0))),","),"")</f>
        <v/>
      </c>
    </row>
    <row r="1272" spans="2:25" x14ac:dyDescent="0.25">
      <c r="F1272" s="18">
        <f t="shared" si="114"/>
        <v>0</v>
      </c>
      <c r="G1272" s="1" t="str">
        <f t="shared" si="117"/>
        <v/>
      </c>
      <c r="M1272" s="18">
        <f t="shared" si="115"/>
        <v>0</v>
      </c>
      <c r="N1272" s="1" t="str">
        <f t="shared" si="118"/>
        <v/>
      </c>
      <c r="T1272" s="18">
        <f t="shared" si="116"/>
        <v>0</v>
      </c>
      <c r="U1272" s="1" t="str">
        <f t="shared" si="119"/>
        <v/>
      </c>
      <c r="W1272" s="21" t="str">
        <f>IF(C1272&gt;0,CONCATENATE("0x",(DEC2HEX(IF(B1272&lt;&gt;"",VLOOKUP(B1272,Notes!$A$2:$B$37,2,FALSE)*1024,0) + C1272*16 + IF(D1272="",7,D1272)*2 + IF(E1272&gt;0, 1, 0))),","),"")</f>
        <v/>
      </c>
      <c r="X1272" s="21" t="str">
        <f>IF(J1272&gt;0,CONCATENATE("0x",(DEC2HEX(IF(I1272&lt;&gt;"",VLOOKUP(I1272,Notes!$A$2:$B$37,2,FALSE)*1024,0) + J1272*16 + IF(K1272="",7,K1272)*2 + IF(L1272&gt;0, 1, 0))),","),"")</f>
        <v/>
      </c>
      <c r="Y1272" s="21" t="str">
        <f>IF(Q1272&gt;0,CONCATENATE("0x",(DEC2HEX(IF(P1272&lt;&gt;"",VLOOKUP(P1272,Notes!$A$2:$B$37,2,FALSE)*1024,0) + Q1272*16 + IF(R1272="",7,R1272)*2 + IF(S1272&gt;0, 1, 0))),","),"")</f>
        <v/>
      </c>
    </row>
    <row r="1273" spans="2:25" x14ac:dyDescent="0.25">
      <c r="B1273" s="12"/>
      <c r="C1273" s="13"/>
      <c r="D1273" s="13"/>
      <c r="E1273" s="14"/>
      <c r="F1273" s="18">
        <f t="shared" si="114"/>
        <v>0</v>
      </c>
      <c r="G1273" s="1" t="str">
        <f t="shared" si="117"/>
        <v/>
      </c>
      <c r="I1273" s="12"/>
      <c r="J1273" s="13"/>
      <c r="K1273" s="13"/>
      <c r="L1273" s="14"/>
      <c r="M1273" s="18">
        <f t="shared" si="115"/>
        <v>0</v>
      </c>
      <c r="N1273" s="1" t="str">
        <f t="shared" si="118"/>
        <v/>
      </c>
      <c r="P1273" s="12"/>
      <c r="Q1273" s="13"/>
      <c r="R1273" s="13"/>
      <c r="S1273" s="14"/>
      <c r="T1273" s="18">
        <f t="shared" si="116"/>
        <v>0</v>
      </c>
      <c r="U1273" s="1" t="str">
        <f t="shared" si="119"/>
        <v/>
      </c>
      <c r="W1273" s="21" t="str">
        <f>IF(C1273&gt;0,CONCATENATE("0x",(DEC2HEX(IF(B1273&lt;&gt;"",VLOOKUP(B1273,Notes!$A$2:$B$37,2,FALSE)*1024,0) + C1273*16 + IF(D1273="",7,D1273)*2 + IF(E1273&gt;0, 1, 0))),","),"")</f>
        <v/>
      </c>
      <c r="X1273" s="21" t="str">
        <f>IF(J1273&gt;0,CONCATENATE("0x",(DEC2HEX(IF(I1273&lt;&gt;"",VLOOKUP(I1273,Notes!$A$2:$B$37,2,FALSE)*1024,0) + J1273*16 + IF(K1273="",7,K1273)*2 + IF(L1273&gt;0, 1, 0))),","),"")</f>
        <v/>
      </c>
      <c r="Y1273" s="21" t="str">
        <f>IF(Q1273&gt;0,CONCATENATE("0x",(DEC2HEX(IF(P1273&lt;&gt;"",VLOOKUP(P1273,Notes!$A$2:$B$37,2,FALSE)*1024,0) + Q1273*16 + IF(R1273="",7,R1273)*2 + IF(S1273&gt;0, 1, 0))),","),"")</f>
        <v/>
      </c>
    </row>
    <row r="1274" spans="2:25" x14ac:dyDescent="0.25">
      <c r="F1274" s="18">
        <f t="shared" si="114"/>
        <v>0</v>
      </c>
      <c r="G1274" s="1" t="str">
        <f t="shared" si="117"/>
        <v/>
      </c>
      <c r="M1274" s="18">
        <f t="shared" si="115"/>
        <v>0</v>
      </c>
      <c r="N1274" s="1" t="str">
        <f t="shared" si="118"/>
        <v/>
      </c>
      <c r="T1274" s="18">
        <f t="shared" si="116"/>
        <v>0</v>
      </c>
      <c r="U1274" s="1" t="str">
        <f t="shared" si="119"/>
        <v/>
      </c>
      <c r="W1274" s="21" t="str">
        <f>IF(C1274&gt;0,CONCATENATE("0x",(DEC2HEX(IF(B1274&lt;&gt;"",VLOOKUP(B1274,Notes!$A$2:$B$37,2,FALSE)*1024,0) + C1274*16 + IF(D1274="",7,D1274)*2 + IF(E1274&gt;0, 1, 0))),","),"")</f>
        <v/>
      </c>
      <c r="X1274" s="21" t="str">
        <f>IF(J1274&gt;0,CONCATENATE("0x",(DEC2HEX(IF(I1274&lt;&gt;"",VLOOKUP(I1274,Notes!$A$2:$B$37,2,FALSE)*1024,0) + J1274*16 + IF(K1274="",7,K1274)*2 + IF(L1274&gt;0, 1, 0))),","),"")</f>
        <v/>
      </c>
      <c r="Y1274" s="21" t="str">
        <f>IF(Q1274&gt;0,CONCATENATE("0x",(DEC2HEX(IF(P1274&lt;&gt;"",VLOOKUP(P1274,Notes!$A$2:$B$37,2,FALSE)*1024,0) + Q1274*16 + IF(R1274="",7,R1274)*2 + IF(S1274&gt;0, 1, 0))),","),"")</f>
        <v/>
      </c>
    </row>
    <row r="1275" spans="2:25" x14ac:dyDescent="0.25">
      <c r="F1275" s="18">
        <f t="shared" si="114"/>
        <v>0</v>
      </c>
      <c r="G1275" s="1" t="str">
        <f t="shared" si="117"/>
        <v/>
      </c>
      <c r="M1275" s="18">
        <f t="shared" si="115"/>
        <v>0</v>
      </c>
      <c r="N1275" s="1" t="str">
        <f t="shared" si="118"/>
        <v/>
      </c>
      <c r="T1275" s="18">
        <f t="shared" si="116"/>
        <v>0</v>
      </c>
      <c r="U1275" s="1" t="str">
        <f t="shared" si="119"/>
        <v/>
      </c>
      <c r="W1275" s="21" t="str">
        <f>IF(C1275&gt;0,CONCATENATE("0x",(DEC2HEX(IF(B1275&lt;&gt;"",VLOOKUP(B1275,Notes!$A$2:$B$37,2,FALSE)*1024,0) + C1275*16 + IF(D1275="",7,D1275)*2 + IF(E1275&gt;0, 1, 0))),","),"")</f>
        <v/>
      </c>
      <c r="X1275" s="21" t="str">
        <f>IF(J1275&gt;0,CONCATENATE("0x",(DEC2HEX(IF(I1275&lt;&gt;"",VLOOKUP(I1275,Notes!$A$2:$B$37,2,FALSE)*1024,0) + J1275*16 + IF(K1275="",7,K1275)*2 + IF(L1275&gt;0, 1, 0))),","),"")</f>
        <v/>
      </c>
      <c r="Y1275" s="21" t="str">
        <f>IF(Q1275&gt;0,CONCATENATE("0x",(DEC2HEX(IF(P1275&lt;&gt;"",VLOOKUP(P1275,Notes!$A$2:$B$37,2,FALSE)*1024,0) + Q1275*16 + IF(R1275="",7,R1275)*2 + IF(S1275&gt;0, 1, 0))),","),"")</f>
        <v/>
      </c>
    </row>
    <row r="1276" spans="2:25" x14ac:dyDescent="0.25">
      <c r="F1276" s="18">
        <f t="shared" si="114"/>
        <v>0</v>
      </c>
      <c r="G1276" s="1" t="str">
        <f t="shared" si="117"/>
        <v/>
      </c>
      <c r="M1276" s="18">
        <f t="shared" si="115"/>
        <v>0</v>
      </c>
      <c r="N1276" s="1" t="str">
        <f t="shared" si="118"/>
        <v/>
      </c>
      <c r="T1276" s="18">
        <f t="shared" si="116"/>
        <v>0</v>
      </c>
      <c r="U1276" s="1" t="str">
        <f t="shared" si="119"/>
        <v/>
      </c>
      <c r="W1276" s="21" t="str">
        <f>IF(C1276&gt;0,CONCATENATE("0x",(DEC2HEX(IF(B1276&lt;&gt;"",VLOOKUP(B1276,Notes!$A$2:$B$37,2,FALSE)*1024,0) + C1276*16 + IF(D1276="",7,D1276)*2 + IF(E1276&gt;0, 1, 0))),","),"")</f>
        <v/>
      </c>
      <c r="X1276" s="21" t="str">
        <f>IF(J1276&gt;0,CONCATENATE("0x",(DEC2HEX(IF(I1276&lt;&gt;"",VLOOKUP(I1276,Notes!$A$2:$B$37,2,FALSE)*1024,0) + J1276*16 + IF(K1276="",7,K1276)*2 + IF(L1276&gt;0, 1, 0))),","),"")</f>
        <v/>
      </c>
      <c r="Y1276" s="21" t="str">
        <f>IF(Q1276&gt;0,CONCATENATE("0x",(DEC2HEX(IF(P1276&lt;&gt;"",VLOOKUP(P1276,Notes!$A$2:$B$37,2,FALSE)*1024,0) + Q1276*16 + IF(R1276="",7,R1276)*2 + IF(S1276&gt;0, 1, 0))),","),"")</f>
        <v/>
      </c>
    </row>
    <row r="1277" spans="2:25" x14ac:dyDescent="0.25">
      <c r="F1277" s="18">
        <f t="shared" si="114"/>
        <v>0</v>
      </c>
      <c r="G1277" s="1" t="str">
        <f t="shared" si="117"/>
        <v/>
      </c>
      <c r="M1277" s="18">
        <f t="shared" si="115"/>
        <v>0</v>
      </c>
      <c r="N1277" s="1" t="str">
        <f t="shared" si="118"/>
        <v/>
      </c>
      <c r="T1277" s="18">
        <f t="shared" si="116"/>
        <v>0</v>
      </c>
      <c r="U1277" s="1" t="str">
        <f t="shared" si="119"/>
        <v/>
      </c>
      <c r="W1277" s="21" t="str">
        <f>IF(C1277&gt;0,CONCATENATE("0x",(DEC2HEX(IF(B1277&lt;&gt;"",VLOOKUP(B1277,Notes!$A$2:$B$37,2,FALSE)*1024,0) + C1277*16 + IF(D1277="",7,D1277)*2 + IF(E1277&gt;0, 1, 0))),","),"")</f>
        <v/>
      </c>
      <c r="X1277" s="21" t="str">
        <f>IF(J1277&gt;0,CONCATENATE("0x",(DEC2HEX(IF(I1277&lt;&gt;"",VLOOKUP(I1277,Notes!$A$2:$B$37,2,FALSE)*1024,0) + J1277*16 + IF(K1277="",7,K1277)*2 + IF(L1277&gt;0, 1, 0))),","),"")</f>
        <v/>
      </c>
      <c r="Y1277" s="21" t="str">
        <f>IF(Q1277&gt;0,CONCATENATE("0x",(DEC2HEX(IF(P1277&lt;&gt;"",VLOOKUP(P1277,Notes!$A$2:$B$37,2,FALSE)*1024,0) + Q1277*16 + IF(R1277="",7,R1277)*2 + IF(S1277&gt;0, 1, 0))),","),"")</f>
        <v/>
      </c>
    </row>
    <row r="1278" spans="2:25" x14ac:dyDescent="0.25">
      <c r="F1278" s="18">
        <f t="shared" si="114"/>
        <v>0</v>
      </c>
      <c r="G1278" s="1" t="str">
        <f t="shared" si="117"/>
        <v/>
      </c>
      <c r="M1278" s="18">
        <f t="shared" si="115"/>
        <v>0</v>
      </c>
      <c r="N1278" s="1" t="str">
        <f t="shared" si="118"/>
        <v/>
      </c>
      <c r="T1278" s="18">
        <f t="shared" si="116"/>
        <v>0</v>
      </c>
      <c r="U1278" s="1" t="str">
        <f t="shared" si="119"/>
        <v/>
      </c>
      <c r="W1278" s="21" t="str">
        <f>IF(C1278&gt;0,CONCATENATE("0x",(DEC2HEX(IF(B1278&lt;&gt;"",VLOOKUP(B1278,Notes!$A$2:$B$37,2,FALSE)*1024,0) + C1278*16 + IF(D1278="",7,D1278)*2 + IF(E1278&gt;0, 1, 0))),","),"")</f>
        <v/>
      </c>
      <c r="X1278" s="21" t="str">
        <f>IF(J1278&gt;0,CONCATENATE("0x",(DEC2HEX(IF(I1278&lt;&gt;"",VLOOKUP(I1278,Notes!$A$2:$B$37,2,FALSE)*1024,0) + J1278*16 + IF(K1278="",7,K1278)*2 + IF(L1278&gt;0, 1, 0))),","),"")</f>
        <v/>
      </c>
      <c r="Y1278" s="21" t="str">
        <f>IF(Q1278&gt;0,CONCATENATE("0x",(DEC2HEX(IF(P1278&lt;&gt;"",VLOOKUP(P1278,Notes!$A$2:$B$37,2,FALSE)*1024,0) + Q1278*16 + IF(R1278="",7,R1278)*2 + IF(S1278&gt;0, 1, 0))),","),"")</f>
        <v/>
      </c>
    </row>
    <row r="1279" spans="2:25" x14ac:dyDescent="0.25">
      <c r="F1279" s="18">
        <f t="shared" si="114"/>
        <v>0</v>
      </c>
      <c r="G1279" s="1" t="str">
        <f t="shared" si="117"/>
        <v/>
      </c>
      <c r="M1279" s="18">
        <f t="shared" si="115"/>
        <v>0</v>
      </c>
      <c r="N1279" s="1" t="str">
        <f t="shared" si="118"/>
        <v/>
      </c>
      <c r="T1279" s="18">
        <f t="shared" si="116"/>
        <v>0</v>
      </c>
      <c r="U1279" s="1" t="str">
        <f t="shared" si="119"/>
        <v/>
      </c>
      <c r="W1279" s="21" t="str">
        <f>IF(C1279&gt;0,CONCATENATE("0x",(DEC2HEX(IF(B1279&lt;&gt;"",VLOOKUP(B1279,Notes!$A$2:$B$37,2,FALSE)*1024,0) + C1279*16 + IF(D1279="",7,D1279)*2 + IF(E1279&gt;0, 1, 0))),","),"")</f>
        <v/>
      </c>
      <c r="X1279" s="21" t="str">
        <f>IF(J1279&gt;0,CONCATENATE("0x",(DEC2HEX(IF(I1279&lt;&gt;"",VLOOKUP(I1279,Notes!$A$2:$B$37,2,FALSE)*1024,0) + J1279*16 + IF(K1279="",7,K1279)*2 + IF(L1279&gt;0, 1, 0))),","),"")</f>
        <v/>
      </c>
      <c r="Y1279" s="21" t="str">
        <f>IF(Q1279&gt;0,CONCATENATE("0x",(DEC2HEX(IF(P1279&lt;&gt;"",VLOOKUP(P1279,Notes!$A$2:$B$37,2,FALSE)*1024,0) + Q1279*16 + IF(R1279="",7,R1279)*2 + IF(S1279&gt;0, 1, 0))),","),"")</f>
        <v/>
      </c>
    </row>
    <row r="1280" spans="2:25" x14ac:dyDescent="0.25">
      <c r="F1280" s="18">
        <f t="shared" si="114"/>
        <v>0</v>
      </c>
      <c r="G1280" s="1" t="str">
        <f t="shared" si="117"/>
        <v/>
      </c>
      <c r="M1280" s="18">
        <f t="shared" si="115"/>
        <v>0</v>
      </c>
      <c r="N1280" s="1" t="str">
        <f t="shared" si="118"/>
        <v/>
      </c>
      <c r="T1280" s="18">
        <f t="shared" si="116"/>
        <v>0</v>
      </c>
      <c r="U1280" s="1" t="str">
        <f t="shared" si="119"/>
        <v/>
      </c>
      <c r="W1280" s="21" t="str">
        <f>IF(C1280&gt;0,CONCATENATE("0x",(DEC2HEX(IF(B1280&lt;&gt;"",VLOOKUP(B1280,Notes!$A$2:$B$37,2,FALSE)*1024,0) + C1280*16 + IF(D1280="",7,D1280)*2 + IF(E1280&gt;0, 1, 0))),","),"")</f>
        <v/>
      </c>
      <c r="X1280" s="21" t="str">
        <f>IF(J1280&gt;0,CONCATENATE("0x",(DEC2HEX(IF(I1280&lt;&gt;"",VLOOKUP(I1280,Notes!$A$2:$B$37,2,FALSE)*1024,0) + J1280*16 + IF(K1280="",7,K1280)*2 + IF(L1280&gt;0, 1, 0))),","),"")</f>
        <v/>
      </c>
      <c r="Y1280" s="21" t="str">
        <f>IF(Q1280&gt;0,CONCATENATE("0x",(DEC2HEX(IF(P1280&lt;&gt;"",VLOOKUP(P1280,Notes!$A$2:$B$37,2,FALSE)*1024,0) + Q1280*16 + IF(R1280="",7,R1280)*2 + IF(S1280&gt;0, 1, 0))),","),"")</f>
        <v/>
      </c>
    </row>
    <row r="1281" spans="1:25" ht="16.5" thickBot="1" x14ac:dyDescent="0.3">
      <c r="B1281" s="15"/>
      <c r="C1281" s="16"/>
      <c r="D1281" s="16"/>
      <c r="E1281" s="17"/>
      <c r="F1281" s="18">
        <f t="shared" si="114"/>
        <v>0</v>
      </c>
      <c r="G1281" s="1" t="str">
        <f t="shared" si="117"/>
        <v/>
      </c>
      <c r="I1281" s="15"/>
      <c r="J1281" s="16"/>
      <c r="K1281" s="16"/>
      <c r="L1281" s="17"/>
      <c r="M1281" s="18">
        <f t="shared" si="115"/>
        <v>0</v>
      </c>
      <c r="N1281" s="1" t="str">
        <f t="shared" si="118"/>
        <v/>
      </c>
      <c r="P1281" s="15"/>
      <c r="Q1281" s="16"/>
      <c r="R1281" s="16"/>
      <c r="S1281" s="17"/>
      <c r="T1281" s="18">
        <f t="shared" si="116"/>
        <v>0</v>
      </c>
      <c r="U1281" s="1" t="str">
        <f t="shared" si="119"/>
        <v/>
      </c>
      <c r="W1281" s="21" t="str">
        <f>IF(C1281&gt;0,CONCATENATE("0x",(DEC2HEX(IF(B1281&lt;&gt;"",VLOOKUP(B1281,Notes!$A$2:$B$37,2,FALSE)*1024,0) + C1281*16 + IF(D1281="",7,D1281)*2 + IF(E1281&gt;0, 1, 0))),","),"")</f>
        <v/>
      </c>
      <c r="X1281" s="21" t="str">
        <f>IF(J1281&gt;0,CONCATENATE("0x",(DEC2HEX(IF(I1281&lt;&gt;"",VLOOKUP(I1281,Notes!$A$2:$B$37,2,FALSE)*1024,0) + J1281*16 + IF(K1281="",7,K1281)*2 + IF(L1281&gt;0, 1, 0))),","),"")</f>
        <v/>
      </c>
      <c r="Y1281" s="21" t="str">
        <f>IF(Q1281&gt;0,CONCATENATE("0x",(DEC2HEX(IF(P1281&lt;&gt;"",VLOOKUP(P1281,Notes!$A$2:$B$37,2,FALSE)*1024,0) + Q1281*16 + IF(R1281="",7,R1281)*2 + IF(S1281&gt;0, 1, 0))),","),"")</f>
        <v/>
      </c>
    </row>
    <row r="1282" spans="1:25" ht="16.5" thickTop="1" x14ac:dyDescent="0.25">
      <c r="A1282" s="1">
        <v>41</v>
      </c>
      <c r="F1282" s="18">
        <f t="shared" si="114"/>
        <v>0</v>
      </c>
      <c r="G1282" s="1" t="str">
        <f t="shared" si="117"/>
        <v/>
      </c>
      <c r="M1282" s="18">
        <f t="shared" si="115"/>
        <v>0</v>
      </c>
      <c r="N1282" s="1" t="str">
        <f t="shared" si="118"/>
        <v/>
      </c>
      <c r="T1282" s="18">
        <f t="shared" si="116"/>
        <v>0</v>
      </c>
      <c r="U1282" s="1" t="str">
        <f t="shared" si="119"/>
        <v/>
      </c>
      <c r="W1282" s="21" t="str">
        <f>IF(C1282&gt;0,CONCATENATE("0x",(DEC2HEX(IF(B1282&lt;&gt;"",VLOOKUP(B1282,Notes!$A$2:$B$37,2,FALSE)*1024,0) + C1282*16 + IF(D1282="",7,D1282)*2 + IF(E1282&gt;0, 1, 0))),","),"")</f>
        <v/>
      </c>
      <c r="X1282" s="21" t="str">
        <f>IF(J1282&gt;0,CONCATENATE("0x",(DEC2HEX(IF(I1282&lt;&gt;"",VLOOKUP(I1282,Notes!$A$2:$B$37,2,FALSE)*1024,0) + J1282*16 + IF(K1282="",7,K1282)*2 + IF(L1282&gt;0, 1, 0))),","),"")</f>
        <v/>
      </c>
      <c r="Y1282" s="21" t="str">
        <f>IF(Q1282&gt;0,CONCATENATE("0x",(DEC2HEX(IF(P1282&lt;&gt;"",VLOOKUP(P1282,Notes!$A$2:$B$37,2,FALSE)*1024,0) + Q1282*16 + IF(R1282="",7,R1282)*2 + IF(S1282&gt;0, 1, 0))),","),"")</f>
        <v/>
      </c>
    </row>
    <row r="1283" spans="1:25" x14ac:dyDescent="0.25">
      <c r="F1283" s="18">
        <f t="shared" ref="F1283:F1346" si="120">IF(C1283&gt;0, C1283, MAX(F1282-1,0))</f>
        <v>0</v>
      </c>
      <c r="G1283" s="1" t="str">
        <f t="shared" si="117"/>
        <v/>
      </c>
      <c r="M1283" s="18">
        <f t="shared" ref="M1283:M1346" si="121">IF(J1283&gt;0, J1283, MAX(M1282-1,0))</f>
        <v>0</v>
      </c>
      <c r="N1283" s="1" t="str">
        <f t="shared" si="118"/>
        <v/>
      </c>
      <c r="T1283" s="18">
        <f t="shared" ref="T1283:T1346" si="122">IF(Q1283&gt;0, Q1283, MAX(T1282-1,0))</f>
        <v>0</v>
      </c>
      <c r="U1283" s="1" t="str">
        <f t="shared" si="119"/>
        <v/>
      </c>
      <c r="W1283" s="21" t="str">
        <f>IF(C1283&gt;0,CONCATENATE("0x",(DEC2HEX(IF(B1283&lt;&gt;"",VLOOKUP(B1283,Notes!$A$2:$B$37,2,FALSE)*1024,0) + C1283*16 + IF(D1283="",7,D1283)*2 + IF(E1283&gt;0, 1, 0))),","),"")</f>
        <v/>
      </c>
      <c r="X1283" s="21" t="str">
        <f>IF(J1283&gt;0,CONCATENATE("0x",(DEC2HEX(IF(I1283&lt;&gt;"",VLOOKUP(I1283,Notes!$A$2:$B$37,2,FALSE)*1024,0) + J1283*16 + IF(K1283="",7,K1283)*2 + IF(L1283&gt;0, 1, 0))),","),"")</f>
        <v/>
      </c>
      <c r="Y1283" s="21" t="str">
        <f>IF(Q1283&gt;0,CONCATENATE("0x",(DEC2HEX(IF(P1283&lt;&gt;"",VLOOKUP(P1283,Notes!$A$2:$B$37,2,FALSE)*1024,0) + Q1283*16 + IF(R1283="",7,R1283)*2 + IF(S1283&gt;0, 1, 0))),","),"")</f>
        <v/>
      </c>
    </row>
    <row r="1284" spans="1:25" x14ac:dyDescent="0.25">
      <c r="F1284" s="18">
        <f t="shared" si="120"/>
        <v>0</v>
      </c>
      <c r="G1284" s="1" t="str">
        <f t="shared" ref="G1284:G1347" si="123">IF(AND(F1283&gt;1,C1284&gt;0), "OVERLAPPING","")</f>
        <v/>
      </c>
      <c r="M1284" s="18">
        <f t="shared" si="121"/>
        <v>0</v>
      </c>
      <c r="N1284" s="1" t="str">
        <f t="shared" ref="N1284:N1347" si="124">IF(AND(M1283&gt;1,J1284&gt;0), "OVERLAPPING","")</f>
        <v/>
      </c>
      <c r="T1284" s="18">
        <f t="shared" si="122"/>
        <v>0</v>
      </c>
      <c r="U1284" s="1" t="str">
        <f t="shared" ref="U1284:U1347" si="125">IF(AND(T1283&gt;1,Q1284&gt;0), "OVERLAPPING","")</f>
        <v/>
      </c>
      <c r="W1284" s="21" t="str">
        <f>IF(C1284&gt;0,CONCATENATE("0x",(DEC2HEX(IF(B1284&lt;&gt;"",VLOOKUP(B1284,Notes!$A$2:$B$37,2,FALSE)*1024,0) + C1284*16 + IF(D1284="",7,D1284)*2 + IF(E1284&gt;0, 1, 0))),","),"")</f>
        <v/>
      </c>
      <c r="X1284" s="21" t="str">
        <f>IF(J1284&gt;0,CONCATENATE("0x",(DEC2HEX(IF(I1284&lt;&gt;"",VLOOKUP(I1284,Notes!$A$2:$B$37,2,FALSE)*1024,0) + J1284*16 + IF(K1284="",7,K1284)*2 + IF(L1284&gt;0, 1, 0))),","),"")</f>
        <v/>
      </c>
      <c r="Y1284" s="21" t="str">
        <f>IF(Q1284&gt;0,CONCATENATE("0x",(DEC2HEX(IF(P1284&lt;&gt;"",VLOOKUP(P1284,Notes!$A$2:$B$37,2,FALSE)*1024,0) + Q1284*16 + IF(R1284="",7,R1284)*2 + IF(S1284&gt;0, 1, 0))),","),"")</f>
        <v/>
      </c>
    </row>
    <row r="1285" spans="1:25" x14ac:dyDescent="0.25">
      <c r="F1285" s="18">
        <f t="shared" si="120"/>
        <v>0</v>
      </c>
      <c r="G1285" s="1" t="str">
        <f t="shared" si="123"/>
        <v/>
      </c>
      <c r="M1285" s="18">
        <f t="shared" si="121"/>
        <v>0</v>
      </c>
      <c r="N1285" s="1" t="str">
        <f t="shared" si="124"/>
        <v/>
      </c>
      <c r="T1285" s="18">
        <f t="shared" si="122"/>
        <v>0</v>
      </c>
      <c r="U1285" s="1" t="str">
        <f t="shared" si="125"/>
        <v/>
      </c>
      <c r="W1285" s="21" t="str">
        <f>IF(C1285&gt;0,CONCATENATE("0x",(DEC2HEX(IF(B1285&lt;&gt;"",VLOOKUP(B1285,Notes!$A$2:$B$37,2,FALSE)*1024,0) + C1285*16 + IF(D1285="",7,D1285)*2 + IF(E1285&gt;0, 1, 0))),","),"")</f>
        <v/>
      </c>
      <c r="X1285" s="21" t="str">
        <f>IF(J1285&gt;0,CONCATENATE("0x",(DEC2HEX(IF(I1285&lt;&gt;"",VLOOKUP(I1285,Notes!$A$2:$B$37,2,FALSE)*1024,0) + J1285*16 + IF(K1285="",7,K1285)*2 + IF(L1285&gt;0, 1, 0))),","),"")</f>
        <v/>
      </c>
      <c r="Y1285" s="21" t="str">
        <f>IF(Q1285&gt;0,CONCATENATE("0x",(DEC2HEX(IF(P1285&lt;&gt;"",VLOOKUP(P1285,Notes!$A$2:$B$37,2,FALSE)*1024,0) + Q1285*16 + IF(R1285="",7,R1285)*2 + IF(S1285&gt;0, 1, 0))),","),"")</f>
        <v/>
      </c>
    </row>
    <row r="1286" spans="1:25" x14ac:dyDescent="0.25">
      <c r="F1286" s="18">
        <f t="shared" si="120"/>
        <v>0</v>
      </c>
      <c r="G1286" s="1" t="str">
        <f t="shared" si="123"/>
        <v/>
      </c>
      <c r="M1286" s="18">
        <f t="shared" si="121"/>
        <v>0</v>
      </c>
      <c r="N1286" s="1" t="str">
        <f t="shared" si="124"/>
        <v/>
      </c>
      <c r="T1286" s="18">
        <f t="shared" si="122"/>
        <v>0</v>
      </c>
      <c r="U1286" s="1" t="str">
        <f t="shared" si="125"/>
        <v/>
      </c>
      <c r="W1286" s="21" t="str">
        <f>IF(C1286&gt;0,CONCATENATE("0x",(DEC2HEX(IF(B1286&lt;&gt;"",VLOOKUP(B1286,Notes!$A$2:$B$37,2,FALSE)*1024,0) + C1286*16 + IF(D1286="",7,D1286)*2 + IF(E1286&gt;0, 1, 0))),","),"")</f>
        <v/>
      </c>
      <c r="X1286" s="21" t="str">
        <f>IF(J1286&gt;0,CONCATENATE("0x",(DEC2HEX(IF(I1286&lt;&gt;"",VLOOKUP(I1286,Notes!$A$2:$B$37,2,FALSE)*1024,0) + J1286*16 + IF(K1286="",7,K1286)*2 + IF(L1286&gt;0, 1, 0))),","),"")</f>
        <v/>
      </c>
      <c r="Y1286" s="21" t="str">
        <f>IF(Q1286&gt;0,CONCATENATE("0x",(DEC2HEX(IF(P1286&lt;&gt;"",VLOOKUP(P1286,Notes!$A$2:$B$37,2,FALSE)*1024,0) + Q1286*16 + IF(R1286="",7,R1286)*2 + IF(S1286&gt;0, 1, 0))),","),"")</f>
        <v/>
      </c>
    </row>
    <row r="1287" spans="1:25" x14ac:dyDescent="0.25">
      <c r="F1287" s="18">
        <f t="shared" si="120"/>
        <v>0</v>
      </c>
      <c r="G1287" s="1" t="str">
        <f t="shared" si="123"/>
        <v/>
      </c>
      <c r="M1287" s="18">
        <f t="shared" si="121"/>
        <v>0</v>
      </c>
      <c r="N1287" s="1" t="str">
        <f t="shared" si="124"/>
        <v/>
      </c>
      <c r="T1287" s="18">
        <f t="shared" si="122"/>
        <v>0</v>
      </c>
      <c r="U1287" s="1" t="str">
        <f t="shared" si="125"/>
        <v/>
      </c>
      <c r="W1287" s="21" t="str">
        <f>IF(C1287&gt;0,CONCATENATE("0x",(DEC2HEX(IF(B1287&lt;&gt;"",VLOOKUP(B1287,Notes!$A$2:$B$37,2,FALSE)*1024,0) + C1287*16 + IF(D1287="",7,D1287)*2 + IF(E1287&gt;0, 1, 0))),","),"")</f>
        <v/>
      </c>
      <c r="X1287" s="21" t="str">
        <f>IF(J1287&gt;0,CONCATENATE("0x",(DEC2HEX(IF(I1287&lt;&gt;"",VLOOKUP(I1287,Notes!$A$2:$B$37,2,FALSE)*1024,0) + J1287*16 + IF(K1287="",7,K1287)*2 + IF(L1287&gt;0, 1, 0))),","),"")</f>
        <v/>
      </c>
      <c r="Y1287" s="21" t="str">
        <f>IF(Q1287&gt;0,CONCATENATE("0x",(DEC2HEX(IF(P1287&lt;&gt;"",VLOOKUP(P1287,Notes!$A$2:$B$37,2,FALSE)*1024,0) + Q1287*16 + IF(R1287="",7,R1287)*2 + IF(S1287&gt;0, 1, 0))),","),"")</f>
        <v/>
      </c>
    </row>
    <row r="1288" spans="1:25" x14ac:dyDescent="0.25">
      <c r="F1288" s="18">
        <f t="shared" si="120"/>
        <v>0</v>
      </c>
      <c r="G1288" s="1" t="str">
        <f t="shared" si="123"/>
        <v/>
      </c>
      <c r="M1288" s="18">
        <f t="shared" si="121"/>
        <v>0</v>
      </c>
      <c r="N1288" s="1" t="str">
        <f t="shared" si="124"/>
        <v/>
      </c>
      <c r="T1288" s="18">
        <f t="shared" si="122"/>
        <v>0</v>
      </c>
      <c r="U1288" s="1" t="str">
        <f t="shared" si="125"/>
        <v/>
      </c>
      <c r="W1288" s="21" t="str">
        <f>IF(C1288&gt;0,CONCATENATE("0x",(DEC2HEX(IF(B1288&lt;&gt;"",VLOOKUP(B1288,Notes!$A$2:$B$37,2,FALSE)*1024,0) + C1288*16 + IF(D1288="",7,D1288)*2 + IF(E1288&gt;0, 1, 0))),","),"")</f>
        <v/>
      </c>
      <c r="X1288" s="21" t="str">
        <f>IF(J1288&gt;0,CONCATENATE("0x",(DEC2HEX(IF(I1288&lt;&gt;"",VLOOKUP(I1288,Notes!$A$2:$B$37,2,FALSE)*1024,0) + J1288*16 + IF(K1288="",7,K1288)*2 + IF(L1288&gt;0, 1, 0))),","),"")</f>
        <v/>
      </c>
      <c r="Y1288" s="21" t="str">
        <f>IF(Q1288&gt;0,CONCATENATE("0x",(DEC2HEX(IF(P1288&lt;&gt;"",VLOOKUP(P1288,Notes!$A$2:$B$37,2,FALSE)*1024,0) + Q1288*16 + IF(R1288="",7,R1288)*2 + IF(S1288&gt;0, 1, 0))),","),"")</f>
        <v/>
      </c>
    </row>
    <row r="1289" spans="1:25" x14ac:dyDescent="0.25">
      <c r="B1289" s="12"/>
      <c r="C1289" s="13"/>
      <c r="D1289" s="13"/>
      <c r="E1289" s="14"/>
      <c r="F1289" s="18">
        <f t="shared" si="120"/>
        <v>0</v>
      </c>
      <c r="G1289" s="1" t="str">
        <f t="shared" si="123"/>
        <v/>
      </c>
      <c r="I1289" s="12"/>
      <c r="J1289" s="13"/>
      <c r="K1289" s="13"/>
      <c r="L1289" s="14"/>
      <c r="M1289" s="18">
        <f t="shared" si="121"/>
        <v>0</v>
      </c>
      <c r="N1289" s="1" t="str">
        <f t="shared" si="124"/>
        <v/>
      </c>
      <c r="P1289" s="12"/>
      <c r="Q1289" s="13"/>
      <c r="R1289" s="13"/>
      <c r="S1289" s="14"/>
      <c r="T1289" s="18">
        <f t="shared" si="122"/>
        <v>0</v>
      </c>
      <c r="U1289" s="1" t="str">
        <f t="shared" si="125"/>
        <v/>
      </c>
      <c r="W1289" s="21" t="str">
        <f>IF(C1289&gt;0,CONCATENATE("0x",(DEC2HEX(IF(B1289&lt;&gt;"",VLOOKUP(B1289,Notes!$A$2:$B$37,2,FALSE)*1024,0) + C1289*16 + IF(D1289="",7,D1289)*2 + IF(E1289&gt;0, 1, 0))),","),"")</f>
        <v/>
      </c>
      <c r="X1289" s="21" t="str">
        <f>IF(J1289&gt;0,CONCATENATE("0x",(DEC2HEX(IF(I1289&lt;&gt;"",VLOOKUP(I1289,Notes!$A$2:$B$37,2,FALSE)*1024,0) + J1289*16 + IF(K1289="",7,K1289)*2 + IF(L1289&gt;0, 1, 0))),","),"")</f>
        <v/>
      </c>
      <c r="Y1289" s="21" t="str">
        <f>IF(Q1289&gt;0,CONCATENATE("0x",(DEC2HEX(IF(P1289&lt;&gt;"",VLOOKUP(P1289,Notes!$A$2:$B$37,2,FALSE)*1024,0) + Q1289*16 + IF(R1289="",7,R1289)*2 + IF(S1289&gt;0, 1, 0))),","),"")</f>
        <v/>
      </c>
    </row>
    <row r="1290" spans="1:25" x14ac:dyDescent="0.25">
      <c r="F1290" s="18">
        <f t="shared" si="120"/>
        <v>0</v>
      </c>
      <c r="G1290" s="1" t="str">
        <f t="shared" si="123"/>
        <v/>
      </c>
      <c r="M1290" s="18">
        <f t="shared" si="121"/>
        <v>0</v>
      </c>
      <c r="N1290" s="1" t="str">
        <f t="shared" si="124"/>
        <v/>
      </c>
      <c r="T1290" s="18">
        <f t="shared" si="122"/>
        <v>0</v>
      </c>
      <c r="U1290" s="1" t="str">
        <f t="shared" si="125"/>
        <v/>
      </c>
      <c r="W1290" s="21" t="str">
        <f>IF(C1290&gt;0,CONCATENATE("0x",(DEC2HEX(IF(B1290&lt;&gt;"",VLOOKUP(B1290,Notes!$A$2:$B$37,2,FALSE)*1024,0) + C1290*16 + IF(D1290="",7,D1290)*2 + IF(E1290&gt;0, 1, 0))),","),"")</f>
        <v/>
      </c>
      <c r="X1290" s="21" t="str">
        <f>IF(J1290&gt;0,CONCATENATE("0x",(DEC2HEX(IF(I1290&lt;&gt;"",VLOOKUP(I1290,Notes!$A$2:$B$37,2,FALSE)*1024,0) + J1290*16 + IF(K1290="",7,K1290)*2 + IF(L1290&gt;0, 1, 0))),","),"")</f>
        <v/>
      </c>
      <c r="Y1290" s="21" t="str">
        <f>IF(Q1290&gt;0,CONCATENATE("0x",(DEC2HEX(IF(P1290&lt;&gt;"",VLOOKUP(P1290,Notes!$A$2:$B$37,2,FALSE)*1024,0) + Q1290*16 + IF(R1290="",7,R1290)*2 + IF(S1290&gt;0, 1, 0))),","),"")</f>
        <v/>
      </c>
    </row>
    <row r="1291" spans="1:25" x14ac:dyDescent="0.25">
      <c r="F1291" s="18">
        <f t="shared" si="120"/>
        <v>0</v>
      </c>
      <c r="G1291" s="1" t="str">
        <f t="shared" si="123"/>
        <v/>
      </c>
      <c r="M1291" s="18">
        <f t="shared" si="121"/>
        <v>0</v>
      </c>
      <c r="N1291" s="1" t="str">
        <f t="shared" si="124"/>
        <v/>
      </c>
      <c r="T1291" s="18">
        <f t="shared" si="122"/>
        <v>0</v>
      </c>
      <c r="U1291" s="1" t="str">
        <f t="shared" si="125"/>
        <v/>
      </c>
      <c r="W1291" s="21" t="str">
        <f>IF(C1291&gt;0,CONCATENATE("0x",(DEC2HEX(IF(B1291&lt;&gt;"",VLOOKUP(B1291,Notes!$A$2:$B$37,2,FALSE)*1024,0) + C1291*16 + IF(D1291="",7,D1291)*2 + IF(E1291&gt;0, 1, 0))),","),"")</f>
        <v/>
      </c>
      <c r="X1291" s="21" t="str">
        <f>IF(J1291&gt;0,CONCATENATE("0x",(DEC2HEX(IF(I1291&lt;&gt;"",VLOOKUP(I1291,Notes!$A$2:$B$37,2,FALSE)*1024,0) + J1291*16 + IF(K1291="",7,K1291)*2 + IF(L1291&gt;0, 1, 0))),","),"")</f>
        <v/>
      </c>
      <c r="Y1291" s="21" t="str">
        <f>IF(Q1291&gt;0,CONCATENATE("0x",(DEC2HEX(IF(P1291&lt;&gt;"",VLOOKUP(P1291,Notes!$A$2:$B$37,2,FALSE)*1024,0) + Q1291*16 + IF(R1291="",7,R1291)*2 + IF(S1291&gt;0, 1, 0))),","),"")</f>
        <v/>
      </c>
    </row>
    <row r="1292" spans="1:25" x14ac:dyDescent="0.25">
      <c r="F1292" s="18">
        <f t="shared" si="120"/>
        <v>0</v>
      </c>
      <c r="G1292" s="1" t="str">
        <f t="shared" si="123"/>
        <v/>
      </c>
      <c r="M1292" s="18">
        <f t="shared" si="121"/>
        <v>0</v>
      </c>
      <c r="N1292" s="1" t="str">
        <f t="shared" si="124"/>
        <v/>
      </c>
      <c r="T1292" s="18">
        <f t="shared" si="122"/>
        <v>0</v>
      </c>
      <c r="U1292" s="1" t="str">
        <f t="shared" si="125"/>
        <v/>
      </c>
      <c r="W1292" s="21" t="str">
        <f>IF(C1292&gt;0,CONCATENATE("0x",(DEC2HEX(IF(B1292&lt;&gt;"",VLOOKUP(B1292,Notes!$A$2:$B$37,2,FALSE)*1024,0) + C1292*16 + IF(D1292="",7,D1292)*2 + IF(E1292&gt;0, 1, 0))),","),"")</f>
        <v/>
      </c>
      <c r="X1292" s="21" t="str">
        <f>IF(J1292&gt;0,CONCATENATE("0x",(DEC2HEX(IF(I1292&lt;&gt;"",VLOOKUP(I1292,Notes!$A$2:$B$37,2,FALSE)*1024,0) + J1292*16 + IF(K1292="",7,K1292)*2 + IF(L1292&gt;0, 1, 0))),","),"")</f>
        <v/>
      </c>
      <c r="Y1292" s="21" t="str">
        <f>IF(Q1292&gt;0,CONCATENATE("0x",(DEC2HEX(IF(P1292&lt;&gt;"",VLOOKUP(P1292,Notes!$A$2:$B$37,2,FALSE)*1024,0) + Q1292*16 + IF(R1292="",7,R1292)*2 + IF(S1292&gt;0, 1, 0))),","),"")</f>
        <v/>
      </c>
    </row>
    <row r="1293" spans="1:25" x14ac:dyDescent="0.25">
      <c r="F1293" s="18">
        <f t="shared" si="120"/>
        <v>0</v>
      </c>
      <c r="G1293" s="1" t="str">
        <f t="shared" si="123"/>
        <v/>
      </c>
      <c r="M1293" s="18">
        <f t="shared" si="121"/>
        <v>0</v>
      </c>
      <c r="N1293" s="1" t="str">
        <f t="shared" si="124"/>
        <v/>
      </c>
      <c r="T1293" s="18">
        <f t="shared" si="122"/>
        <v>0</v>
      </c>
      <c r="U1293" s="1" t="str">
        <f t="shared" si="125"/>
        <v/>
      </c>
      <c r="W1293" s="21" t="str">
        <f>IF(C1293&gt;0,CONCATENATE("0x",(DEC2HEX(IF(B1293&lt;&gt;"",VLOOKUP(B1293,Notes!$A$2:$B$37,2,FALSE)*1024,0) + C1293*16 + IF(D1293="",7,D1293)*2 + IF(E1293&gt;0, 1, 0))),","),"")</f>
        <v/>
      </c>
      <c r="X1293" s="21" t="str">
        <f>IF(J1293&gt;0,CONCATENATE("0x",(DEC2HEX(IF(I1293&lt;&gt;"",VLOOKUP(I1293,Notes!$A$2:$B$37,2,FALSE)*1024,0) + J1293*16 + IF(K1293="",7,K1293)*2 + IF(L1293&gt;0, 1, 0))),","),"")</f>
        <v/>
      </c>
      <c r="Y1293" s="21" t="str">
        <f>IF(Q1293&gt;0,CONCATENATE("0x",(DEC2HEX(IF(P1293&lt;&gt;"",VLOOKUP(P1293,Notes!$A$2:$B$37,2,FALSE)*1024,0) + Q1293*16 + IF(R1293="",7,R1293)*2 + IF(S1293&gt;0, 1, 0))),","),"")</f>
        <v/>
      </c>
    </row>
    <row r="1294" spans="1:25" x14ac:dyDescent="0.25">
      <c r="F1294" s="18">
        <f t="shared" si="120"/>
        <v>0</v>
      </c>
      <c r="G1294" s="1" t="str">
        <f t="shared" si="123"/>
        <v/>
      </c>
      <c r="M1294" s="18">
        <f t="shared" si="121"/>
        <v>0</v>
      </c>
      <c r="N1294" s="1" t="str">
        <f t="shared" si="124"/>
        <v/>
      </c>
      <c r="T1294" s="18">
        <f t="shared" si="122"/>
        <v>0</v>
      </c>
      <c r="U1294" s="1" t="str">
        <f t="shared" si="125"/>
        <v/>
      </c>
      <c r="W1294" s="21" t="str">
        <f>IF(C1294&gt;0,CONCATENATE("0x",(DEC2HEX(IF(B1294&lt;&gt;"",VLOOKUP(B1294,Notes!$A$2:$B$37,2,FALSE)*1024,0) + C1294*16 + IF(D1294="",7,D1294)*2 + IF(E1294&gt;0, 1, 0))),","),"")</f>
        <v/>
      </c>
      <c r="X1294" s="21" t="str">
        <f>IF(J1294&gt;0,CONCATENATE("0x",(DEC2HEX(IF(I1294&lt;&gt;"",VLOOKUP(I1294,Notes!$A$2:$B$37,2,FALSE)*1024,0) + J1294*16 + IF(K1294="",7,K1294)*2 + IF(L1294&gt;0, 1, 0))),","),"")</f>
        <v/>
      </c>
      <c r="Y1294" s="21" t="str">
        <f>IF(Q1294&gt;0,CONCATENATE("0x",(DEC2HEX(IF(P1294&lt;&gt;"",VLOOKUP(P1294,Notes!$A$2:$B$37,2,FALSE)*1024,0) + Q1294*16 + IF(R1294="",7,R1294)*2 + IF(S1294&gt;0, 1, 0))),","),"")</f>
        <v/>
      </c>
    </row>
    <row r="1295" spans="1:25" x14ac:dyDescent="0.25">
      <c r="F1295" s="18">
        <f t="shared" si="120"/>
        <v>0</v>
      </c>
      <c r="G1295" s="1" t="str">
        <f t="shared" si="123"/>
        <v/>
      </c>
      <c r="M1295" s="18">
        <f t="shared" si="121"/>
        <v>0</v>
      </c>
      <c r="N1295" s="1" t="str">
        <f t="shared" si="124"/>
        <v/>
      </c>
      <c r="T1295" s="18">
        <f t="shared" si="122"/>
        <v>0</v>
      </c>
      <c r="U1295" s="1" t="str">
        <f t="shared" si="125"/>
        <v/>
      </c>
      <c r="W1295" s="21" t="str">
        <f>IF(C1295&gt;0,CONCATENATE("0x",(DEC2HEX(IF(B1295&lt;&gt;"",VLOOKUP(B1295,Notes!$A$2:$B$37,2,FALSE)*1024,0) + C1295*16 + IF(D1295="",7,D1295)*2 + IF(E1295&gt;0, 1, 0))),","),"")</f>
        <v/>
      </c>
      <c r="X1295" s="21" t="str">
        <f>IF(J1295&gt;0,CONCATENATE("0x",(DEC2HEX(IF(I1295&lt;&gt;"",VLOOKUP(I1295,Notes!$A$2:$B$37,2,FALSE)*1024,0) + J1295*16 + IF(K1295="",7,K1295)*2 + IF(L1295&gt;0, 1, 0))),","),"")</f>
        <v/>
      </c>
      <c r="Y1295" s="21" t="str">
        <f>IF(Q1295&gt;0,CONCATENATE("0x",(DEC2HEX(IF(P1295&lt;&gt;"",VLOOKUP(P1295,Notes!$A$2:$B$37,2,FALSE)*1024,0) + Q1295*16 + IF(R1295="",7,R1295)*2 + IF(S1295&gt;0, 1, 0))),","),"")</f>
        <v/>
      </c>
    </row>
    <row r="1296" spans="1:25" x14ac:dyDescent="0.25">
      <c r="F1296" s="18">
        <f t="shared" si="120"/>
        <v>0</v>
      </c>
      <c r="G1296" s="1" t="str">
        <f t="shared" si="123"/>
        <v/>
      </c>
      <c r="M1296" s="18">
        <f t="shared" si="121"/>
        <v>0</v>
      </c>
      <c r="N1296" s="1" t="str">
        <f t="shared" si="124"/>
        <v/>
      </c>
      <c r="T1296" s="18">
        <f t="shared" si="122"/>
        <v>0</v>
      </c>
      <c r="U1296" s="1" t="str">
        <f t="shared" si="125"/>
        <v/>
      </c>
      <c r="W1296" s="21" t="str">
        <f>IF(C1296&gt;0,CONCATENATE("0x",(DEC2HEX(IF(B1296&lt;&gt;"",VLOOKUP(B1296,Notes!$A$2:$B$37,2,FALSE)*1024,0) + C1296*16 + IF(D1296="",7,D1296)*2 + IF(E1296&gt;0, 1, 0))),","),"")</f>
        <v/>
      </c>
      <c r="X1296" s="21" t="str">
        <f>IF(J1296&gt;0,CONCATENATE("0x",(DEC2HEX(IF(I1296&lt;&gt;"",VLOOKUP(I1296,Notes!$A$2:$B$37,2,FALSE)*1024,0) + J1296*16 + IF(K1296="",7,K1296)*2 + IF(L1296&gt;0, 1, 0))),","),"")</f>
        <v/>
      </c>
      <c r="Y1296" s="21" t="str">
        <f>IF(Q1296&gt;0,CONCATENATE("0x",(DEC2HEX(IF(P1296&lt;&gt;"",VLOOKUP(P1296,Notes!$A$2:$B$37,2,FALSE)*1024,0) + Q1296*16 + IF(R1296="",7,R1296)*2 + IF(S1296&gt;0, 1, 0))),","),"")</f>
        <v/>
      </c>
    </row>
    <row r="1297" spans="2:25" x14ac:dyDescent="0.25">
      <c r="B1297" s="12"/>
      <c r="C1297" s="13"/>
      <c r="D1297" s="13"/>
      <c r="E1297" s="14"/>
      <c r="F1297" s="18">
        <f t="shared" si="120"/>
        <v>0</v>
      </c>
      <c r="G1297" s="1" t="str">
        <f t="shared" si="123"/>
        <v/>
      </c>
      <c r="I1297" s="12"/>
      <c r="J1297" s="13"/>
      <c r="K1297" s="13"/>
      <c r="L1297" s="14"/>
      <c r="M1297" s="18">
        <f t="shared" si="121"/>
        <v>0</v>
      </c>
      <c r="N1297" s="1" t="str">
        <f t="shared" si="124"/>
        <v/>
      </c>
      <c r="P1297" s="12"/>
      <c r="Q1297" s="13"/>
      <c r="R1297" s="13"/>
      <c r="S1297" s="14"/>
      <c r="T1297" s="18">
        <f t="shared" si="122"/>
        <v>0</v>
      </c>
      <c r="U1297" s="1" t="str">
        <f t="shared" si="125"/>
        <v/>
      </c>
      <c r="W1297" s="21" t="str">
        <f>IF(C1297&gt;0,CONCATENATE("0x",(DEC2HEX(IF(B1297&lt;&gt;"",VLOOKUP(B1297,Notes!$A$2:$B$37,2,FALSE)*1024,0) + C1297*16 + IF(D1297="",7,D1297)*2 + IF(E1297&gt;0, 1, 0))),","),"")</f>
        <v/>
      </c>
      <c r="X1297" s="21" t="str">
        <f>IF(J1297&gt;0,CONCATENATE("0x",(DEC2HEX(IF(I1297&lt;&gt;"",VLOOKUP(I1297,Notes!$A$2:$B$37,2,FALSE)*1024,0) + J1297*16 + IF(K1297="",7,K1297)*2 + IF(L1297&gt;0, 1, 0))),","),"")</f>
        <v/>
      </c>
      <c r="Y1297" s="21" t="str">
        <f>IF(Q1297&gt;0,CONCATENATE("0x",(DEC2HEX(IF(P1297&lt;&gt;"",VLOOKUP(P1297,Notes!$A$2:$B$37,2,FALSE)*1024,0) + Q1297*16 + IF(R1297="",7,R1297)*2 + IF(S1297&gt;0, 1, 0))),","),"")</f>
        <v/>
      </c>
    </row>
    <row r="1298" spans="2:25" x14ac:dyDescent="0.25">
      <c r="F1298" s="18">
        <f t="shared" si="120"/>
        <v>0</v>
      </c>
      <c r="G1298" s="1" t="str">
        <f t="shared" si="123"/>
        <v/>
      </c>
      <c r="M1298" s="18">
        <f t="shared" si="121"/>
        <v>0</v>
      </c>
      <c r="N1298" s="1" t="str">
        <f t="shared" si="124"/>
        <v/>
      </c>
      <c r="T1298" s="18">
        <f t="shared" si="122"/>
        <v>0</v>
      </c>
      <c r="U1298" s="1" t="str">
        <f t="shared" si="125"/>
        <v/>
      </c>
      <c r="W1298" s="21" t="str">
        <f>IF(C1298&gt;0,CONCATENATE("0x",(DEC2HEX(IF(B1298&lt;&gt;"",VLOOKUP(B1298,Notes!$A$2:$B$37,2,FALSE)*1024,0) + C1298*16 + IF(D1298="",7,D1298)*2 + IF(E1298&gt;0, 1, 0))),","),"")</f>
        <v/>
      </c>
      <c r="X1298" s="21" t="str">
        <f>IF(J1298&gt;0,CONCATENATE("0x",(DEC2HEX(IF(I1298&lt;&gt;"",VLOOKUP(I1298,Notes!$A$2:$B$37,2,FALSE)*1024,0) + J1298*16 + IF(K1298="",7,K1298)*2 + IF(L1298&gt;0, 1, 0))),","),"")</f>
        <v/>
      </c>
      <c r="Y1298" s="21" t="str">
        <f>IF(Q1298&gt;0,CONCATENATE("0x",(DEC2HEX(IF(P1298&lt;&gt;"",VLOOKUP(P1298,Notes!$A$2:$B$37,2,FALSE)*1024,0) + Q1298*16 + IF(R1298="",7,R1298)*2 + IF(S1298&gt;0, 1, 0))),","),"")</f>
        <v/>
      </c>
    </row>
    <row r="1299" spans="2:25" x14ac:dyDescent="0.25">
      <c r="F1299" s="18">
        <f t="shared" si="120"/>
        <v>0</v>
      </c>
      <c r="G1299" s="1" t="str">
        <f t="shared" si="123"/>
        <v/>
      </c>
      <c r="M1299" s="18">
        <f t="shared" si="121"/>
        <v>0</v>
      </c>
      <c r="N1299" s="1" t="str">
        <f t="shared" si="124"/>
        <v/>
      </c>
      <c r="T1299" s="18">
        <f t="shared" si="122"/>
        <v>0</v>
      </c>
      <c r="U1299" s="1" t="str">
        <f t="shared" si="125"/>
        <v/>
      </c>
      <c r="W1299" s="21" t="str">
        <f>IF(C1299&gt;0,CONCATENATE("0x",(DEC2HEX(IF(B1299&lt;&gt;"",VLOOKUP(B1299,Notes!$A$2:$B$37,2,FALSE)*1024,0) + C1299*16 + IF(D1299="",7,D1299)*2 + IF(E1299&gt;0, 1, 0))),","),"")</f>
        <v/>
      </c>
      <c r="X1299" s="21" t="str">
        <f>IF(J1299&gt;0,CONCATENATE("0x",(DEC2HEX(IF(I1299&lt;&gt;"",VLOOKUP(I1299,Notes!$A$2:$B$37,2,FALSE)*1024,0) + J1299*16 + IF(K1299="",7,K1299)*2 + IF(L1299&gt;0, 1, 0))),","),"")</f>
        <v/>
      </c>
      <c r="Y1299" s="21" t="str">
        <f>IF(Q1299&gt;0,CONCATENATE("0x",(DEC2HEX(IF(P1299&lt;&gt;"",VLOOKUP(P1299,Notes!$A$2:$B$37,2,FALSE)*1024,0) + Q1299*16 + IF(R1299="",7,R1299)*2 + IF(S1299&gt;0, 1, 0))),","),"")</f>
        <v/>
      </c>
    </row>
    <row r="1300" spans="2:25" x14ac:dyDescent="0.25">
      <c r="F1300" s="18">
        <f t="shared" si="120"/>
        <v>0</v>
      </c>
      <c r="G1300" s="1" t="str">
        <f t="shared" si="123"/>
        <v/>
      </c>
      <c r="M1300" s="18">
        <f t="shared" si="121"/>
        <v>0</v>
      </c>
      <c r="N1300" s="1" t="str">
        <f t="shared" si="124"/>
        <v/>
      </c>
      <c r="T1300" s="18">
        <f t="shared" si="122"/>
        <v>0</v>
      </c>
      <c r="U1300" s="1" t="str">
        <f t="shared" si="125"/>
        <v/>
      </c>
      <c r="W1300" s="21" t="str">
        <f>IF(C1300&gt;0,CONCATENATE("0x",(DEC2HEX(IF(B1300&lt;&gt;"",VLOOKUP(B1300,Notes!$A$2:$B$37,2,FALSE)*1024,0) + C1300*16 + IF(D1300="",7,D1300)*2 + IF(E1300&gt;0, 1, 0))),","),"")</f>
        <v/>
      </c>
      <c r="X1300" s="21" t="str">
        <f>IF(J1300&gt;0,CONCATENATE("0x",(DEC2HEX(IF(I1300&lt;&gt;"",VLOOKUP(I1300,Notes!$A$2:$B$37,2,FALSE)*1024,0) + J1300*16 + IF(K1300="",7,K1300)*2 + IF(L1300&gt;0, 1, 0))),","),"")</f>
        <v/>
      </c>
      <c r="Y1300" s="21" t="str">
        <f>IF(Q1300&gt;0,CONCATENATE("0x",(DEC2HEX(IF(P1300&lt;&gt;"",VLOOKUP(P1300,Notes!$A$2:$B$37,2,FALSE)*1024,0) + Q1300*16 + IF(R1300="",7,R1300)*2 + IF(S1300&gt;0, 1, 0))),","),"")</f>
        <v/>
      </c>
    </row>
    <row r="1301" spans="2:25" x14ac:dyDescent="0.25">
      <c r="F1301" s="18">
        <f t="shared" si="120"/>
        <v>0</v>
      </c>
      <c r="G1301" s="1" t="str">
        <f t="shared" si="123"/>
        <v/>
      </c>
      <c r="M1301" s="18">
        <f t="shared" si="121"/>
        <v>0</v>
      </c>
      <c r="N1301" s="1" t="str">
        <f t="shared" si="124"/>
        <v/>
      </c>
      <c r="T1301" s="18">
        <f t="shared" si="122"/>
        <v>0</v>
      </c>
      <c r="U1301" s="1" t="str">
        <f t="shared" si="125"/>
        <v/>
      </c>
      <c r="W1301" s="21" t="str">
        <f>IF(C1301&gt;0,CONCATENATE("0x",(DEC2HEX(IF(B1301&lt;&gt;"",VLOOKUP(B1301,Notes!$A$2:$B$37,2,FALSE)*1024,0) + C1301*16 + IF(D1301="",7,D1301)*2 + IF(E1301&gt;0, 1, 0))),","),"")</f>
        <v/>
      </c>
      <c r="X1301" s="21" t="str">
        <f>IF(J1301&gt;0,CONCATENATE("0x",(DEC2HEX(IF(I1301&lt;&gt;"",VLOOKUP(I1301,Notes!$A$2:$B$37,2,FALSE)*1024,0) + J1301*16 + IF(K1301="",7,K1301)*2 + IF(L1301&gt;0, 1, 0))),","),"")</f>
        <v/>
      </c>
      <c r="Y1301" s="21" t="str">
        <f>IF(Q1301&gt;0,CONCATENATE("0x",(DEC2HEX(IF(P1301&lt;&gt;"",VLOOKUP(P1301,Notes!$A$2:$B$37,2,FALSE)*1024,0) + Q1301*16 + IF(R1301="",7,R1301)*2 + IF(S1301&gt;0, 1, 0))),","),"")</f>
        <v/>
      </c>
    </row>
    <row r="1302" spans="2:25" x14ac:dyDescent="0.25">
      <c r="F1302" s="18">
        <f t="shared" si="120"/>
        <v>0</v>
      </c>
      <c r="G1302" s="1" t="str">
        <f t="shared" si="123"/>
        <v/>
      </c>
      <c r="M1302" s="18">
        <f t="shared" si="121"/>
        <v>0</v>
      </c>
      <c r="N1302" s="1" t="str">
        <f t="shared" si="124"/>
        <v/>
      </c>
      <c r="T1302" s="18">
        <f t="shared" si="122"/>
        <v>0</v>
      </c>
      <c r="U1302" s="1" t="str">
        <f t="shared" si="125"/>
        <v/>
      </c>
      <c r="W1302" s="21" t="str">
        <f>IF(C1302&gt;0,CONCATENATE("0x",(DEC2HEX(IF(B1302&lt;&gt;"",VLOOKUP(B1302,Notes!$A$2:$B$37,2,FALSE)*1024,0) + C1302*16 + IF(D1302="",7,D1302)*2 + IF(E1302&gt;0, 1, 0))),","),"")</f>
        <v/>
      </c>
      <c r="X1302" s="21" t="str">
        <f>IF(J1302&gt;0,CONCATENATE("0x",(DEC2HEX(IF(I1302&lt;&gt;"",VLOOKUP(I1302,Notes!$A$2:$B$37,2,FALSE)*1024,0) + J1302*16 + IF(K1302="",7,K1302)*2 + IF(L1302&gt;0, 1, 0))),","),"")</f>
        <v/>
      </c>
      <c r="Y1302" s="21" t="str">
        <f>IF(Q1302&gt;0,CONCATENATE("0x",(DEC2HEX(IF(P1302&lt;&gt;"",VLOOKUP(P1302,Notes!$A$2:$B$37,2,FALSE)*1024,0) + Q1302*16 + IF(R1302="",7,R1302)*2 + IF(S1302&gt;0, 1, 0))),","),"")</f>
        <v/>
      </c>
    </row>
    <row r="1303" spans="2:25" x14ac:dyDescent="0.25">
      <c r="F1303" s="18">
        <f t="shared" si="120"/>
        <v>0</v>
      </c>
      <c r="G1303" s="1" t="str">
        <f t="shared" si="123"/>
        <v/>
      </c>
      <c r="M1303" s="18">
        <f t="shared" si="121"/>
        <v>0</v>
      </c>
      <c r="N1303" s="1" t="str">
        <f t="shared" si="124"/>
        <v/>
      </c>
      <c r="T1303" s="18">
        <f t="shared" si="122"/>
        <v>0</v>
      </c>
      <c r="U1303" s="1" t="str">
        <f t="shared" si="125"/>
        <v/>
      </c>
      <c r="W1303" s="21" t="str">
        <f>IF(C1303&gt;0,CONCATENATE("0x",(DEC2HEX(IF(B1303&lt;&gt;"",VLOOKUP(B1303,Notes!$A$2:$B$37,2,FALSE)*1024,0) + C1303*16 + IF(D1303="",7,D1303)*2 + IF(E1303&gt;0, 1, 0))),","),"")</f>
        <v/>
      </c>
      <c r="X1303" s="21" t="str">
        <f>IF(J1303&gt;0,CONCATENATE("0x",(DEC2HEX(IF(I1303&lt;&gt;"",VLOOKUP(I1303,Notes!$A$2:$B$37,2,FALSE)*1024,0) + J1303*16 + IF(K1303="",7,K1303)*2 + IF(L1303&gt;0, 1, 0))),","),"")</f>
        <v/>
      </c>
      <c r="Y1303" s="21" t="str">
        <f>IF(Q1303&gt;0,CONCATENATE("0x",(DEC2HEX(IF(P1303&lt;&gt;"",VLOOKUP(P1303,Notes!$A$2:$B$37,2,FALSE)*1024,0) + Q1303*16 + IF(R1303="",7,R1303)*2 + IF(S1303&gt;0, 1, 0))),","),"")</f>
        <v/>
      </c>
    </row>
    <row r="1304" spans="2:25" x14ac:dyDescent="0.25">
      <c r="F1304" s="18">
        <f t="shared" si="120"/>
        <v>0</v>
      </c>
      <c r="G1304" s="1" t="str">
        <f t="shared" si="123"/>
        <v/>
      </c>
      <c r="M1304" s="18">
        <f t="shared" si="121"/>
        <v>0</v>
      </c>
      <c r="N1304" s="1" t="str">
        <f t="shared" si="124"/>
        <v/>
      </c>
      <c r="T1304" s="18">
        <f t="shared" si="122"/>
        <v>0</v>
      </c>
      <c r="U1304" s="1" t="str">
        <f t="shared" si="125"/>
        <v/>
      </c>
      <c r="W1304" s="21" t="str">
        <f>IF(C1304&gt;0,CONCATENATE("0x",(DEC2HEX(IF(B1304&lt;&gt;"",VLOOKUP(B1304,Notes!$A$2:$B$37,2,FALSE)*1024,0) + C1304*16 + IF(D1304="",7,D1304)*2 + IF(E1304&gt;0, 1, 0))),","),"")</f>
        <v/>
      </c>
      <c r="X1304" s="21" t="str">
        <f>IF(J1304&gt;0,CONCATENATE("0x",(DEC2HEX(IF(I1304&lt;&gt;"",VLOOKUP(I1304,Notes!$A$2:$B$37,2,FALSE)*1024,0) + J1304*16 + IF(K1304="",7,K1304)*2 + IF(L1304&gt;0, 1, 0))),","),"")</f>
        <v/>
      </c>
      <c r="Y1304" s="21" t="str">
        <f>IF(Q1304&gt;0,CONCATENATE("0x",(DEC2HEX(IF(P1304&lt;&gt;"",VLOOKUP(P1304,Notes!$A$2:$B$37,2,FALSE)*1024,0) + Q1304*16 + IF(R1304="",7,R1304)*2 + IF(S1304&gt;0, 1, 0))),","),"")</f>
        <v/>
      </c>
    </row>
    <row r="1305" spans="2:25" x14ac:dyDescent="0.25">
      <c r="B1305" s="12"/>
      <c r="C1305" s="13"/>
      <c r="D1305" s="13"/>
      <c r="E1305" s="14"/>
      <c r="F1305" s="18">
        <f t="shared" si="120"/>
        <v>0</v>
      </c>
      <c r="G1305" s="1" t="str">
        <f t="shared" si="123"/>
        <v/>
      </c>
      <c r="I1305" s="12"/>
      <c r="J1305" s="13"/>
      <c r="K1305" s="13"/>
      <c r="L1305" s="14"/>
      <c r="M1305" s="18">
        <f t="shared" si="121"/>
        <v>0</v>
      </c>
      <c r="N1305" s="1" t="str">
        <f t="shared" si="124"/>
        <v/>
      </c>
      <c r="P1305" s="12"/>
      <c r="Q1305" s="13"/>
      <c r="R1305" s="13"/>
      <c r="S1305" s="14"/>
      <c r="T1305" s="18">
        <f t="shared" si="122"/>
        <v>0</v>
      </c>
      <c r="U1305" s="1" t="str">
        <f t="shared" si="125"/>
        <v/>
      </c>
      <c r="W1305" s="21" t="str">
        <f>IF(C1305&gt;0,CONCATENATE("0x",(DEC2HEX(IF(B1305&lt;&gt;"",VLOOKUP(B1305,Notes!$A$2:$B$37,2,FALSE)*1024,0) + C1305*16 + IF(D1305="",7,D1305)*2 + IF(E1305&gt;0, 1, 0))),","),"")</f>
        <v/>
      </c>
      <c r="X1305" s="21" t="str">
        <f>IF(J1305&gt;0,CONCATENATE("0x",(DEC2HEX(IF(I1305&lt;&gt;"",VLOOKUP(I1305,Notes!$A$2:$B$37,2,FALSE)*1024,0) + J1305*16 + IF(K1305="",7,K1305)*2 + IF(L1305&gt;0, 1, 0))),","),"")</f>
        <v/>
      </c>
      <c r="Y1305" s="21" t="str">
        <f>IF(Q1305&gt;0,CONCATENATE("0x",(DEC2HEX(IF(P1305&lt;&gt;"",VLOOKUP(P1305,Notes!$A$2:$B$37,2,FALSE)*1024,0) + Q1305*16 + IF(R1305="",7,R1305)*2 + IF(S1305&gt;0, 1, 0))),","),"")</f>
        <v/>
      </c>
    </row>
    <row r="1306" spans="2:25" x14ac:dyDescent="0.25">
      <c r="F1306" s="18">
        <f t="shared" si="120"/>
        <v>0</v>
      </c>
      <c r="G1306" s="1" t="str">
        <f t="shared" si="123"/>
        <v/>
      </c>
      <c r="M1306" s="18">
        <f t="shared" si="121"/>
        <v>0</v>
      </c>
      <c r="N1306" s="1" t="str">
        <f t="shared" si="124"/>
        <v/>
      </c>
      <c r="T1306" s="18">
        <f t="shared" si="122"/>
        <v>0</v>
      </c>
      <c r="U1306" s="1" t="str">
        <f t="shared" si="125"/>
        <v/>
      </c>
      <c r="W1306" s="21" t="str">
        <f>IF(C1306&gt;0,CONCATENATE("0x",(DEC2HEX(IF(B1306&lt;&gt;"",VLOOKUP(B1306,Notes!$A$2:$B$37,2,FALSE)*1024,0) + C1306*16 + IF(D1306="",7,D1306)*2 + IF(E1306&gt;0, 1, 0))),","),"")</f>
        <v/>
      </c>
      <c r="X1306" s="21" t="str">
        <f>IF(J1306&gt;0,CONCATENATE("0x",(DEC2HEX(IF(I1306&lt;&gt;"",VLOOKUP(I1306,Notes!$A$2:$B$37,2,FALSE)*1024,0) + J1306*16 + IF(K1306="",7,K1306)*2 + IF(L1306&gt;0, 1, 0))),","),"")</f>
        <v/>
      </c>
      <c r="Y1306" s="21" t="str">
        <f>IF(Q1306&gt;0,CONCATENATE("0x",(DEC2HEX(IF(P1306&lt;&gt;"",VLOOKUP(P1306,Notes!$A$2:$B$37,2,FALSE)*1024,0) + Q1306*16 + IF(R1306="",7,R1306)*2 + IF(S1306&gt;0, 1, 0))),","),"")</f>
        <v/>
      </c>
    </row>
    <row r="1307" spans="2:25" x14ac:dyDescent="0.25">
      <c r="F1307" s="18">
        <f t="shared" si="120"/>
        <v>0</v>
      </c>
      <c r="G1307" s="1" t="str">
        <f t="shared" si="123"/>
        <v/>
      </c>
      <c r="M1307" s="18">
        <f t="shared" si="121"/>
        <v>0</v>
      </c>
      <c r="N1307" s="1" t="str">
        <f t="shared" si="124"/>
        <v/>
      </c>
      <c r="T1307" s="18">
        <f t="shared" si="122"/>
        <v>0</v>
      </c>
      <c r="U1307" s="1" t="str">
        <f t="shared" si="125"/>
        <v/>
      </c>
      <c r="W1307" s="21" t="str">
        <f>IF(C1307&gt;0,CONCATENATE("0x",(DEC2HEX(IF(B1307&lt;&gt;"",VLOOKUP(B1307,Notes!$A$2:$B$37,2,FALSE)*1024,0) + C1307*16 + IF(D1307="",7,D1307)*2 + IF(E1307&gt;0, 1, 0))),","),"")</f>
        <v/>
      </c>
      <c r="X1307" s="21" t="str">
        <f>IF(J1307&gt;0,CONCATENATE("0x",(DEC2HEX(IF(I1307&lt;&gt;"",VLOOKUP(I1307,Notes!$A$2:$B$37,2,FALSE)*1024,0) + J1307*16 + IF(K1307="",7,K1307)*2 + IF(L1307&gt;0, 1, 0))),","),"")</f>
        <v/>
      </c>
      <c r="Y1307" s="21" t="str">
        <f>IF(Q1307&gt;0,CONCATENATE("0x",(DEC2HEX(IF(P1307&lt;&gt;"",VLOOKUP(P1307,Notes!$A$2:$B$37,2,FALSE)*1024,0) + Q1307*16 + IF(R1307="",7,R1307)*2 + IF(S1307&gt;0, 1, 0))),","),"")</f>
        <v/>
      </c>
    </row>
    <row r="1308" spans="2:25" x14ac:dyDescent="0.25">
      <c r="F1308" s="18">
        <f t="shared" si="120"/>
        <v>0</v>
      </c>
      <c r="G1308" s="1" t="str">
        <f t="shared" si="123"/>
        <v/>
      </c>
      <c r="M1308" s="18">
        <f t="shared" si="121"/>
        <v>0</v>
      </c>
      <c r="N1308" s="1" t="str">
        <f t="shared" si="124"/>
        <v/>
      </c>
      <c r="T1308" s="18">
        <f t="shared" si="122"/>
        <v>0</v>
      </c>
      <c r="U1308" s="1" t="str">
        <f t="shared" si="125"/>
        <v/>
      </c>
      <c r="W1308" s="21" t="str">
        <f>IF(C1308&gt;0,CONCATENATE("0x",(DEC2HEX(IF(B1308&lt;&gt;"",VLOOKUP(B1308,Notes!$A$2:$B$37,2,FALSE)*1024,0) + C1308*16 + IF(D1308="",7,D1308)*2 + IF(E1308&gt;0, 1, 0))),","),"")</f>
        <v/>
      </c>
      <c r="X1308" s="21" t="str">
        <f>IF(J1308&gt;0,CONCATENATE("0x",(DEC2HEX(IF(I1308&lt;&gt;"",VLOOKUP(I1308,Notes!$A$2:$B$37,2,FALSE)*1024,0) + J1308*16 + IF(K1308="",7,K1308)*2 + IF(L1308&gt;0, 1, 0))),","),"")</f>
        <v/>
      </c>
      <c r="Y1308" s="21" t="str">
        <f>IF(Q1308&gt;0,CONCATENATE("0x",(DEC2HEX(IF(P1308&lt;&gt;"",VLOOKUP(P1308,Notes!$A$2:$B$37,2,FALSE)*1024,0) + Q1308*16 + IF(R1308="",7,R1308)*2 + IF(S1308&gt;0, 1, 0))),","),"")</f>
        <v/>
      </c>
    </row>
    <row r="1309" spans="2:25" x14ac:dyDescent="0.25">
      <c r="F1309" s="18">
        <f t="shared" si="120"/>
        <v>0</v>
      </c>
      <c r="G1309" s="1" t="str">
        <f t="shared" si="123"/>
        <v/>
      </c>
      <c r="M1309" s="18">
        <f t="shared" si="121"/>
        <v>0</v>
      </c>
      <c r="N1309" s="1" t="str">
        <f t="shared" si="124"/>
        <v/>
      </c>
      <c r="T1309" s="18">
        <f t="shared" si="122"/>
        <v>0</v>
      </c>
      <c r="U1309" s="1" t="str">
        <f t="shared" si="125"/>
        <v/>
      </c>
      <c r="W1309" s="21" t="str">
        <f>IF(C1309&gt;0,CONCATENATE("0x",(DEC2HEX(IF(B1309&lt;&gt;"",VLOOKUP(B1309,Notes!$A$2:$B$37,2,FALSE)*1024,0) + C1309*16 + IF(D1309="",7,D1309)*2 + IF(E1309&gt;0, 1, 0))),","),"")</f>
        <v/>
      </c>
      <c r="X1309" s="21" t="str">
        <f>IF(J1309&gt;0,CONCATENATE("0x",(DEC2HEX(IF(I1309&lt;&gt;"",VLOOKUP(I1309,Notes!$A$2:$B$37,2,FALSE)*1024,0) + J1309*16 + IF(K1309="",7,K1309)*2 + IF(L1309&gt;0, 1, 0))),","),"")</f>
        <v/>
      </c>
      <c r="Y1309" s="21" t="str">
        <f>IF(Q1309&gt;0,CONCATENATE("0x",(DEC2HEX(IF(P1309&lt;&gt;"",VLOOKUP(P1309,Notes!$A$2:$B$37,2,FALSE)*1024,0) + Q1309*16 + IF(R1309="",7,R1309)*2 + IF(S1309&gt;0, 1, 0))),","),"")</f>
        <v/>
      </c>
    </row>
    <row r="1310" spans="2:25" x14ac:dyDescent="0.25">
      <c r="F1310" s="18">
        <f t="shared" si="120"/>
        <v>0</v>
      </c>
      <c r="G1310" s="1" t="str">
        <f t="shared" si="123"/>
        <v/>
      </c>
      <c r="M1310" s="18">
        <f t="shared" si="121"/>
        <v>0</v>
      </c>
      <c r="N1310" s="1" t="str">
        <f t="shared" si="124"/>
        <v/>
      </c>
      <c r="T1310" s="18">
        <f t="shared" si="122"/>
        <v>0</v>
      </c>
      <c r="U1310" s="1" t="str">
        <f t="shared" si="125"/>
        <v/>
      </c>
      <c r="W1310" s="21" t="str">
        <f>IF(C1310&gt;0,CONCATENATE("0x",(DEC2HEX(IF(B1310&lt;&gt;"",VLOOKUP(B1310,Notes!$A$2:$B$37,2,FALSE)*1024,0) + C1310*16 + IF(D1310="",7,D1310)*2 + IF(E1310&gt;0, 1, 0))),","),"")</f>
        <v/>
      </c>
      <c r="X1310" s="21" t="str">
        <f>IF(J1310&gt;0,CONCATENATE("0x",(DEC2HEX(IF(I1310&lt;&gt;"",VLOOKUP(I1310,Notes!$A$2:$B$37,2,FALSE)*1024,0) + J1310*16 + IF(K1310="",7,K1310)*2 + IF(L1310&gt;0, 1, 0))),","),"")</f>
        <v/>
      </c>
      <c r="Y1310" s="21" t="str">
        <f>IF(Q1310&gt;0,CONCATENATE("0x",(DEC2HEX(IF(P1310&lt;&gt;"",VLOOKUP(P1310,Notes!$A$2:$B$37,2,FALSE)*1024,0) + Q1310*16 + IF(R1310="",7,R1310)*2 + IF(S1310&gt;0, 1, 0))),","),"")</f>
        <v/>
      </c>
    </row>
    <row r="1311" spans="2:25" x14ac:dyDescent="0.25">
      <c r="F1311" s="18">
        <f t="shared" si="120"/>
        <v>0</v>
      </c>
      <c r="G1311" s="1" t="str">
        <f t="shared" si="123"/>
        <v/>
      </c>
      <c r="M1311" s="18">
        <f t="shared" si="121"/>
        <v>0</v>
      </c>
      <c r="N1311" s="1" t="str">
        <f t="shared" si="124"/>
        <v/>
      </c>
      <c r="T1311" s="18">
        <f t="shared" si="122"/>
        <v>0</v>
      </c>
      <c r="U1311" s="1" t="str">
        <f t="shared" si="125"/>
        <v/>
      </c>
      <c r="W1311" s="21" t="str">
        <f>IF(C1311&gt;0,CONCATENATE("0x",(DEC2HEX(IF(B1311&lt;&gt;"",VLOOKUP(B1311,Notes!$A$2:$B$37,2,FALSE)*1024,0) + C1311*16 + IF(D1311="",7,D1311)*2 + IF(E1311&gt;0, 1, 0))),","),"")</f>
        <v/>
      </c>
      <c r="X1311" s="21" t="str">
        <f>IF(J1311&gt;0,CONCATENATE("0x",(DEC2HEX(IF(I1311&lt;&gt;"",VLOOKUP(I1311,Notes!$A$2:$B$37,2,FALSE)*1024,0) + J1311*16 + IF(K1311="",7,K1311)*2 + IF(L1311&gt;0, 1, 0))),","),"")</f>
        <v/>
      </c>
      <c r="Y1311" s="21" t="str">
        <f>IF(Q1311&gt;0,CONCATENATE("0x",(DEC2HEX(IF(P1311&lt;&gt;"",VLOOKUP(P1311,Notes!$A$2:$B$37,2,FALSE)*1024,0) + Q1311*16 + IF(R1311="",7,R1311)*2 + IF(S1311&gt;0, 1, 0))),","),"")</f>
        <v/>
      </c>
    </row>
    <row r="1312" spans="2:25" x14ac:dyDescent="0.25">
      <c r="F1312" s="18">
        <f t="shared" si="120"/>
        <v>0</v>
      </c>
      <c r="G1312" s="1" t="str">
        <f t="shared" si="123"/>
        <v/>
      </c>
      <c r="M1312" s="18">
        <f t="shared" si="121"/>
        <v>0</v>
      </c>
      <c r="N1312" s="1" t="str">
        <f t="shared" si="124"/>
        <v/>
      </c>
      <c r="T1312" s="18">
        <f t="shared" si="122"/>
        <v>0</v>
      </c>
      <c r="U1312" s="1" t="str">
        <f t="shared" si="125"/>
        <v/>
      </c>
      <c r="W1312" s="21" t="str">
        <f>IF(C1312&gt;0,CONCATENATE("0x",(DEC2HEX(IF(B1312&lt;&gt;"",VLOOKUP(B1312,Notes!$A$2:$B$37,2,FALSE)*1024,0) + C1312*16 + IF(D1312="",7,D1312)*2 + IF(E1312&gt;0, 1, 0))),","),"")</f>
        <v/>
      </c>
      <c r="X1312" s="21" t="str">
        <f>IF(J1312&gt;0,CONCATENATE("0x",(DEC2HEX(IF(I1312&lt;&gt;"",VLOOKUP(I1312,Notes!$A$2:$B$37,2,FALSE)*1024,0) + J1312*16 + IF(K1312="",7,K1312)*2 + IF(L1312&gt;0, 1, 0))),","),"")</f>
        <v/>
      </c>
      <c r="Y1312" s="21" t="str">
        <f>IF(Q1312&gt;0,CONCATENATE("0x",(DEC2HEX(IF(P1312&lt;&gt;"",VLOOKUP(P1312,Notes!$A$2:$B$37,2,FALSE)*1024,0) + Q1312*16 + IF(R1312="",7,R1312)*2 + IF(S1312&gt;0, 1, 0))),","),"")</f>
        <v/>
      </c>
    </row>
    <row r="1313" spans="1:25" ht="16.5" thickBot="1" x14ac:dyDescent="0.3">
      <c r="B1313" s="15"/>
      <c r="C1313" s="16"/>
      <c r="D1313" s="16"/>
      <c r="E1313" s="17"/>
      <c r="F1313" s="18">
        <f t="shared" si="120"/>
        <v>0</v>
      </c>
      <c r="G1313" s="1" t="str">
        <f t="shared" si="123"/>
        <v/>
      </c>
      <c r="I1313" s="15"/>
      <c r="J1313" s="16"/>
      <c r="K1313" s="16"/>
      <c r="L1313" s="17"/>
      <c r="M1313" s="18">
        <f t="shared" si="121"/>
        <v>0</v>
      </c>
      <c r="N1313" s="1" t="str">
        <f t="shared" si="124"/>
        <v/>
      </c>
      <c r="P1313" s="15"/>
      <c r="Q1313" s="16"/>
      <c r="R1313" s="16"/>
      <c r="S1313" s="17"/>
      <c r="T1313" s="18">
        <f t="shared" si="122"/>
        <v>0</v>
      </c>
      <c r="U1313" s="1" t="str">
        <f t="shared" si="125"/>
        <v/>
      </c>
      <c r="W1313" s="21" t="str">
        <f>IF(C1313&gt;0,CONCATENATE("0x",(DEC2HEX(IF(B1313&lt;&gt;"",VLOOKUP(B1313,Notes!$A$2:$B$37,2,FALSE)*1024,0) + C1313*16 + IF(D1313="",7,D1313)*2 + IF(E1313&gt;0, 1, 0))),","),"")</f>
        <v/>
      </c>
      <c r="X1313" s="21" t="str">
        <f>IF(J1313&gt;0,CONCATENATE("0x",(DEC2HEX(IF(I1313&lt;&gt;"",VLOOKUP(I1313,Notes!$A$2:$B$37,2,FALSE)*1024,0) + J1313*16 + IF(K1313="",7,K1313)*2 + IF(L1313&gt;0, 1, 0))),","),"")</f>
        <v/>
      </c>
      <c r="Y1313" s="21" t="str">
        <f>IF(Q1313&gt;0,CONCATENATE("0x",(DEC2HEX(IF(P1313&lt;&gt;"",VLOOKUP(P1313,Notes!$A$2:$B$37,2,FALSE)*1024,0) + Q1313*16 + IF(R1313="",7,R1313)*2 + IF(S1313&gt;0, 1, 0))),","),"")</f>
        <v/>
      </c>
    </row>
    <row r="1314" spans="1:25" ht="16.5" thickTop="1" x14ac:dyDescent="0.25">
      <c r="A1314" s="1">
        <v>42</v>
      </c>
      <c r="F1314" s="18">
        <f t="shared" si="120"/>
        <v>0</v>
      </c>
      <c r="G1314" s="1" t="str">
        <f t="shared" si="123"/>
        <v/>
      </c>
      <c r="M1314" s="18">
        <f t="shared" si="121"/>
        <v>0</v>
      </c>
      <c r="N1314" s="1" t="str">
        <f t="shared" si="124"/>
        <v/>
      </c>
      <c r="T1314" s="18">
        <f t="shared" si="122"/>
        <v>0</v>
      </c>
      <c r="U1314" s="1" t="str">
        <f t="shared" si="125"/>
        <v/>
      </c>
      <c r="W1314" s="21" t="str">
        <f>IF(C1314&gt;0,CONCATENATE("0x",(DEC2HEX(IF(B1314&lt;&gt;"",VLOOKUP(B1314,Notes!$A$2:$B$37,2,FALSE)*1024,0) + C1314*16 + IF(D1314="",7,D1314)*2 + IF(E1314&gt;0, 1, 0))),","),"")</f>
        <v/>
      </c>
      <c r="X1314" s="21" t="str">
        <f>IF(J1314&gt;0,CONCATENATE("0x",(DEC2HEX(IF(I1314&lt;&gt;"",VLOOKUP(I1314,Notes!$A$2:$B$37,2,FALSE)*1024,0) + J1314*16 + IF(K1314="",7,K1314)*2 + IF(L1314&gt;0, 1, 0))),","),"")</f>
        <v/>
      </c>
      <c r="Y1314" s="21" t="str">
        <f>IF(Q1314&gt;0,CONCATENATE("0x",(DEC2HEX(IF(P1314&lt;&gt;"",VLOOKUP(P1314,Notes!$A$2:$B$37,2,FALSE)*1024,0) + Q1314*16 + IF(R1314="",7,R1314)*2 + IF(S1314&gt;0, 1, 0))),","),"")</f>
        <v/>
      </c>
    </row>
    <row r="1315" spans="1:25" x14ac:dyDescent="0.25">
      <c r="F1315" s="18">
        <f t="shared" si="120"/>
        <v>0</v>
      </c>
      <c r="G1315" s="1" t="str">
        <f t="shared" si="123"/>
        <v/>
      </c>
      <c r="M1315" s="18">
        <f t="shared" si="121"/>
        <v>0</v>
      </c>
      <c r="N1315" s="1" t="str">
        <f t="shared" si="124"/>
        <v/>
      </c>
      <c r="T1315" s="18">
        <f t="shared" si="122"/>
        <v>0</v>
      </c>
      <c r="U1315" s="1" t="str">
        <f t="shared" si="125"/>
        <v/>
      </c>
      <c r="W1315" s="21" t="str">
        <f>IF(C1315&gt;0,CONCATENATE("0x",(DEC2HEX(IF(B1315&lt;&gt;"",VLOOKUP(B1315,Notes!$A$2:$B$37,2,FALSE)*1024,0) + C1315*16 + IF(D1315="",7,D1315)*2 + IF(E1315&gt;0, 1, 0))),","),"")</f>
        <v/>
      </c>
      <c r="X1315" s="21" t="str">
        <f>IF(J1315&gt;0,CONCATENATE("0x",(DEC2HEX(IF(I1315&lt;&gt;"",VLOOKUP(I1315,Notes!$A$2:$B$37,2,FALSE)*1024,0) + J1315*16 + IF(K1315="",7,K1315)*2 + IF(L1315&gt;0, 1, 0))),","),"")</f>
        <v/>
      </c>
      <c r="Y1315" s="21" t="str">
        <f>IF(Q1315&gt;0,CONCATENATE("0x",(DEC2HEX(IF(P1315&lt;&gt;"",VLOOKUP(P1315,Notes!$A$2:$B$37,2,FALSE)*1024,0) + Q1315*16 + IF(R1315="",7,R1315)*2 + IF(S1315&gt;0, 1, 0))),","),"")</f>
        <v/>
      </c>
    </row>
    <row r="1316" spans="1:25" x14ac:dyDescent="0.25">
      <c r="F1316" s="18">
        <f t="shared" si="120"/>
        <v>0</v>
      </c>
      <c r="G1316" s="1" t="str">
        <f t="shared" si="123"/>
        <v/>
      </c>
      <c r="M1316" s="18">
        <f t="shared" si="121"/>
        <v>0</v>
      </c>
      <c r="N1316" s="1" t="str">
        <f t="shared" si="124"/>
        <v/>
      </c>
      <c r="T1316" s="18">
        <f t="shared" si="122"/>
        <v>0</v>
      </c>
      <c r="U1316" s="1" t="str">
        <f t="shared" si="125"/>
        <v/>
      </c>
      <c r="W1316" s="21" t="str">
        <f>IF(C1316&gt;0,CONCATENATE("0x",(DEC2HEX(IF(B1316&lt;&gt;"",VLOOKUP(B1316,Notes!$A$2:$B$37,2,FALSE)*1024,0) + C1316*16 + IF(D1316="",7,D1316)*2 + IF(E1316&gt;0, 1, 0))),","),"")</f>
        <v/>
      </c>
      <c r="X1316" s="21" t="str">
        <f>IF(J1316&gt;0,CONCATENATE("0x",(DEC2HEX(IF(I1316&lt;&gt;"",VLOOKUP(I1316,Notes!$A$2:$B$37,2,FALSE)*1024,0) + J1316*16 + IF(K1316="",7,K1316)*2 + IF(L1316&gt;0, 1, 0))),","),"")</f>
        <v/>
      </c>
      <c r="Y1316" s="21" t="str">
        <f>IF(Q1316&gt;0,CONCATENATE("0x",(DEC2HEX(IF(P1316&lt;&gt;"",VLOOKUP(P1316,Notes!$A$2:$B$37,2,FALSE)*1024,0) + Q1316*16 + IF(R1316="",7,R1316)*2 + IF(S1316&gt;0, 1, 0))),","),"")</f>
        <v/>
      </c>
    </row>
    <row r="1317" spans="1:25" x14ac:dyDescent="0.25">
      <c r="F1317" s="18">
        <f t="shared" si="120"/>
        <v>0</v>
      </c>
      <c r="G1317" s="1" t="str">
        <f t="shared" si="123"/>
        <v/>
      </c>
      <c r="M1317" s="18">
        <f t="shared" si="121"/>
        <v>0</v>
      </c>
      <c r="N1317" s="1" t="str">
        <f t="shared" si="124"/>
        <v/>
      </c>
      <c r="T1317" s="18">
        <f t="shared" si="122"/>
        <v>0</v>
      </c>
      <c r="U1317" s="1" t="str">
        <f t="shared" si="125"/>
        <v/>
      </c>
      <c r="W1317" s="21" t="str">
        <f>IF(C1317&gt;0,CONCATENATE("0x",(DEC2HEX(IF(B1317&lt;&gt;"",VLOOKUP(B1317,Notes!$A$2:$B$37,2,FALSE)*1024,0) + C1317*16 + IF(D1317="",7,D1317)*2 + IF(E1317&gt;0, 1, 0))),","),"")</f>
        <v/>
      </c>
      <c r="X1317" s="21" t="str">
        <f>IF(J1317&gt;0,CONCATENATE("0x",(DEC2HEX(IF(I1317&lt;&gt;"",VLOOKUP(I1317,Notes!$A$2:$B$37,2,FALSE)*1024,0) + J1317*16 + IF(K1317="",7,K1317)*2 + IF(L1317&gt;0, 1, 0))),","),"")</f>
        <v/>
      </c>
      <c r="Y1317" s="21" t="str">
        <f>IF(Q1317&gt;0,CONCATENATE("0x",(DEC2HEX(IF(P1317&lt;&gt;"",VLOOKUP(P1317,Notes!$A$2:$B$37,2,FALSE)*1024,0) + Q1317*16 + IF(R1317="",7,R1317)*2 + IF(S1317&gt;0, 1, 0))),","),"")</f>
        <v/>
      </c>
    </row>
    <row r="1318" spans="1:25" x14ac:dyDescent="0.25">
      <c r="F1318" s="18">
        <f t="shared" si="120"/>
        <v>0</v>
      </c>
      <c r="G1318" s="1" t="str">
        <f t="shared" si="123"/>
        <v/>
      </c>
      <c r="M1318" s="18">
        <f t="shared" si="121"/>
        <v>0</v>
      </c>
      <c r="N1318" s="1" t="str">
        <f t="shared" si="124"/>
        <v/>
      </c>
      <c r="T1318" s="18">
        <f t="shared" si="122"/>
        <v>0</v>
      </c>
      <c r="U1318" s="1" t="str">
        <f t="shared" si="125"/>
        <v/>
      </c>
      <c r="W1318" s="21" t="str">
        <f>IF(C1318&gt;0,CONCATENATE("0x",(DEC2HEX(IF(B1318&lt;&gt;"",VLOOKUP(B1318,Notes!$A$2:$B$37,2,FALSE)*1024,0) + C1318*16 + IF(D1318="",7,D1318)*2 + IF(E1318&gt;0, 1, 0))),","),"")</f>
        <v/>
      </c>
      <c r="X1318" s="21" t="str">
        <f>IF(J1318&gt;0,CONCATENATE("0x",(DEC2HEX(IF(I1318&lt;&gt;"",VLOOKUP(I1318,Notes!$A$2:$B$37,2,FALSE)*1024,0) + J1318*16 + IF(K1318="",7,K1318)*2 + IF(L1318&gt;0, 1, 0))),","),"")</f>
        <v/>
      </c>
      <c r="Y1318" s="21" t="str">
        <f>IF(Q1318&gt;0,CONCATENATE("0x",(DEC2HEX(IF(P1318&lt;&gt;"",VLOOKUP(P1318,Notes!$A$2:$B$37,2,FALSE)*1024,0) + Q1318*16 + IF(R1318="",7,R1318)*2 + IF(S1318&gt;0, 1, 0))),","),"")</f>
        <v/>
      </c>
    </row>
    <row r="1319" spans="1:25" x14ac:dyDescent="0.25">
      <c r="F1319" s="18">
        <f t="shared" si="120"/>
        <v>0</v>
      </c>
      <c r="G1319" s="1" t="str">
        <f t="shared" si="123"/>
        <v/>
      </c>
      <c r="M1319" s="18">
        <f t="shared" si="121"/>
        <v>0</v>
      </c>
      <c r="N1319" s="1" t="str">
        <f t="shared" si="124"/>
        <v/>
      </c>
      <c r="T1319" s="18">
        <f t="shared" si="122"/>
        <v>0</v>
      </c>
      <c r="U1319" s="1" t="str">
        <f t="shared" si="125"/>
        <v/>
      </c>
      <c r="W1319" s="21" t="str">
        <f>IF(C1319&gt;0,CONCATENATE("0x",(DEC2HEX(IF(B1319&lt;&gt;"",VLOOKUP(B1319,Notes!$A$2:$B$37,2,FALSE)*1024,0) + C1319*16 + IF(D1319="",7,D1319)*2 + IF(E1319&gt;0, 1, 0))),","),"")</f>
        <v/>
      </c>
      <c r="X1319" s="21" t="str">
        <f>IF(J1319&gt;0,CONCATENATE("0x",(DEC2HEX(IF(I1319&lt;&gt;"",VLOOKUP(I1319,Notes!$A$2:$B$37,2,FALSE)*1024,0) + J1319*16 + IF(K1319="",7,K1319)*2 + IF(L1319&gt;0, 1, 0))),","),"")</f>
        <v/>
      </c>
      <c r="Y1319" s="21" t="str">
        <f>IF(Q1319&gt;0,CONCATENATE("0x",(DEC2HEX(IF(P1319&lt;&gt;"",VLOOKUP(P1319,Notes!$A$2:$B$37,2,FALSE)*1024,0) + Q1319*16 + IF(R1319="",7,R1319)*2 + IF(S1319&gt;0, 1, 0))),","),"")</f>
        <v/>
      </c>
    </row>
    <row r="1320" spans="1:25" x14ac:dyDescent="0.25">
      <c r="F1320" s="18">
        <f t="shared" si="120"/>
        <v>0</v>
      </c>
      <c r="G1320" s="1" t="str">
        <f t="shared" si="123"/>
        <v/>
      </c>
      <c r="M1320" s="18">
        <f t="shared" si="121"/>
        <v>0</v>
      </c>
      <c r="N1320" s="1" t="str">
        <f t="shared" si="124"/>
        <v/>
      </c>
      <c r="T1320" s="18">
        <f t="shared" si="122"/>
        <v>0</v>
      </c>
      <c r="U1320" s="1" t="str">
        <f t="shared" si="125"/>
        <v/>
      </c>
      <c r="W1320" s="21" t="str">
        <f>IF(C1320&gt;0,CONCATENATE("0x",(DEC2HEX(IF(B1320&lt;&gt;"",VLOOKUP(B1320,Notes!$A$2:$B$37,2,FALSE)*1024,0) + C1320*16 + IF(D1320="",7,D1320)*2 + IF(E1320&gt;0, 1, 0))),","),"")</f>
        <v/>
      </c>
      <c r="X1320" s="21" t="str">
        <f>IF(J1320&gt;0,CONCATENATE("0x",(DEC2HEX(IF(I1320&lt;&gt;"",VLOOKUP(I1320,Notes!$A$2:$B$37,2,FALSE)*1024,0) + J1320*16 + IF(K1320="",7,K1320)*2 + IF(L1320&gt;0, 1, 0))),","),"")</f>
        <v/>
      </c>
      <c r="Y1320" s="21" t="str">
        <f>IF(Q1320&gt;0,CONCATENATE("0x",(DEC2HEX(IF(P1320&lt;&gt;"",VLOOKUP(P1320,Notes!$A$2:$B$37,2,FALSE)*1024,0) + Q1320*16 + IF(R1320="",7,R1320)*2 + IF(S1320&gt;0, 1, 0))),","),"")</f>
        <v/>
      </c>
    </row>
    <row r="1321" spans="1:25" x14ac:dyDescent="0.25">
      <c r="B1321" s="12"/>
      <c r="C1321" s="13"/>
      <c r="D1321" s="13"/>
      <c r="E1321" s="14"/>
      <c r="F1321" s="18">
        <f t="shared" si="120"/>
        <v>0</v>
      </c>
      <c r="G1321" s="1" t="str">
        <f t="shared" si="123"/>
        <v/>
      </c>
      <c r="I1321" s="12"/>
      <c r="J1321" s="13"/>
      <c r="K1321" s="13"/>
      <c r="L1321" s="14"/>
      <c r="M1321" s="18">
        <f t="shared" si="121"/>
        <v>0</v>
      </c>
      <c r="N1321" s="1" t="str">
        <f t="shared" si="124"/>
        <v/>
      </c>
      <c r="P1321" s="12"/>
      <c r="Q1321" s="13"/>
      <c r="R1321" s="13"/>
      <c r="S1321" s="14"/>
      <c r="T1321" s="18">
        <f t="shared" si="122"/>
        <v>0</v>
      </c>
      <c r="U1321" s="1" t="str">
        <f t="shared" si="125"/>
        <v/>
      </c>
      <c r="W1321" s="21" t="str">
        <f>IF(C1321&gt;0,CONCATENATE("0x",(DEC2HEX(IF(B1321&lt;&gt;"",VLOOKUP(B1321,Notes!$A$2:$B$37,2,FALSE)*1024,0) + C1321*16 + IF(D1321="",7,D1321)*2 + IF(E1321&gt;0, 1, 0))),","),"")</f>
        <v/>
      </c>
      <c r="X1321" s="21" t="str">
        <f>IF(J1321&gt;0,CONCATENATE("0x",(DEC2HEX(IF(I1321&lt;&gt;"",VLOOKUP(I1321,Notes!$A$2:$B$37,2,FALSE)*1024,0) + J1321*16 + IF(K1321="",7,K1321)*2 + IF(L1321&gt;0, 1, 0))),","),"")</f>
        <v/>
      </c>
      <c r="Y1321" s="21" t="str">
        <f>IF(Q1321&gt;0,CONCATENATE("0x",(DEC2HEX(IF(P1321&lt;&gt;"",VLOOKUP(P1321,Notes!$A$2:$B$37,2,FALSE)*1024,0) + Q1321*16 + IF(R1321="",7,R1321)*2 + IF(S1321&gt;0, 1, 0))),","),"")</f>
        <v/>
      </c>
    </row>
    <row r="1322" spans="1:25" x14ac:dyDescent="0.25">
      <c r="F1322" s="18">
        <f t="shared" si="120"/>
        <v>0</v>
      </c>
      <c r="G1322" s="1" t="str">
        <f t="shared" si="123"/>
        <v/>
      </c>
      <c r="M1322" s="18">
        <f t="shared" si="121"/>
        <v>0</v>
      </c>
      <c r="N1322" s="1" t="str">
        <f t="shared" si="124"/>
        <v/>
      </c>
      <c r="T1322" s="18">
        <f t="shared" si="122"/>
        <v>0</v>
      </c>
      <c r="U1322" s="1" t="str">
        <f t="shared" si="125"/>
        <v/>
      </c>
      <c r="W1322" s="21" t="str">
        <f>IF(C1322&gt;0,CONCATENATE("0x",(DEC2HEX(IF(B1322&lt;&gt;"",VLOOKUP(B1322,Notes!$A$2:$B$37,2,FALSE)*1024,0) + C1322*16 + IF(D1322="",7,D1322)*2 + IF(E1322&gt;0, 1, 0))),","),"")</f>
        <v/>
      </c>
      <c r="X1322" s="21" t="str">
        <f>IF(J1322&gt;0,CONCATENATE("0x",(DEC2HEX(IF(I1322&lt;&gt;"",VLOOKUP(I1322,Notes!$A$2:$B$37,2,FALSE)*1024,0) + J1322*16 + IF(K1322="",7,K1322)*2 + IF(L1322&gt;0, 1, 0))),","),"")</f>
        <v/>
      </c>
      <c r="Y1322" s="21" t="str">
        <f>IF(Q1322&gt;0,CONCATENATE("0x",(DEC2HEX(IF(P1322&lt;&gt;"",VLOOKUP(P1322,Notes!$A$2:$B$37,2,FALSE)*1024,0) + Q1322*16 + IF(R1322="",7,R1322)*2 + IF(S1322&gt;0, 1, 0))),","),"")</f>
        <v/>
      </c>
    </row>
    <row r="1323" spans="1:25" x14ac:dyDescent="0.25">
      <c r="F1323" s="18">
        <f t="shared" si="120"/>
        <v>0</v>
      </c>
      <c r="G1323" s="1" t="str">
        <f t="shared" si="123"/>
        <v/>
      </c>
      <c r="M1323" s="18">
        <f t="shared" si="121"/>
        <v>0</v>
      </c>
      <c r="N1323" s="1" t="str">
        <f t="shared" si="124"/>
        <v/>
      </c>
      <c r="T1323" s="18">
        <f t="shared" si="122"/>
        <v>0</v>
      </c>
      <c r="U1323" s="1" t="str">
        <f t="shared" si="125"/>
        <v/>
      </c>
      <c r="W1323" s="21" t="str">
        <f>IF(C1323&gt;0,CONCATENATE("0x",(DEC2HEX(IF(B1323&lt;&gt;"",VLOOKUP(B1323,Notes!$A$2:$B$37,2,FALSE)*1024,0) + C1323*16 + IF(D1323="",7,D1323)*2 + IF(E1323&gt;0, 1, 0))),","),"")</f>
        <v/>
      </c>
      <c r="X1323" s="21" t="str">
        <f>IF(J1323&gt;0,CONCATENATE("0x",(DEC2HEX(IF(I1323&lt;&gt;"",VLOOKUP(I1323,Notes!$A$2:$B$37,2,FALSE)*1024,0) + J1323*16 + IF(K1323="",7,K1323)*2 + IF(L1323&gt;0, 1, 0))),","),"")</f>
        <v/>
      </c>
      <c r="Y1323" s="21" t="str">
        <f>IF(Q1323&gt;0,CONCATENATE("0x",(DEC2HEX(IF(P1323&lt;&gt;"",VLOOKUP(P1323,Notes!$A$2:$B$37,2,FALSE)*1024,0) + Q1323*16 + IF(R1323="",7,R1323)*2 + IF(S1323&gt;0, 1, 0))),","),"")</f>
        <v/>
      </c>
    </row>
    <row r="1324" spans="1:25" x14ac:dyDescent="0.25">
      <c r="F1324" s="18">
        <f t="shared" si="120"/>
        <v>0</v>
      </c>
      <c r="G1324" s="1" t="str">
        <f t="shared" si="123"/>
        <v/>
      </c>
      <c r="M1324" s="18">
        <f t="shared" si="121"/>
        <v>0</v>
      </c>
      <c r="N1324" s="1" t="str">
        <f t="shared" si="124"/>
        <v/>
      </c>
      <c r="T1324" s="18">
        <f t="shared" si="122"/>
        <v>0</v>
      </c>
      <c r="U1324" s="1" t="str">
        <f t="shared" si="125"/>
        <v/>
      </c>
      <c r="W1324" s="21" t="str">
        <f>IF(C1324&gt;0,CONCATENATE("0x",(DEC2HEX(IF(B1324&lt;&gt;"",VLOOKUP(B1324,Notes!$A$2:$B$37,2,FALSE)*1024,0) + C1324*16 + IF(D1324="",7,D1324)*2 + IF(E1324&gt;0, 1, 0))),","),"")</f>
        <v/>
      </c>
      <c r="X1324" s="21" t="str">
        <f>IF(J1324&gt;0,CONCATENATE("0x",(DEC2HEX(IF(I1324&lt;&gt;"",VLOOKUP(I1324,Notes!$A$2:$B$37,2,FALSE)*1024,0) + J1324*16 + IF(K1324="",7,K1324)*2 + IF(L1324&gt;0, 1, 0))),","),"")</f>
        <v/>
      </c>
      <c r="Y1324" s="21" t="str">
        <f>IF(Q1324&gt;0,CONCATENATE("0x",(DEC2HEX(IF(P1324&lt;&gt;"",VLOOKUP(P1324,Notes!$A$2:$B$37,2,FALSE)*1024,0) + Q1324*16 + IF(R1324="",7,R1324)*2 + IF(S1324&gt;0, 1, 0))),","),"")</f>
        <v/>
      </c>
    </row>
    <row r="1325" spans="1:25" x14ac:dyDescent="0.25">
      <c r="F1325" s="18">
        <f t="shared" si="120"/>
        <v>0</v>
      </c>
      <c r="G1325" s="1" t="str">
        <f t="shared" si="123"/>
        <v/>
      </c>
      <c r="M1325" s="18">
        <f t="shared" si="121"/>
        <v>0</v>
      </c>
      <c r="N1325" s="1" t="str">
        <f t="shared" si="124"/>
        <v/>
      </c>
      <c r="T1325" s="18">
        <f t="shared" si="122"/>
        <v>0</v>
      </c>
      <c r="U1325" s="1" t="str">
        <f t="shared" si="125"/>
        <v/>
      </c>
      <c r="W1325" s="21" t="str">
        <f>IF(C1325&gt;0,CONCATENATE("0x",(DEC2HEX(IF(B1325&lt;&gt;"",VLOOKUP(B1325,Notes!$A$2:$B$37,2,FALSE)*1024,0) + C1325*16 + IF(D1325="",7,D1325)*2 + IF(E1325&gt;0, 1, 0))),","),"")</f>
        <v/>
      </c>
      <c r="X1325" s="21" t="str">
        <f>IF(J1325&gt;0,CONCATENATE("0x",(DEC2HEX(IF(I1325&lt;&gt;"",VLOOKUP(I1325,Notes!$A$2:$B$37,2,FALSE)*1024,0) + J1325*16 + IF(K1325="",7,K1325)*2 + IF(L1325&gt;0, 1, 0))),","),"")</f>
        <v/>
      </c>
      <c r="Y1325" s="21" t="str">
        <f>IF(Q1325&gt;0,CONCATENATE("0x",(DEC2HEX(IF(P1325&lt;&gt;"",VLOOKUP(P1325,Notes!$A$2:$B$37,2,FALSE)*1024,0) + Q1325*16 + IF(R1325="",7,R1325)*2 + IF(S1325&gt;0, 1, 0))),","),"")</f>
        <v/>
      </c>
    </row>
    <row r="1326" spans="1:25" x14ac:dyDescent="0.25">
      <c r="F1326" s="18">
        <f t="shared" si="120"/>
        <v>0</v>
      </c>
      <c r="G1326" s="1" t="str">
        <f t="shared" si="123"/>
        <v/>
      </c>
      <c r="M1326" s="18">
        <f t="shared" si="121"/>
        <v>0</v>
      </c>
      <c r="N1326" s="1" t="str">
        <f t="shared" si="124"/>
        <v/>
      </c>
      <c r="T1326" s="18">
        <f t="shared" si="122"/>
        <v>0</v>
      </c>
      <c r="U1326" s="1" t="str">
        <f t="shared" si="125"/>
        <v/>
      </c>
      <c r="W1326" s="21" t="str">
        <f>IF(C1326&gt;0,CONCATENATE("0x",(DEC2HEX(IF(B1326&lt;&gt;"",VLOOKUP(B1326,Notes!$A$2:$B$37,2,FALSE)*1024,0) + C1326*16 + IF(D1326="",7,D1326)*2 + IF(E1326&gt;0, 1, 0))),","),"")</f>
        <v/>
      </c>
      <c r="X1326" s="21" t="str">
        <f>IF(J1326&gt;0,CONCATENATE("0x",(DEC2HEX(IF(I1326&lt;&gt;"",VLOOKUP(I1326,Notes!$A$2:$B$37,2,FALSE)*1024,0) + J1326*16 + IF(K1326="",7,K1326)*2 + IF(L1326&gt;0, 1, 0))),","),"")</f>
        <v/>
      </c>
      <c r="Y1326" s="21" t="str">
        <f>IF(Q1326&gt;0,CONCATENATE("0x",(DEC2HEX(IF(P1326&lt;&gt;"",VLOOKUP(P1326,Notes!$A$2:$B$37,2,FALSE)*1024,0) + Q1326*16 + IF(R1326="",7,R1326)*2 + IF(S1326&gt;0, 1, 0))),","),"")</f>
        <v/>
      </c>
    </row>
    <row r="1327" spans="1:25" x14ac:dyDescent="0.25">
      <c r="F1327" s="18">
        <f t="shared" si="120"/>
        <v>0</v>
      </c>
      <c r="G1327" s="1" t="str">
        <f t="shared" si="123"/>
        <v/>
      </c>
      <c r="M1327" s="18">
        <f t="shared" si="121"/>
        <v>0</v>
      </c>
      <c r="N1327" s="1" t="str">
        <f t="shared" si="124"/>
        <v/>
      </c>
      <c r="T1327" s="18">
        <f t="shared" si="122"/>
        <v>0</v>
      </c>
      <c r="U1327" s="1" t="str">
        <f t="shared" si="125"/>
        <v/>
      </c>
      <c r="W1327" s="21" t="str">
        <f>IF(C1327&gt;0,CONCATENATE("0x",(DEC2HEX(IF(B1327&lt;&gt;"",VLOOKUP(B1327,Notes!$A$2:$B$37,2,FALSE)*1024,0) + C1327*16 + IF(D1327="",7,D1327)*2 + IF(E1327&gt;0, 1, 0))),","),"")</f>
        <v/>
      </c>
      <c r="X1327" s="21" t="str">
        <f>IF(J1327&gt;0,CONCATENATE("0x",(DEC2HEX(IF(I1327&lt;&gt;"",VLOOKUP(I1327,Notes!$A$2:$B$37,2,FALSE)*1024,0) + J1327*16 + IF(K1327="",7,K1327)*2 + IF(L1327&gt;0, 1, 0))),","),"")</f>
        <v/>
      </c>
      <c r="Y1327" s="21" t="str">
        <f>IF(Q1327&gt;0,CONCATENATE("0x",(DEC2HEX(IF(P1327&lt;&gt;"",VLOOKUP(P1327,Notes!$A$2:$B$37,2,FALSE)*1024,0) + Q1327*16 + IF(R1327="",7,R1327)*2 + IF(S1327&gt;0, 1, 0))),","),"")</f>
        <v/>
      </c>
    </row>
    <row r="1328" spans="1:25" x14ac:dyDescent="0.25">
      <c r="F1328" s="18">
        <f t="shared" si="120"/>
        <v>0</v>
      </c>
      <c r="G1328" s="1" t="str">
        <f t="shared" si="123"/>
        <v/>
      </c>
      <c r="M1328" s="18">
        <f t="shared" si="121"/>
        <v>0</v>
      </c>
      <c r="N1328" s="1" t="str">
        <f t="shared" si="124"/>
        <v/>
      </c>
      <c r="T1328" s="18">
        <f t="shared" si="122"/>
        <v>0</v>
      </c>
      <c r="U1328" s="1" t="str">
        <f t="shared" si="125"/>
        <v/>
      </c>
      <c r="W1328" s="21" t="str">
        <f>IF(C1328&gt;0,CONCATENATE("0x",(DEC2HEX(IF(B1328&lt;&gt;"",VLOOKUP(B1328,Notes!$A$2:$B$37,2,FALSE)*1024,0) + C1328*16 + IF(D1328="",7,D1328)*2 + IF(E1328&gt;0, 1, 0))),","),"")</f>
        <v/>
      </c>
      <c r="X1328" s="21" t="str">
        <f>IF(J1328&gt;0,CONCATENATE("0x",(DEC2HEX(IF(I1328&lt;&gt;"",VLOOKUP(I1328,Notes!$A$2:$B$37,2,FALSE)*1024,0) + J1328*16 + IF(K1328="",7,K1328)*2 + IF(L1328&gt;0, 1, 0))),","),"")</f>
        <v/>
      </c>
      <c r="Y1328" s="21" t="str">
        <f>IF(Q1328&gt;0,CONCATENATE("0x",(DEC2HEX(IF(P1328&lt;&gt;"",VLOOKUP(P1328,Notes!$A$2:$B$37,2,FALSE)*1024,0) + Q1328*16 + IF(R1328="",7,R1328)*2 + IF(S1328&gt;0, 1, 0))),","),"")</f>
        <v/>
      </c>
    </row>
    <row r="1329" spans="2:25" x14ac:dyDescent="0.25">
      <c r="B1329" s="12"/>
      <c r="C1329" s="13"/>
      <c r="D1329" s="13"/>
      <c r="E1329" s="14"/>
      <c r="F1329" s="18">
        <f t="shared" si="120"/>
        <v>0</v>
      </c>
      <c r="G1329" s="1" t="str">
        <f t="shared" si="123"/>
        <v/>
      </c>
      <c r="I1329" s="12"/>
      <c r="J1329" s="13"/>
      <c r="K1329" s="13"/>
      <c r="L1329" s="14"/>
      <c r="M1329" s="18">
        <f t="shared" si="121"/>
        <v>0</v>
      </c>
      <c r="N1329" s="1" t="str">
        <f t="shared" si="124"/>
        <v/>
      </c>
      <c r="P1329" s="12"/>
      <c r="Q1329" s="13"/>
      <c r="R1329" s="13"/>
      <c r="S1329" s="14"/>
      <c r="T1329" s="18">
        <f t="shared" si="122"/>
        <v>0</v>
      </c>
      <c r="U1329" s="1" t="str">
        <f t="shared" si="125"/>
        <v/>
      </c>
      <c r="W1329" s="21" t="str">
        <f>IF(C1329&gt;0,CONCATENATE("0x",(DEC2HEX(IF(B1329&lt;&gt;"",VLOOKUP(B1329,Notes!$A$2:$B$37,2,FALSE)*1024,0) + C1329*16 + IF(D1329="",7,D1329)*2 + IF(E1329&gt;0, 1, 0))),","),"")</f>
        <v/>
      </c>
      <c r="X1329" s="21" t="str">
        <f>IF(J1329&gt;0,CONCATENATE("0x",(DEC2HEX(IF(I1329&lt;&gt;"",VLOOKUP(I1329,Notes!$A$2:$B$37,2,FALSE)*1024,0) + J1329*16 + IF(K1329="",7,K1329)*2 + IF(L1329&gt;0, 1, 0))),","),"")</f>
        <v/>
      </c>
      <c r="Y1329" s="21" t="str">
        <f>IF(Q1329&gt;0,CONCATENATE("0x",(DEC2HEX(IF(P1329&lt;&gt;"",VLOOKUP(P1329,Notes!$A$2:$B$37,2,FALSE)*1024,0) + Q1329*16 + IF(R1329="",7,R1329)*2 + IF(S1329&gt;0, 1, 0))),","),"")</f>
        <v/>
      </c>
    </row>
    <row r="1330" spans="2:25" x14ac:dyDescent="0.25">
      <c r="F1330" s="18">
        <f t="shared" si="120"/>
        <v>0</v>
      </c>
      <c r="G1330" s="1" t="str">
        <f t="shared" si="123"/>
        <v/>
      </c>
      <c r="M1330" s="18">
        <f t="shared" si="121"/>
        <v>0</v>
      </c>
      <c r="N1330" s="1" t="str">
        <f t="shared" si="124"/>
        <v/>
      </c>
      <c r="T1330" s="18">
        <f t="shared" si="122"/>
        <v>0</v>
      </c>
      <c r="U1330" s="1" t="str">
        <f t="shared" si="125"/>
        <v/>
      </c>
      <c r="W1330" s="21" t="str">
        <f>IF(C1330&gt;0,CONCATENATE("0x",(DEC2HEX(IF(B1330&lt;&gt;"",VLOOKUP(B1330,Notes!$A$2:$B$37,2,FALSE)*1024,0) + C1330*16 + IF(D1330="",7,D1330)*2 + IF(E1330&gt;0, 1, 0))),","),"")</f>
        <v/>
      </c>
      <c r="X1330" s="21" t="str">
        <f>IF(J1330&gt;0,CONCATENATE("0x",(DEC2HEX(IF(I1330&lt;&gt;"",VLOOKUP(I1330,Notes!$A$2:$B$37,2,FALSE)*1024,0) + J1330*16 + IF(K1330="",7,K1330)*2 + IF(L1330&gt;0, 1, 0))),","),"")</f>
        <v/>
      </c>
      <c r="Y1330" s="21" t="str">
        <f>IF(Q1330&gt;0,CONCATENATE("0x",(DEC2HEX(IF(P1330&lt;&gt;"",VLOOKUP(P1330,Notes!$A$2:$B$37,2,FALSE)*1024,0) + Q1330*16 + IF(R1330="",7,R1330)*2 + IF(S1330&gt;0, 1, 0))),","),"")</f>
        <v/>
      </c>
    </row>
    <row r="1331" spans="2:25" x14ac:dyDescent="0.25">
      <c r="F1331" s="18">
        <f t="shared" si="120"/>
        <v>0</v>
      </c>
      <c r="G1331" s="1" t="str">
        <f t="shared" si="123"/>
        <v/>
      </c>
      <c r="M1331" s="18">
        <f t="shared" si="121"/>
        <v>0</v>
      </c>
      <c r="N1331" s="1" t="str">
        <f t="shared" si="124"/>
        <v/>
      </c>
      <c r="T1331" s="18">
        <f t="shared" si="122"/>
        <v>0</v>
      </c>
      <c r="U1331" s="1" t="str">
        <f t="shared" si="125"/>
        <v/>
      </c>
      <c r="W1331" s="21" t="str">
        <f>IF(C1331&gt;0,CONCATENATE("0x",(DEC2HEX(IF(B1331&lt;&gt;"",VLOOKUP(B1331,Notes!$A$2:$B$37,2,FALSE)*1024,0) + C1331*16 + IF(D1331="",7,D1331)*2 + IF(E1331&gt;0, 1, 0))),","),"")</f>
        <v/>
      </c>
      <c r="X1331" s="21" t="str">
        <f>IF(J1331&gt;0,CONCATENATE("0x",(DEC2HEX(IF(I1331&lt;&gt;"",VLOOKUP(I1331,Notes!$A$2:$B$37,2,FALSE)*1024,0) + J1331*16 + IF(K1331="",7,K1331)*2 + IF(L1331&gt;0, 1, 0))),","),"")</f>
        <v/>
      </c>
      <c r="Y1331" s="21" t="str">
        <f>IF(Q1331&gt;0,CONCATENATE("0x",(DEC2HEX(IF(P1331&lt;&gt;"",VLOOKUP(P1331,Notes!$A$2:$B$37,2,FALSE)*1024,0) + Q1331*16 + IF(R1331="",7,R1331)*2 + IF(S1331&gt;0, 1, 0))),","),"")</f>
        <v/>
      </c>
    </row>
    <row r="1332" spans="2:25" x14ac:dyDescent="0.25">
      <c r="F1332" s="18">
        <f t="shared" si="120"/>
        <v>0</v>
      </c>
      <c r="G1332" s="1" t="str">
        <f t="shared" si="123"/>
        <v/>
      </c>
      <c r="M1332" s="18">
        <f t="shared" si="121"/>
        <v>0</v>
      </c>
      <c r="N1332" s="1" t="str">
        <f t="shared" si="124"/>
        <v/>
      </c>
      <c r="T1332" s="18">
        <f t="shared" si="122"/>
        <v>0</v>
      </c>
      <c r="U1332" s="1" t="str">
        <f t="shared" si="125"/>
        <v/>
      </c>
      <c r="W1332" s="21" t="str">
        <f>IF(C1332&gt;0,CONCATENATE("0x",(DEC2HEX(IF(B1332&lt;&gt;"",VLOOKUP(B1332,Notes!$A$2:$B$37,2,FALSE)*1024,0) + C1332*16 + IF(D1332="",7,D1332)*2 + IF(E1332&gt;0, 1, 0))),","),"")</f>
        <v/>
      </c>
      <c r="X1332" s="21" t="str">
        <f>IF(J1332&gt;0,CONCATENATE("0x",(DEC2HEX(IF(I1332&lt;&gt;"",VLOOKUP(I1332,Notes!$A$2:$B$37,2,FALSE)*1024,0) + J1332*16 + IF(K1332="",7,K1332)*2 + IF(L1332&gt;0, 1, 0))),","),"")</f>
        <v/>
      </c>
      <c r="Y1332" s="21" t="str">
        <f>IF(Q1332&gt;0,CONCATENATE("0x",(DEC2HEX(IF(P1332&lt;&gt;"",VLOOKUP(P1332,Notes!$A$2:$B$37,2,FALSE)*1024,0) + Q1332*16 + IF(R1332="",7,R1332)*2 + IF(S1332&gt;0, 1, 0))),","),"")</f>
        <v/>
      </c>
    </row>
    <row r="1333" spans="2:25" x14ac:dyDescent="0.25">
      <c r="F1333" s="18">
        <f t="shared" si="120"/>
        <v>0</v>
      </c>
      <c r="G1333" s="1" t="str">
        <f t="shared" si="123"/>
        <v/>
      </c>
      <c r="M1333" s="18">
        <f t="shared" si="121"/>
        <v>0</v>
      </c>
      <c r="N1333" s="1" t="str">
        <f t="shared" si="124"/>
        <v/>
      </c>
      <c r="T1333" s="18">
        <f t="shared" si="122"/>
        <v>0</v>
      </c>
      <c r="U1333" s="1" t="str">
        <f t="shared" si="125"/>
        <v/>
      </c>
      <c r="W1333" s="21" t="str">
        <f>IF(C1333&gt;0,CONCATENATE("0x",(DEC2HEX(IF(B1333&lt;&gt;"",VLOOKUP(B1333,Notes!$A$2:$B$37,2,FALSE)*1024,0) + C1333*16 + IF(D1333="",7,D1333)*2 + IF(E1333&gt;0, 1, 0))),","),"")</f>
        <v/>
      </c>
      <c r="X1333" s="21" t="str">
        <f>IF(J1333&gt;0,CONCATENATE("0x",(DEC2HEX(IF(I1333&lt;&gt;"",VLOOKUP(I1333,Notes!$A$2:$B$37,2,FALSE)*1024,0) + J1333*16 + IF(K1333="",7,K1333)*2 + IF(L1333&gt;0, 1, 0))),","),"")</f>
        <v/>
      </c>
      <c r="Y1333" s="21" t="str">
        <f>IF(Q1333&gt;0,CONCATENATE("0x",(DEC2HEX(IF(P1333&lt;&gt;"",VLOOKUP(P1333,Notes!$A$2:$B$37,2,FALSE)*1024,0) + Q1333*16 + IF(R1333="",7,R1333)*2 + IF(S1333&gt;0, 1, 0))),","),"")</f>
        <v/>
      </c>
    </row>
    <row r="1334" spans="2:25" x14ac:dyDescent="0.25">
      <c r="F1334" s="18">
        <f t="shared" si="120"/>
        <v>0</v>
      </c>
      <c r="G1334" s="1" t="str">
        <f t="shared" si="123"/>
        <v/>
      </c>
      <c r="M1334" s="18">
        <f t="shared" si="121"/>
        <v>0</v>
      </c>
      <c r="N1334" s="1" t="str">
        <f t="shared" si="124"/>
        <v/>
      </c>
      <c r="T1334" s="18">
        <f t="shared" si="122"/>
        <v>0</v>
      </c>
      <c r="U1334" s="1" t="str">
        <f t="shared" si="125"/>
        <v/>
      </c>
      <c r="W1334" s="21" t="str">
        <f>IF(C1334&gt;0,CONCATENATE("0x",(DEC2HEX(IF(B1334&lt;&gt;"",VLOOKUP(B1334,Notes!$A$2:$B$37,2,FALSE)*1024,0) + C1334*16 + IF(D1334="",7,D1334)*2 + IF(E1334&gt;0, 1, 0))),","),"")</f>
        <v/>
      </c>
      <c r="X1334" s="21" t="str">
        <f>IF(J1334&gt;0,CONCATENATE("0x",(DEC2HEX(IF(I1334&lt;&gt;"",VLOOKUP(I1334,Notes!$A$2:$B$37,2,FALSE)*1024,0) + J1334*16 + IF(K1334="",7,K1334)*2 + IF(L1334&gt;0, 1, 0))),","),"")</f>
        <v/>
      </c>
      <c r="Y1334" s="21" t="str">
        <f>IF(Q1334&gt;0,CONCATENATE("0x",(DEC2HEX(IF(P1334&lt;&gt;"",VLOOKUP(P1334,Notes!$A$2:$B$37,2,FALSE)*1024,0) + Q1334*16 + IF(R1334="",7,R1334)*2 + IF(S1334&gt;0, 1, 0))),","),"")</f>
        <v/>
      </c>
    </row>
    <row r="1335" spans="2:25" x14ac:dyDescent="0.25">
      <c r="F1335" s="18">
        <f t="shared" si="120"/>
        <v>0</v>
      </c>
      <c r="G1335" s="1" t="str">
        <f t="shared" si="123"/>
        <v/>
      </c>
      <c r="M1335" s="18">
        <f t="shared" si="121"/>
        <v>0</v>
      </c>
      <c r="N1335" s="1" t="str">
        <f t="shared" si="124"/>
        <v/>
      </c>
      <c r="T1335" s="18">
        <f t="shared" si="122"/>
        <v>0</v>
      </c>
      <c r="U1335" s="1" t="str">
        <f t="shared" si="125"/>
        <v/>
      </c>
      <c r="W1335" s="21" t="str">
        <f>IF(C1335&gt;0,CONCATENATE("0x",(DEC2HEX(IF(B1335&lt;&gt;"",VLOOKUP(B1335,Notes!$A$2:$B$37,2,FALSE)*1024,0) + C1335*16 + IF(D1335="",7,D1335)*2 + IF(E1335&gt;0, 1, 0))),","),"")</f>
        <v/>
      </c>
      <c r="X1335" s="21" t="str">
        <f>IF(J1335&gt;0,CONCATENATE("0x",(DEC2HEX(IF(I1335&lt;&gt;"",VLOOKUP(I1335,Notes!$A$2:$B$37,2,FALSE)*1024,0) + J1335*16 + IF(K1335="",7,K1335)*2 + IF(L1335&gt;0, 1, 0))),","),"")</f>
        <v/>
      </c>
      <c r="Y1335" s="21" t="str">
        <f>IF(Q1335&gt;0,CONCATENATE("0x",(DEC2HEX(IF(P1335&lt;&gt;"",VLOOKUP(P1335,Notes!$A$2:$B$37,2,FALSE)*1024,0) + Q1335*16 + IF(R1335="",7,R1335)*2 + IF(S1335&gt;0, 1, 0))),","),"")</f>
        <v/>
      </c>
    </row>
    <row r="1336" spans="2:25" x14ac:dyDescent="0.25">
      <c r="F1336" s="18">
        <f t="shared" si="120"/>
        <v>0</v>
      </c>
      <c r="G1336" s="1" t="str">
        <f t="shared" si="123"/>
        <v/>
      </c>
      <c r="M1336" s="18">
        <f t="shared" si="121"/>
        <v>0</v>
      </c>
      <c r="N1336" s="1" t="str">
        <f t="shared" si="124"/>
        <v/>
      </c>
      <c r="T1336" s="18">
        <f t="shared" si="122"/>
        <v>0</v>
      </c>
      <c r="U1336" s="1" t="str">
        <f t="shared" si="125"/>
        <v/>
      </c>
      <c r="W1336" s="21" t="str">
        <f>IF(C1336&gt;0,CONCATENATE("0x",(DEC2HEX(IF(B1336&lt;&gt;"",VLOOKUP(B1336,Notes!$A$2:$B$37,2,FALSE)*1024,0) + C1336*16 + IF(D1336="",7,D1336)*2 + IF(E1336&gt;0, 1, 0))),","),"")</f>
        <v/>
      </c>
      <c r="X1336" s="21" t="str">
        <f>IF(J1336&gt;0,CONCATENATE("0x",(DEC2HEX(IF(I1336&lt;&gt;"",VLOOKUP(I1336,Notes!$A$2:$B$37,2,FALSE)*1024,0) + J1336*16 + IF(K1336="",7,K1336)*2 + IF(L1336&gt;0, 1, 0))),","),"")</f>
        <v/>
      </c>
      <c r="Y1336" s="21" t="str">
        <f>IF(Q1336&gt;0,CONCATENATE("0x",(DEC2HEX(IF(P1336&lt;&gt;"",VLOOKUP(P1336,Notes!$A$2:$B$37,2,FALSE)*1024,0) + Q1336*16 + IF(R1336="",7,R1336)*2 + IF(S1336&gt;0, 1, 0))),","),"")</f>
        <v/>
      </c>
    </row>
    <row r="1337" spans="2:25" x14ac:dyDescent="0.25">
      <c r="B1337" s="12"/>
      <c r="C1337" s="13"/>
      <c r="D1337" s="13"/>
      <c r="E1337" s="14"/>
      <c r="F1337" s="18">
        <f t="shared" si="120"/>
        <v>0</v>
      </c>
      <c r="G1337" s="1" t="str">
        <f t="shared" si="123"/>
        <v/>
      </c>
      <c r="I1337" s="12"/>
      <c r="J1337" s="13"/>
      <c r="K1337" s="13"/>
      <c r="L1337" s="14"/>
      <c r="M1337" s="18">
        <f t="shared" si="121"/>
        <v>0</v>
      </c>
      <c r="N1337" s="1" t="str">
        <f t="shared" si="124"/>
        <v/>
      </c>
      <c r="P1337" s="12"/>
      <c r="Q1337" s="13"/>
      <c r="R1337" s="13"/>
      <c r="S1337" s="14"/>
      <c r="T1337" s="18">
        <f t="shared" si="122"/>
        <v>0</v>
      </c>
      <c r="U1337" s="1" t="str">
        <f t="shared" si="125"/>
        <v/>
      </c>
      <c r="W1337" s="21" t="str">
        <f>IF(C1337&gt;0,CONCATENATE("0x",(DEC2HEX(IF(B1337&lt;&gt;"",VLOOKUP(B1337,Notes!$A$2:$B$37,2,FALSE)*1024,0) + C1337*16 + IF(D1337="",7,D1337)*2 + IF(E1337&gt;0, 1, 0))),","),"")</f>
        <v/>
      </c>
      <c r="X1337" s="21" t="str">
        <f>IF(J1337&gt;0,CONCATENATE("0x",(DEC2HEX(IF(I1337&lt;&gt;"",VLOOKUP(I1337,Notes!$A$2:$B$37,2,FALSE)*1024,0) + J1337*16 + IF(K1337="",7,K1337)*2 + IF(L1337&gt;0, 1, 0))),","),"")</f>
        <v/>
      </c>
      <c r="Y1337" s="21" t="str">
        <f>IF(Q1337&gt;0,CONCATENATE("0x",(DEC2HEX(IF(P1337&lt;&gt;"",VLOOKUP(P1337,Notes!$A$2:$B$37,2,FALSE)*1024,0) + Q1337*16 + IF(R1337="",7,R1337)*2 + IF(S1337&gt;0, 1, 0))),","),"")</f>
        <v/>
      </c>
    </row>
    <row r="1338" spans="2:25" x14ac:dyDescent="0.25">
      <c r="F1338" s="18">
        <f t="shared" si="120"/>
        <v>0</v>
      </c>
      <c r="G1338" s="1" t="str">
        <f t="shared" si="123"/>
        <v/>
      </c>
      <c r="M1338" s="18">
        <f t="shared" si="121"/>
        <v>0</v>
      </c>
      <c r="N1338" s="1" t="str">
        <f t="shared" si="124"/>
        <v/>
      </c>
      <c r="T1338" s="18">
        <f t="shared" si="122"/>
        <v>0</v>
      </c>
      <c r="U1338" s="1" t="str">
        <f t="shared" si="125"/>
        <v/>
      </c>
      <c r="W1338" s="21" t="str">
        <f>IF(C1338&gt;0,CONCATENATE("0x",(DEC2HEX(IF(B1338&lt;&gt;"",VLOOKUP(B1338,Notes!$A$2:$B$37,2,FALSE)*1024,0) + C1338*16 + IF(D1338="",7,D1338)*2 + IF(E1338&gt;0, 1, 0))),","),"")</f>
        <v/>
      </c>
      <c r="X1338" s="21" t="str">
        <f>IF(J1338&gt;0,CONCATENATE("0x",(DEC2HEX(IF(I1338&lt;&gt;"",VLOOKUP(I1338,Notes!$A$2:$B$37,2,FALSE)*1024,0) + J1338*16 + IF(K1338="",7,K1338)*2 + IF(L1338&gt;0, 1, 0))),","),"")</f>
        <v/>
      </c>
      <c r="Y1338" s="21" t="str">
        <f>IF(Q1338&gt;0,CONCATENATE("0x",(DEC2HEX(IF(P1338&lt;&gt;"",VLOOKUP(P1338,Notes!$A$2:$B$37,2,FALSE)*1024,0) + Q1338*16 + IF(R1338="",7,R1338)*2 + IF(S1338&gt;0, 1, 0))),","),"")</f>
        <v/>
      </c>
    </row>
    <row r="1339" spans="2:25" x14ac:dyDescent="0.25">
      <c r="F1339" s="18">
        <f t="shared" si="120"/>
        <v>0</v>
      </c>
      <c r="G1339" s="1" t="str">
        <f t="shared" si="123"/>
        <v/>
      </c>
      <c r="M1339" s="18">
        <f t="shared" si="121"/>
        <v>0</v>
      </c>
      <c r="N1339" s="1" t="str">
        <f t="shared" si="124"/>
        <v/>
      </c>
      <c r="T1339" s="18">
        <f t="shared" si="122"/>
        <v>0</v>
      </c>
      <c r="U1339" s="1" t="str">
        <f t="shared" si="125"/>
        <v/>
      </c>
      <c r="W1339" s="21" t="str">
        <f>IF(C1339&gt;0,CONCATENATE("0x",(DEC2HEX(IF(B1339&lt;&gt;"",VLOOKUP(B1339,Notes!$A$2:$B$37,2,FALSE)*1024,0) + C1339*16 + IF(D1339="",7,D1339)*2 + IF(E1339&gt;0, 1, 0))),","),"")</f>
        <v/>
      </c>
      <c r="X1339" s="21" t="str">
        <f>IF(J1339&gt;0,CONCATENATE("0x",(DEC2HEX(IF(I1339&lt;&gt;"",VLOOKUP(I1339,Notes!$A$2:$B$37,2,FALSE)*1024,0) + J1339*16 + IF(K1339="",7,K1339)*2 + IF(L1339&gt;0, 1, 0))),","),"")</f>
        <v/>
      </c>
      <c r="Y1339" s="21" t="str">
        <f>IF(Q1339&gt;0,CONCATENATE("0x",(DEC2HEX(IF(P1339&lt;&gt;"",VLOOKUP(P1339,Notes!$A$2:$B$37,2,FALSE)*1024,0) + Q1339*16 + IF(R1339="",7,R1339)*2 + IF(S1339&gt;0, 1, 0))),","),"")</f>
        <v/>
      </c>
    </row>
    <row r="1340" spans="2:25" x14ac:dyDescent="0.25">
      <c r="F1340" s="18">
        <f t="shared" si="120"/>
        <v>0</v>
      </c>
      <c r="G1340" s="1" t="str">
        <f t="shared" si="123"/>
        <v/>
      </c>
      <c r="M1340" s="18">
        <f t="shared" si="121"/>
        <v>0</v>
      </c>
      <c r="N1340" s="1" t="str">
        <f t="shared" si="124"/>
        <v/>
      </c>
      <c r="T1340" s="18">
        <f t="shared" si="122"/>
        <v>0</v>
      </c>
      <c r="U1340" s="1" t="str">
        <f t="shared" si="125"/>
        <v/>
      </c>
      <c r="W1340" s="21" t="str">
        <f>IF(C1340&gt;0,CONCATENATE("0x",(DEC2HEX(IF(B1340&lt;&gt;"",VLOOKUP(B1340,Notes!$A$2:$B$37,2,FALSE)*1024,0) + C1340*16 + IF(D1340="",7,D1340)*2 + IF(E1340&gt;0, 1, 0))),","),"")</f>
        <v/>
      </c>
      <c r="X1340" s="21" t="str">
        <f>IF(J1340&gt;0,CONCATENATE("0x",(DEC2HEX(IF(I1340&lt;&gt;"",VLOOKUP(I1340,Notes!$A$2:$B$37,2,FALSE)*1024,0) + J1340*16 + IF(K1340="",7,K1340)*2 + IF(L1340&gt;0, 1, 0))),","),"")</f>
        <v/>
      </c>
      <c r="Y1340" s="21" t="str">
        <f>IF(Q1340&gt;0,CONCATENATE("0x",(DEC2HEX(IF(P1340&lt;&gt;"",VLOOKUP(P1340,Notes!$A$2:$B$37,2,FALSE)*1024,0) + Q1340*16 + IF(R1340="",7,R1340)*2 + IF(S1340&gt;0, 1, 0))),","),"")</f>
        <v/>
      </c>
    </row>
    <row r="1341" spans="2:25" x14ac:dyDescent="0.25">
      <c r="F1341" s="18">
        <f t="shared" si="120"/>
        <v>0</v>
      </c>
      <c r="G1341" s="1" t="str">
        <f t="shared" si="123"/>
        <v/>
      </c>
      <c r="M1341" s="18">
        <f t="shared" si="121"/>
        <v>0</v>
      </c>
      <c r="N1341" s="1" t="str">
        <f t="shared" si="124"/>
        <v/>
      </c>
      <c r="T1341" s="18">
        <f t="shared" si="122"/>
        <v>0</v>
      </c>
      <c r="U1341" s="1" t="str">
        <f t="shared" si="125"/>
        <v/>
      </c>
      <c r="W1341" s="21" t="str">
        <f>IF(C1341&gt;0,CONCATENATE("0x",(DEC2HEX(IF(B1341&lt;&gt;"",VLOOKUP(B1341,Notes!$A$2:$B$37,2,FALSE)*1024,0) + C1341*16 + IF(D1341="",7,D1341)*2 + IF(E1341&gt;0, 1, 0))),","),"")</f>
        <v/>
      </c>
      <c r="X1341" s="21" t="str">
        <f>IF(J1341&gt;0,CONCATENATE("0x",(DEC2HEX(IF(I1341&lt;&gt;"",VLOOKUP(I1341,Notes!$A$2:$B$37,2,FALSE)*1024,0) + J1341*16 + IF(K1341="",7,K1341)*2 + IF(L1341&gt;0, 1, 0))),","),"")</f>
        <v/>
      </c>
      <c r="Y1341" s="21" t="str">
        <f>IF(Q1341&gt;0,CONCATENATE("0x",(DEC2HEX(IF(P1341&lt;&gt;"",VLOOKUP(P1341,Notes!$A$2:$B$37,2,FALSE)*1024,0) + Q1341*16 + IF(R1341="",7,R1341)*2 + IF(S1341&gt;0, 1, 0))),","),"")</f>
        <v/>
      </c>
    </row>
    <row r="1342" spans="2:25" x14ac:dyDescent="0.25">
      <c r="F1342" s="18">
        <f t="shared" si="120"/>
        <v>0</v>
      </c>
      <c r="G1342" s="1" t="str">
        <f t="shared" si="123"/>
        <v/>
      </c>
      <c r="M1342" s="18">
        <f t="shared" si="121"/>
        <v>0</v>
      </c>
      <c r="N1342" s="1" t="str">
        <f t="shared" si="124"/>
        <v/>
      </c>
      <c r="T1342" s="18">
        <f t="shared" si="122"/>
        <v>0</v>
      </c>
      <c r="U1342" s="1" t="str">
        <f t="shared" si="125"/>
        <v/>
      </c>
      <c r="W1342" s="21" t="str">
        <f>IF(C1342&gt;0,CONCATENATE("0x",(DEC2HEX(IF(B1342&lt;&gt;"",VLOOKUP(B1342,Notes!$A$2:$B$37,2,FALSE)*1024,0) + C1342*16 + IF(D1342="",7,D1342)*2 + IF(E1342&gt;0, 1, 0))),","),"")</f>
        <v/>
      </c>
      <c r="X1342" s="21" t="str">
        <f>IF(J1342&gt;0,CONCATENATE("0x",(DEC2HEX(IF(I1342&lt;&gt;"",VLOOKUP(I1342,Notes!$A$2:$B$37,2,FALSE)*1024,0) + J1342*16 + IF(K1342="",7,K1342)*2 + IF(L1342&gt;0, 1, 0))),","),"")</f>
        <v/>
      </c>
      <c r="Y1342" s="21" t="str">
        <f>IF(Q1342&gt;0,CONCATENATE("0x",(DEC2HEX(IF(P1342&lt;&gt;"",VLOOKUP(P1342,Notes!$A$2:$B$37,2,FALSE)*1024,0) + Q1342*16 + IF(R1342="",7,R1342)*2 + IF(S1342&gt;0, 1, 0))),","),"")</f>
        <v/>
      </c>
    </row>
    <row r="1343" spans="2:25" x14ac:dyDescent="0.25">
      <c r="F1343" s="18">
        <f t="shared" si="120"/>
        <v>0</v>
      </c>
      <c r="G1343" s="1" t="str">
        <f t="shared" si="123"/>
        <v/>
      </c>
      <c r="M1343" s="18">
        <f t="shared" si="121"/>
        <v>0</v>
      </c>
      <c r="N1343" s="1" t="str">
        <f t="shared" si="124"/>
        <v/>
      </c>
      <c r="T1343" s="18">
        <f t="shared" si="122"/>
        <v>0</v>
      </c>
      <c r="U1343" s="1" t="str">
        <f t="shared" si="125"/>
        <v/>
      </c>
      <c r="W1343" s="21" t="str">
        <f>IF(C1343&gt;0,CONCATENATE("0x",(DEC2HEX(IF(B1343&lt;&gt;"",VLOOKUP(B1343,Notes!$A$2:$B$37,2,FALSE)*1024,0) + C1343*16 + IF(D1343="",7,D1343)*2 + IF(E1343&gt;0, 1, 0))),","),"")</f>
        <v/>
      </c>
      <c r="X1343" s="21" t="str">
        <f>IF(J1343&gt;0,CONCATENATE("0x",(DEC2HEX(IF(I1343&lt;&gt;"",VLOOKUP(I1343,Notes!$A$2:$B$37,2,FALSE)*1024,0) + J1343*16 + IF(K1343="",7,K1343)*2 + IF(L1343&gt;0, 1, 0))),","),"")</f>
        <v/>
      </c>
      <c r="Y1343" s="21" t="str">
        <f>IF(Q1343&gt;0,CONCATENATE("0x",(DEC2HEX(IF(P1343&lt;&gt;"",VLOOKUP(P1343,Notes!$A$2:$B$37,2,FALSE)*1024,0) + Q1343*16 + IF(R1343="",7,R1343)*2 + IF(S1343&gt;0, 1, 0))),","),"")</f>
        <v/>
      </c>
    </row>
    <row r="1344" spans="2:25" x14ac:dyDescent="0.25">
      <c r="F1344" s="18">
        <f t="shared" si="120"/>
        <v>0</v>
      </c>
      <c r="G1344" s="1" t="str">
        <f t="shared" si="123"/>
        <v/>
      </c>
      <c r="M1344" s="18">
        <f t="shared" si="121"/>
        <v>0</v>
      </c>
      <c r="N1344" s="1" t="str">
        <f t="shared" si="124"/>
        <v/>
      </c>
      <c r="T1344" s="18">
        <f t="shared" si="122"/>
        <v>0</v>
      </c>
      <c r="U1344" s="1" t="str">
        <f t="shared" si="125"/>
        <v/>
      </c>
      <c r="W1344" s="21" t="str">
        <f>IF(C1344&gt;0,CONCATENATE("0x",(DEC2HEX(IF(B1344&lt;&gt;"",VLOOKUP(B1344,Notes!$A$2:$B$37,2,FALSE)*1024,0) + C1344*16 + IF(D1344="",7,D1344)*2 + IF(E1344&gt;0, 1, 0))),","),"")</f>
        <v/>
      </c>
      <c r="X1344" s="21" t="str">
        <f>IF(J1344&gt;0,CONCATENATE("0x",(DEC2HEX(IF(I1344&lt;&gt;"",VLOOKUP(I1344,Notes!$A$2:$B$37,2,FALSE)*1024,0) + J1344*16 + IF(K1344="",7,K1344)*2 + IF(L1344&gt;0, 1, 0))),","),"")</f>
        <v/>
      </c>
      <c r="Y1344" s="21" t="str">
        <f>IF(Q1344&gt;0,CONCATENATE("0x",(DEC2HEX(IF(P1344&lt;&gt;"",VLOOKUP(P1344,Notes!$A$2:$B$37,2,FALSE)*1024,0) + Q1344*16 + IF(R1344="",7,R1344)*2 + IF(S1344&gt;0, 1, 0))),","),"")</f>
        <v/>
      </c>
    </row>
    <row r="1345" spans="1:25" ht="16.5" thickBot="1" x14ac:dyDescent="0.3">
      <c r="B1345" s="15"/>
      <c r="C1345" s="16"/>
      <c r="D1345" s="16"/>
      <c r="E1345" s="17"/>
      <c r="F1345" s="18">
        <f t="shared" si="120"/>
        <v>0</v>
      </c>
      <c r="G1345" s="1" t="str">
        <f t="shared" si="123"/>
        <v/>
      </c>
      <c r="I1345" s="15"/>
      <c r="J1345" s="16"/>
      <c r="K1345" s="16"/>
      <c r="L1345" s="17"/>
      <c r="M1345" s="18">
        <f t="shared" si="121"/>
        <v>0</v>
      </c>
      <c r="N1345" s="1" t="str">
        <f t="shared" si="124"/>
        <v/>
      </c>
      <c r="P1345" s="15"/>
      <c r="Q1345" s="16"/>
      <c r="R1345" s="16"/>
      <c r="S1345" s="17"/>
      <c r="T1345" s="18">
        <f t="shared" si="122"/>
        <v>0</v>
      </c>
      <c r="U1345" s="1" t="str">
        <f t="shared" si="125"/>
        <v/>
      </c>
      <c r="W1345" s="21" t="str">
        <f>IF(C1345&gt;0,CONCATENATE("0x",(DEC2HEX(IF(B1345&lt;&gt;"",VLOOKUP(B1345,Notes!$A$2:$B$37,2,FALSE)*1024,0) + C1345*16 + IF(D1345="",7,D1345)*2 + IF(E1345&gt;0, 1, 0))),","),"")</f>
        <v/>
      </c>
      <c r="X1345" s="21" t="str">
        <f>IF(J1345&gt;0,CONCATENATE("0x",(DEC2HEX(IF(I1345&lt;&gt;"",VLOOKUP(I1345,Notes!$A$2:$B$37,2,FALSE)*1024,0) + J1345*16 + IF(K1345="",7,K1345)*2 + IF(L1345&gt;0, 1, 0))),","),"")</f>
        <v/>
      </c>
      <c r="Y1345" s="21" t="str">
        <f>IF(Q1345&gt;0,CONCATENATE("0x",(DEC2HEX(IF(P1345&lt;&gt;"",VLOOKUP(P1345,Notes!$A$2:$B$37,2,FALSE)*1024,0) + Q1345*16 + IF(R1345="",7,R1345)*2 + IF(S1345&gt;0, 1, 0))),","),"")</f>
        <v/>
      </c>
    </row>
    <row r="1346" spans="1:25" ht="16.5" thickTop="1" x14ac:dyDescent="0.25">
      <c r="A1346" s="1">
        <v>43</v>
      </c>
      <c r="F1346" s="18">
        <f t="shared" si="120"/>
        <v>0</v>
      </c>
      <c r="G1346" s="1" t="str">
        <f t="shared" si="123"/>
        <v/>
      </c>
      <c r="M1346" s="18">
        <f t="shared" si="121"/>
        <v>0</v>
      </c>
      <c r="N1346" s="1" t="str">
        <f t="shared" si="124"/>
        <v/>
      </c>
      <c r="T1346" s="18">
        <f t="shared" si="122"/>
        <v>0</v>
      </c>
      <c r="U1346" s="1" t="str">
        <f t="shared" si="125"/>
        <v/>
      </c>
      <c r="W1346" s="21" t="str">
        <f>IF(C1346&gt;0,CONCATENATE("0x",(DEC2HEX(IF(B1346&lt;&gt;"",VLOOKUP(B1346,Notes!$A$2:$B$37,2,FALSE)*1024,0) + C1346*16 + IF(D1346="",7,D1346)*2 + IF(E1346&gt;0, 1, 0))),","),"")</f>
        <v/>
      </c>
      <c r="X1346" s="21" t="str">
        <f>IF(J1346&gt;0,CONCATENATE("0x",(DEC2HEX(IF(I1346&lt;&gt;"",VLOOKUP(I1346,Notes!$A$2:$B$37,2,FALSE)*1024,0) + J1346*16 + IF(K1346="",7,K1346)*2 + IF(L1346&gt;0, 1, 0))),","),"")</f>
        <v/>
      </c>
      <c r="Y1346" s="21" t="str">
        <f>IF(Q1346&gt;0,CONCATENATE("0x",(DEC2HEX(IF(P1346&lt;&gt;"",VLOOKUP(P1346,Notes!$A$2:$B$37,2,FALSE)*1024,0) + Q1346*16 + IF(R1346="",7,R1346)*2 + IF(S1346&gt;0, 1, 0))),","),"")</f>
        <v/>
      </c>
    </row>
    <row r="1347" spans="1:25" x14ac:dyDescent="0.25">
      <c r="F1347" s="18">
        <f t="shared" ref="F1347:F1377" si="126">IF(C1347&gt;0, C1347, MAX(F1346-1,0))</f>
        <v>0</v>
      </c>
      <c r="G1347" s="1" t="str">
        <f t="shared" si="123"/>
        <v/>
      </c>
      <c r="M1347" s="18">
        <f t="shared" ref="M1347:M1377" si="127">IF(J1347&gt;0, J1347, MAX(M1346-1,0))</f>
        <v>0</v>
      </c>
      <c r="N1347" s="1" t="str">
        <f t="shared" si="124"/>
        <v/>
      </c>
      <c r="T1347" s="18">
        <f t="shared" ref="T1347:T1377" si="128">IF(Q1347&gt;0, Q1347, MAX(T1346-1,0))</f>
        <v>0</v>
      </c>
      <c r="U1347" s="1" t="str">
        <f t="shared" si="125"/>
        <v/>
      </c>
      <c r="W1347" s="21" t="str">
        <f>IF(C1347&gt;0,CONCATENATE("0x",(DEC2HEX(IF(B1347&lt;&gt;"",VLOOKUP(B1347,Notes!$A$2:$B$37,2,FALSE)*1024,0) + C1347*16 + IF(D1347="",7,D1347)*2 + IF(E1347&gt;0, 1, 0))),","),"")</f>
        <v/>
      </c>
      <c r="X1347" s="21" t="str">
        <f>IF(J1347&gt;0,CONCATENATE("0x",(DEC2HEX(IF(I1347&lt;&gt;"",VLOOKUP(I1347,Notes!$A$2:$B$37,2,FALSE)*1024,0) + J1347*16 + IF(K1347="",7,K1347)*2 + IF(L1347&gt;0, 1, 0))),","),"")</f>
        <v/>
      </c>
      <c r="Y1347" s="21" t="str">
        <f>IF(Q1347&gt;0,CONCATENATE("0x",(DEC2HEX(IF(P1347&lt;&gt;"",VLOOKUP(P1347,Notes!$A$2:$B$37,2,FALSE)*1024,0) + Q1347*16 + IF(R1347="",7,R1347)*2 + IF(S1347&gt;0, 1, 0))),","),"")</f>
        <v/>
      </c>
    </row>
    <row r="1348" spans="1:25" x14ac:dyDescent="0.25">
      <c r="F1348" s="18">
        <f t="shared" si="126"/>
        <v>0</v>
      </c>
      <c r="G1348" s="1" t="str">
        <f t="shared" ref="G1348:G1377" si="129">IF(AND(F1347&gt;1,C1348&gt;0), "OVERLAPPING","")</f>
        <v/>
      </c>
      <c r="M1348" s="18">
        <f t="shared" si="127"/>
        <v>0</v>
      </c>
      <c r="N1348" s="1" t="str">
        <f t="shared" ref="N1348:N1377" si="130">IF(AND(M1347&gt;1,J1348&gt;0), "OVERLAPPING","")</f>
        <v/>
      </c>
      <c r="T1348" s="18">
        <f t="shared" si="128"/>
        <v>0</v>
      </c>
      <c r="U1348" s="1" t="str">
        <f t="shared" ref="U1348:U1377" si="131">IF(AND(T1347&gt;1,Q1348&gt;0), "OVERLAPPING","")</f>
        <v/>
      </c>
      <c r="W1348" s="21" t="str">
        <f>IF(C1348&gt;0,CONCATENATE("0x",(DEC2HEX(IF(B1348&lt;&gt;"",VLOOKUP(B1348,Notes!$A$2:$B$37,2,FALSE)*1024,0) + C1348*16 + IF(D1348="",7,D1348)*2 + IF(E1348&gt;0, 1, 0))),","),"")</f>
        <v/>
      </c>
      <c r="X1348" s="21" t="str">
        <f>IF(J1348&gt;0,CONCATENATE("0x",(DEC2HEX(IF(I1348&lt;&gt;"",VLOOKUP(I1348,Notes!$A$2:$B$37,2,FALSE)*1024,0) + J1348*16 + IF(K1348="",7,K1348)*2 + IF(L1348&gt;0, 1, 0))),","),"")</f>
        <v/>
      </c>
      <c r="Y1348" s="21" t="str">
        <f>IF(Q1348&gt;0,CONCATENATE("0x",(DEC2HEX(IF(P1348&lt;&gt;"",VLOOKUP(P1348,Notes!$A$2:$B$37,2,FALSE)*1024,0) + Q1348*16 + IF(R1348="",7,R1348)*2 + IF(S1348&gt;0, 1, 0))),","),"")</f>
        <v/>
      </c>
    </row>
    <row r="1349" spans="1:25" x14ac:dyDescent="0.25">
      <c r="F1349" s="18">
        <f t="shared" si="126"/>
        <v>0</v>
      </c>
      <c r="G1349" s="1" t="str">
        <f t="shared" si="129"/>
        <v/>
      </c>
      <c r="M1349" s="18">
        <f t="shared" si="127"/>
        <v>0</v>
      </c>
      <c r="N1349" s="1" t="str">
        <f t="shared" si="130"/>
        <v/>
      </c>
      <c r="T1349" s="18">
        <f t="shared" si="128"/>
        <v>0</v>
      </c>
      <c r="U1349" s="1" t="str">
        <f t="shared" si="131"/>
        <v/>
      </c>
      <c r="W1349" s="21" t="str">
        <f>IF(C1349&gt;0,CONCATENATE("0x",(DEC2HEX(IF(B1349&lt;&gt;"",VLOOKUP(B1349,Notes!$A$2:$B$37,2,FALSE)*1024,0) + C1349*16 + IF(D1349="",7,D1349)*2 + IF(E1349&gt;0, 1, 0))),","),"")</f>
        <v/>
      </c>
      <c r="X1349" s="21" t="str">
        <f>IF(J1349&gt;0,CONCATENATE("0x",(DEC2HEX(IF(I1349&lt;&gt;"",VLOOKUP(I1349,Notes!$A$2:$B$37,2,FALSE)*1024,0) + J1349*16 + IF(K1349="",7,K1349)*2 + IF(L1349&gt;0, 1, 0))),","),"")</f>
        <v/>
      </c>
      <c r="Y1349" s="21" t="str">
        <f>IF(Q1349&gt;0,CONCATENATE("0x",(DEC2HEX(IF(P1349&lt;&gt;"",VLOOKUP(P1349,Notes!$A$2:$B$37,2,FALSE)*1024,0) + Q1349*16 + IF(R1349="",7,R1349)*2 + IF(S1349&gt;0, 1, 0))),","),"")</f>
        <v/>
      </c>
    </row>
    <row r="1350" spans="1:25" x14ac:dyDescent="0.25">
      <c r="F1350" s="18">
        <f t="shared" si="126"/>
        <v>0</v>
      </c>
      <c r="G1350" s="1" t="str">
        <f t="shared" si="129"/>
        <v/>
      </c>
      <c r="M1350" s="18">
        <f t="shared" si="127"/>
        <v>0</v>
      </c>
      <c r="N1350" s="1" t="str">
        <f t="shared" si="130"/>
        <v/>
      </c>
      <c r="T1350" s="18">
        <f t="shared" si="128"/>
        <v>0</v>
      </c>
      <c r="U1350" s="1" t="str">
        <f t="shared" si="131"/>
        <v/>
      </c>
      <c r="W1350" s="21" t="str">
        <f>IF(C1350&gt;0,CONCATENATE("0x",(DEC2HEX(IF(B1350&lt;&gt;"",VLOOKUP(B1350,Notes!$A$2:$B$37,2,FALSE)*1024,0) + C1350*16 + IF(D1350="",7,D1350)*2 + IF(E1350&gt;0, 1, 0))),","),"")</f>
        <v/>
      </c>
      <c r="X1350" s="21" t="str">
        <f>IF(J1350&gt;0,CONCATENATE("0x",(DEC2HEX(IF(I1350&lt;&gt;"",VLOOKUP(I1350,Notes!$A$2:$B$37,2,FALSE)*1024,0) + J1350*16 + IF(K1350="",7,K1350)*2 + IF(L1350&gt;0, 1, 0))),","),"")</f>
        <v/>
      </c>
      <c r="Y1350" s="21" t="str">
        <f>IF(Q1350&gt;0,CONCATENATE("0x",(DEC2HEX(IF(P1350&lt;&gt;"",VLOOKUP(P1350,Notes!$A$2:$B$37,2,FALSE)*1024,0) + Q1350*16 + IF(R1350="",7,R1350)*2 + IF(S1350&gt;0, 1, 0))),","),"")</f>
        <v/>
      </c>
    </row>
    <row r="1351" spans="1:25" x14ac:dyDescent="0.25">
      <c r="F1351" s="18">
        <f t="shared" si="126"/>
        <v>0</v>
      </c>
      <c r="G1351" s="1" t="str">
        <f t="shared" si="129"/>
        <v/>
      </c>
      <c r="M1351" s="18">
        <f t="shared" si="127"/>
        <v>0</v>
      </c>
      <c r="N1351" s="1" t="str">
        <f t="shared" si="130"/>
        <v/>
      </c>
      <c r="T1351" s="18">
        <f t="shared" si="128"/>
        <v>0</v>
      </c>
      <c r="U1351" s="1" t="str">
        <f t="shared" si="131"/>
        <v/>
      </c>
      <c r="W1351" s="21" t="str">
        <f>IF(C1351&gt;0,CONCATENATE("0x",(DEC2HEX(IF(B1351&lt;&gt;"",VLOOKUP(B1351,Notes!$A$2:$B$37,2,FALSE)*1024,0) + C1351*16 + IF(D1351="",7,D1351)*2 + IF(E1351&gt;0, 1, 0))),","),"")</f>
        <v/>
      </c>
      <c r="X1351" s="21" t="str">
        <f>IF(J1351&gt;0,CONCATENATE("0x",(DEC2HEX(IF(I1351&lt;&gt;"",VLOOKUP(I1351,Notes!$A$2:$B$37,2,FALSE)*1024,0) + J1351*16 + IF(K1351="",7,K1351)*2 + IF(L1351&gt;0, 1, 0))),","),"")</f>
        <v/>
      </c>
      <c r="Y1351" s="21" t="str">
        <f>IF(Q1351&gt;0,CONCATENATE("0x",(DEC2HEX(IF(P1351&lt;&gt;"",VLOOKUP(P1351,Notes!$A$2:$B$37,2,FALSE)*1024,0) + Q1351*16 + IF(R1351="",7,R1351)*2 + IF(S1351&gt;0, 1, 0))),","),"")</f>
        <v/>
      </c>
    </row>
    <row r="1352" spans="1:25" x14ac:dyDescent="0.25">
      <c r="F1352" s="18">
        <f t="shared" si="126"/>
        <v>0</v>
      </c>
      <c r="G1352" s="1" t="str">
        <f t="shared" si="129"/>
        <v/>
      </c>
      <c r="M1352" s="18">
        <f t="shared" si="127"/>
        <v>0</v>
      </c>
      <c r="N1352" s="1" t="str">
        <f t="shared" si="130"/>
        <v/>
      </c>
      <c r="T1352" s="18">
        <f t="shared" si="128"/>
        <v>0</v>
      </c>
      <c r="U1352" s="1" t="str">
        <f t="shared" si="131"/>
        <v/>
      </c>
      <c r="W1352" s="21" t="str">
        <f>IF(C1352&gt;0,CONCATENATE("0x",(DEC2HEX(IF(B1352&lt;&gt;"",VLOOKUP(B1352,Notes!$A$2:$B$37,2,FALSE)*1024,0) + C1352*16 + IF(D1352="",7,D1352)*2 + IF(E1352&gt;0, 1, 0))),","),"")</f>
        <v/>
      </c>
      <c r="X1352" s="21" t="str">
        <f>IF(J1352&gt;0,CONCATENATE("0x",(DEC2HEX(IF(I1352&lt;&gt;"",VLOOKUP(I1352,Notes!$A$2:$B$37,2,FALSE)*1024,0) + J1352*16 + IF(K1352="",7,K1352)*2 + IF(L1352&gt;0, 1, 0))),","),"")</f>
        <v/>
      </c>
      <c r="Y1352" s="21" t="str">
        <f>IF(Q1352&gt;0,CONCATENATE("0x",(DEC2HEX(IF(P1352&lt;&gt;"",VLOOKUP(P1352,Notes!$A$2:$B$37,2,FALSE)*1024,0) + Q1352*16 + IF(R1352="",7,R1352)*2 + IF(S1352&gt;0, 1, 0))),","),"")</f>
        <v/>
      </c>
    </row>
    <row r="1353" spans="1:25" x14ac:dyDescent="0.25">
      <c r="B1353" s="12"/>
      <c r="C1353" s="13"/>
      <c r="D1353" s="13"/>
      <c r="E1353" s="14"/>
      <c r="F1353" s="18">
        <f t="shared" si="126"/>
        <v>0</v>
      </c>
      <c r="G1353" s="1" t="str">
        <f t="shared" si="129"/>
        <v/>
      </c>
      <c r="I1353" s="12"/>
      <c r="J1353" s="13"/>
      <c r="K1353" s="13"/>
      <c r="L1353" s="14"/>
      <c r="M1353" s="18">
        <f t="shared" si="127"/>
        <v>0</v>
      </c>
      <c r="N1353" s="1" t="str">
        <f t="shared" si="130"/>
        <v/>
      </c>
      <c r="P1353" s="12"/>
      <c r="Q1353" s="13"/>
      <c r="R1353" s="13"/>
      <c r="S1353" s="14"/>
      <c r="T1353" s="18">
        <f t="shared" si="128"/>
        <v>0</v>
      </c>
      <c r="U1353" s="1" t="str">
        <f t="shared" si="131"/>
        <v/>
      </c>
      <c r="W1353" s="21" t="str">
        <f>IF(C1353&gt;0,CONCATENATE("0x",(DEC2HEX(IF(B1353&lt;&gt;"",VLOOKUP(B1353,Notes!$A$2:$B$37,2,FALSE)*1024,0) + C1353*16 + IF(D1353="",7,D1353)*2 + IF(E1353&gt;0, 1, 0))),","),"")</f>
        <v/>
      </c>
      <c r="X1353" s="21" t="str">
        <f>IF(J1353&gt;0,CONCATENATE("0x",(DEC2HEX(IF(I1353&lt;&gt;"",VLOOKUP(I1353,Notes!$A$2:$B$37,2,FALSE)*1024,0) + J1353*16 + IF(K1353="",7,K1353)*2 + IF(L1353&gt;0, 1, 0))),","),"")</f>
        <v/>
      </c>
      <c r="Y1353" s="21" t="str">
        <f>IF(Q1353&gt;0,CONCATENATE("0x",(DEC2HEX(IF(P1353&lt;&gt;"",VLOOKUP(P1353,Notes!$A$2:$B$37,2,FALSE)*1024,0) + Q1353*16 + IF(R1353="",7,R1353)*2 + IF(S1353&gt;0, 1, 0))),","),"")</f>
        <v/>
      </c>
    </row>
    <row r="1354" spans="1:25" x14ac:dyDescent="0.25">
      <c r="F1354" s="18">
        <f t="shared" si="126"/>
        <v>0</v>
      </c>
      <c r="G1354" s="1" t="str">
        <f t="shared" si="129"/>
        <v/>
      </c>
      <c r="M1354" s="18">
        <f t="shared" si="127"/>
        <v>0</v>
      </c>
      <c r="N1354" s="1" t="str">
        <f t="shared" si="130"/>
        <v/>
      </c>
      <c r="T1354" s="18">
        <f t="shared" si="128"/>
        <v>0</v>
      </c>
      <c r="U1354" s="1" t="str">
        <f t="shared" si="131"/>
        <v/>
      </c>
      <c r="W1354" s="21" t="str">
        <f>IF(C1354&gt;0,CONCATENATE("0x",(DEC2HEX(IF(B1354&lt;&gt;"",VLOOKUP(B1354,Notes!$A$2:$B$37,2,FALSE)*1024,0) + C1354*16 + IF(D1354="",7,D1354)*2 + IF(E1354&gt;0, 1, 0))),","),"")</f>
        <v/>
      </c>
      <c r="X1354" s="21" t="str">
        <f>IF(J1354&gt;0,CONCATENATE("0x",(DEC2HEX(IF(I1354&lt;&gt;"",VLOOKUP(I1354,Notes!$A$2:$B$37,2,FALSE)*1024,0) + J1354*16 + IF(K1354="",7,K1354)*2 + IF(L1354&gt;0, 1, 0))),","),"")</f>
        <v/>
      </c>
      <c r="Y1354" s="21" t="str">
        <f>IF(Q1354&gt;0,CONCATENATE("0x",(DEC2HEX(IF(P1354&lt;&gt;"",VLOOKUP(P1354,Notes!$A$2:$B$37,2,FALSE)*1024,0) + Q1354*16 + IF(R1354="",7,R1354)*2 + IF(S1354&gt;0, 1, 0))),","),"")</f>
        <v/>
      </c>
    </row>
    <row r="1355" spans="1:25" x14ac:dyDescent="0.25">
      <c r="F1355" s="18">
        <f t="shared" si="126"/>
        <v>0</v>
      </c>
      <c r="G1355" s="1" t="str">
        <f t="shared" si="129"/>
        <v/>
      </c>
      <c r="M1355" s="18">
        <f t="shared" si="127"/>
        <v>0</v>
      </c>
      <c r="N1355" s="1" t="str">
        <f t="shared" si="130"/>
        <v/>
      </c>
      <c r="T1355" s="18">
        <f t="shared" si="128"/>
        <v>0</v>
      </c>
      <c r="U1355" s="1" t="str">
        <f t="shared" si="131"/>
        <v/>
      </c>
      <c r="W1355" s="21" t="str">
        <f>IF(C1355&gt;0,CONCATENATE("0x",(DEC2HEX(IF(B1355&lt;&gt;"",VLOOKUP(B1355,Notes!$A$2:$B$37,2,FALSE)*1024,0) + C1355*16 + IF(D1355="",7,D1355)*2 + IF(E1355&gt;0, 1, 0))),","),"")</f>
        <v/>
      </c>
      <c r="X1355" s="21" t="str">
        <f>IF(J1355&gt;0,CONCATENATE("0x",(DEC2HEX(IF(I1355&lt;&gt;"",VLOOKUP(I1355,Notes!$A$2:$B$37,2,FALSE)*1024,0) + J1355*16 + IF(K1355="",7,K1355)*2 + IF(L1355&gt;0, 1, 0))),","),"")</f>
        <v/>
      </c>
      <c r="Y1355" s="21" t="str">
        <f>IF(Q1355&gt;0,CONCATENATE("0x",(DEC2HEX(IF(P1355&lt;&gt;"",VLOOKUP(P1355,Notes!$A$2:$B$37,2,FALSE)*1024,0) + Q1355*16 + IF(R1355="",7,R1355)*2 + IF(S1355&gt;0, 1, 0))),","),"")</f>
        <v/>
      </c>
    </row>
    <row r="1356" spans="1:25" x14ac:dyDescent="0.25">
      <c r="F1356" s="18">
        <f t="shared" si="126"/>
        <v>0</v>
      </c>
      <c r="G1356" s="1" t="str">
        <f t="shared" si="129"/>
        <v/>
      </c>
      <c r="M1356" s="18">
        <f t="shared" si="127"/>
        <v>0</v>
      </c>
      <c r="N1356" s="1" t="str">
        <f t="shared" si="130"/>
        <v/>
      </c>
      <c r="T1356" s="18">
        <f t="shared" si="128"/>
        <v>0</v>
      </c>
      <c r="U1356" s="1" t="str">
        <f t="shared" si="131"/>
        <v/>
      </c>
      <c r="W1356" s="21" t="str">
        <f>IF(C1356&gt;0,CONCATENATE("0x",(DEC2HEX(IF(B1356&lt;&gt;"",VLOOKUP(B1356,Notes!$A$2:$B$37,2,FALSE)*1024,0) + C1356*16 + IF(D1356="",7,D1356)*2 + IF(E1356&gt;0, 1, 0))),","),"")</f>
        <v/>
      </c>
      <c r="X1356" s="21" t="str">
        <f>IF(J1356&gt;0,CONCATENATE("0x",(DEC2HEX(IF(I1356&lt;&gt;"",VLOOKUP(I1356,Notes!$A$2:$B$37,2,FALSE)*1024,0) + J1356*16 + IF(K1356="",7,K1356)*2 + IF(L1356&gt;0, 1, 0))),","),"")</f>
        <v/>
      </c>
      <c r="Y1356" s="21" t="str">
        <f>IF(Q1356&gt;0,CONCATENATE("0x",(DEC2HEX(IF(P1356&lt;&gt;"",VLOOKUP(P1356,Notes!$A$2:$B$37,2,FALSE)*1024,0) + Q1356*16 + IF(R1356="",7,R1356)*2 + IF(S1356&gt;0, 1, 0))),","),"")</f>
        <v/>
      </c>
    </row>
    <row r="1357" spans="1:25" x14ac:dyDescent="0.25">
      <c r="F1357" s="18">
        <f t="shared" si="126"/>
        <v>0</v>
      </c>
      <c r="G1357" s="1" t="str">
        <f t="shared" si="129"/>
        <v/>
      </c>
      <c r="M1357" s="18">
        <f t="shared" si="127"/>
        <v>0</v>
      </c>
      <c r="N1357" s="1" t="str">
        <f t="shared" si="130"/>
        <v/>
      </c>
      <c r="T1357" s="18">
        <f t="shared" si="128"/>
        <v>0</v>
      </c>
      <c r="U1357" s="1" t="str">
        <f t="shared" si="131"/>
        <v/>
      </c>
      <c r="W1357" s="21" t="str">
        <f>IF(C1357&gt;0,CONCATENATE("0x",(DEC2HEX(IF(B1357&lt;&gt;"",VLOOKUP(B1357,Notes!$A$2:$B$37,2,FALSE)*1024,0) + C1357*16 + IF(D1357="",7,D1357)*2 + IF(E1357&gt;0, 1, 0))),","),"")</f>
        <v/>
      </c>
      <c r="X1357" s="21" t="str">
        <f>IF(J1357&gt;0,CONCATENATE("0x",(DEC2HEX(IF(I1357&lt;&gt;"",VLOOKUP(I1357,Notes!$A$2:$B$37,2,FALSE)*1024,0) + J1357*16 + IF(K1357="",7,K1357)*2 + IF(L1357&gt;0, 1, 0))),","),"")</f>
        <v/>
      </c>
      <c r="Y1357" s="21" t="str">
        <f>IF(Q1357&gt;0,CONCATENATE("0x",(DEC2HEX(IF(P1357&lt;&gt;"",VLOOKUP(P1357,Notes!$A$2:$B$37,2,FALSE)*1024,0) + Q1357*16 + IF(R1357="",7,R1357)*2 + IF(S1357&gt;0, 1, 0))),","),"")</f>
        <v/>
      </c>
    </row>
    <row r="1358" spans="1:25" x14ac:dyDescent="0.25">
      <c r="F1358" s="18">
        <f t="shared" si="126"/>
        <v>0</v>
      </c>
      <c r="G1358" s="1" t="str">
        <f t="shared" si="129"/>
        <v/>
      </c>
      <c r="M1358" s="18">
        <f t="shared" si="127"/>
        <v>0</v>
      </c>
      <c r="N1358" s="1" t="str">
        <f t="shared" si="130"/>
        <v/>
      </c>
      <c r="T1358" s="18">
        <f t="shared" si="128"/>
        <v>0</v>
      </c>
      <c r="U1358" s="1" t="str">
        <f t="shared" si="131"/>
        <v/>
      </c>
      <c r="W1358" s="21" t="str">
        <f>IF(C1358&gt;0,CONCATENATE("0x",(DEC2HEX(IF(B1358&lt;&gt;"",VLOOKUP(B1358,Notes!$A$2:$B$37,2,FALSE)*1024,0) + C1358*16 + IF(D1358="",7,D1358)*2 + IF(E1358&gt;0, 1, 0))),","),"")</f>
        <v/>
      </c>
      <c r="X1358" s="21" t="str">
        <f>IF(J1358&gt;0,CONCATENATE("0x",(DEC2HEX(IF(I1358&lt;&gt;"",VLOOKUP(I1358,Notes!$A$2:$B$37,2,FALSE)*1024,0) + J1358*16 + IF(K1358="",7,K1358)*2 + IF(L1358&gt;0, 1, 0))),","),"")</f>
        <v/>
      </c>
      <c r="Y1358" s="21" t="str">
        <f>IF(Q1358&gt;0,CONCATENATE("0x",(DEC2HEX(IF(P1358&lt;&gt;"",VLOOKUP(P1358,Notes!$A$2:$B$37,2,FALSE)*1024,0) + Q1358*16 + IF(R1358="",7,R1358)*2 + IF(S1358&gt;0, 1, 0))),","),"")</f>
        <v/>
      </c>
    </row>
    <row r="1359" spans="1:25" x14ac:dyDescent="0.25">
      <c r="F1359" s="18">
        <f t="shared" si="126"/>
        <v>0</v>
      </c>
      <c r="G1359" s="1" t="str">
        <f t="shared" si="129"/>
        <v/>
      </c>
      <c r="M1359" s="18">
        <f t="shared" si="127"/>
        <v>0</v>
      </c>
      <c r="N1359" s="1" t="str">
        <f t="shared" si="130"/>
        <v/>
      </c>
      <c r="T1359" s="18">
        <f t="shared" si="128"/>
        <v>0</v>
      </c>
      <c r="U1359" s="1" t="str">
        <f t="shared" si="131"/>
        <v/>
      </c>
      <c r="W1359" s="21" t="str">
        <f>IF(C1359&gt;0,CONCATENATE("0x",(DEC2HEX(IF(B1359&lt;&gt;"",VLOOKUP(B1359,Notes!$A$2:$B$37,2,FALSE)*1024,0) + C1359*16 + IF(D1359="",7,D1359)*2 + IF(E1359&gt;0, 1, 0))),","),"")</f>
        <v/>
      </c>
      <c r="X1359" s="21" t="str">
        <f>IF(J1359&gt;0,CONCATENATE("0x",(DEC2HEX(IF(I1359&lt;&gt;"",VLOOKUP(I1359,Notes!$A$2:$B$37,2,FALSE)*1024,0) + J1359*16 + IF(K1359="",7,K1359)*2 + IF(L1359&gt;0, 1, 0))),","),"")</f>
        <v/>
      </c>
      <c r="Y1359" s="21" t="str">
        <f>IF(Q1359&gt;0,CONCATENATE("0x",(DEC2HEX(IF(P1359&lt;&gt;"",VLOOKUP(P1359,Notes!$A$2:$B$37,2,FALSE)*1024,0) + Q1359*16 + IF(R1359="",7,R1359)*2 + IF(S1359&gt;0, 1, 0))),","),"")</f>
        <v/>
      </c>
    </row>
    <row r="1360" spans="1:25" x14ac:dyDescent="0.25">
      <c r="F1360" s="18">
        <f t="shared" si="126"/>
        <v>0</v>
      </c>
      <c r="G1360" s="1" t="str">
        <f t="shared" si="129"/>
        <v/>
      </c>
      <c r="M1360" s="18">
        <f t="shared" si="127"/>
        <v>0</v>
      </c>
      <c r="N1360" s="1" t="str">
        <f t="shared" si="130"/>
        <v/>
      </c>
      <c r="T1360" s="18">
        <f t="shared" si="128"/>
        <v>0</v>
      </c>
      <c r="U1360" s="1" t="str">
        <f t="shared" si="131"/>
        <v/>
      </c>
      <c r="W1360" s="21" t="str">
        <f>IF(C1360&gt;0,CONCATENATE("0x",(DEC2HEX(IF(B1360&lt;&gt;"",VLOOKUP(B1360,Notes!$A$2:$B$37,2,FALSE)*1024,0) + C1360*16 + IF(D1360="",7,D1360)*2 + IF(E1360&gt;0, 1, 0))),","),"")</f>
        <v/>
      </c>
      <c r="X1360" s="21" t="str">
        <f>IF(J1360&gt;0,CONCATENATE("0x",(DEC2HEX(IF(I1360&lt;&gt;"",VLOOKUP(I1360,Notes!$A$2:$B$37,2,FALSE)*1024,0) + J1360*16 + IF(K1360="",7,K1360)*2 + IF(L1360&gt;0, 1, 0))),","),"")</f>
        <v/>
      </c>
      <c r="Y1360" s="21" t="str">
        <f>IF(Q1360&gt;0,CONCATENATE("0x",(DEC2HEX(IF(P1360&lt;&gt;"",VLOOKUP(P1360,Notes!$A$2:$B$37,2,FALSE)*1024,0) + Q1360*16 + IF(R1360="",7,R1360)*2 + IF(S1360&gt;0, 1, 0))),","),"")</f>
        <v/>
      </c>
    </row>
    <row r="1361" spans="2:25" x14ac:dyDescent="0.25">
      <c r="B1361" s="12"/>
      <c r="C1361" s="13"/>
      <c r="D1361" s="13"/>
      <c r="E1361" s="14"/>
      <c r="F1361" s="18">
        <f t="shared" si="126"/>
        <v>0</v>
      </c>
      <c r="G1361" s="1" t="str">
        <f t="shared" si="129"/>
        <v/>
      </c>
      <c r="I1361" s="12"/>
      <c r="J1361" s="13"/>
      <c r="K1361" s="13"/>
      <c r="L1361" s="14"/>
      <c r="M1361" s="18">
        <f t="shared" si="127"/>
        <v>0</v>
      </c>
      <c r="N1361" s="1" t="str">
        <f t="shared" si="130"/>
        <v/>
      </c>
      <c r="P1361" s="12"/>
      <c r="Q1361" s="13"/>
      <c r="R1361" s="13"/>
      <c r="S1361" s="14"/>
      <c r="T1361" s="18">
        <f t="shared" si="128"/>
        <v>0</v>
      </c>
      <c r="U1361" s="1" t="str">
        <f t="shared" si="131"/>
        <v/>
      </c>
      <c r="W1361" s="21" t="str">
        <f>IF(C1361&gt;0,CONCATENATE("0x",(DEC2HEX(IF(B1361&lt;&gt;"",VLOOKUP(B1361,Notes!$A$2:$B$37,2,FALSE)*1024,0) + C1361*16 + IF(D1361="",7,D1361)*2 + IF(E1361&gt;0, 1, 0))),","),"")</f>
        <v/>
      </c>
      <c r="X1361" s="21" t="str">
        <f>IF(J1361&gt;0,CONCATENATE("0x",(DEC2HEX(IF(I1361&lt;&gt;"",VLOOKUP(I1361,Notes!$A$2:$B$37,2,FALSE)*1024,0) + J1361*16 + IF(K1361="",7,K1361)*2 + IF(L1361&gt;0, 1, 0))),","),"")</f>
        <v/>
      </c>
      <c r="Y1361" s="21" t="str">
        <f>IF(Q1361&gt;0,CONCATENATE("0x",(DEC2HEX(IF(P1361&lt;&gt;"",VLOOKUP(P1361,Notes!$A$2:$B$37,2,FALSE)*1024,0) + Q1361*16 + IF(R1361="",7,R1361)*2 + IF(S1361&gt;0, 1, 0))),","),"")</f>
        <v/>
      </c>
    </row>
    <row r="1362" spans="2:25" x14ac:dyDescent="0.25">
      <c r="F1362" s="18">
        <f t="shared" si="126"/>
        <v>0</v>
      </c>
      <c r="G1362" s="1" t="str">
        <f t="shared" si="129"/>
        <v/>
      </c>
      <c r="M1362" s="18">
        <f t="shared" si="127"/>
        <v>0</v>
      </c>
      <c r="N1362" s="1" t="str">
        <f t="shared" si="130"/>
        <v/>
      </c>
      <c r="T1362" s="18">
        <f t="shared" si="128"/>
        <v>0</v>
      </c>
      <c r="U1362" s="1" t="str">
        <f t="shared" si="131"/>
        <v/>
      </c>
      <c r="W1362" s="21" t="str">
        <f>IF(C1362&gt;0,CONCATENATE("0x",(DEC2HEX(IF(B1362&lt;&gt;"",VLOOKUP(B1362,Notes!$A$2:$B$37,2,FALSE)*1024,0) + C1362*16 + IF(D1362="",7,D1362)*2 + IF(E1362&gt;0, 1, 0))),","),"")</f>
        <v/>
      </c>
      <c r="X1362" s="21" t="str">
        <f>IF(J1362&gt;0,CONCATENATE("0x",(DEC2HEX(IF(I1362&lt;&gt;"",VLOOKUP(I1362,Notes!$A$2:$B$37,2,FALSE)*1024,0) + J1362*16 + IF(K1362="",7,K1362)*2 + IF(L1362&gt;0, 1, 0))),","),"")</f>
        <v/>
      </c>
      <c r="Y1362" s="21" t="str">
        <f>IF(Q1362&gt;0,CONCATENATE("0x",(DEC2HEX(IF(P1362&lt;&gt;"",VLOOKUP(P1362,Notes!$A$2:$B$37,2,FALSE)*1024,0) + Q1362*16 + IF(R1362="",7,R1362)*2 + IF(S1362&gt;0, 1, 0))),","),"")</f>
        <v/>
      </c>
    </row>
    <row r="1363" spans="2:25" x14ac:dyDescent="0.25">
      <c r="F1363" s="18">
        <f t="shared" si="126"/>
        <v>0</v>
      </c>
      <c r="G1363" s="1" t="str">
        <f t="shared" si="129"/>
        <v/>
      </c>
      <c r="M1363" s="18">
        <f t="shared" si="127"/>
        <v>0</v>
      </c>
      <c r="N1363" s="1" t="str">
        <f t="shared" si="130"/>
        <v/>
      </c>
      <c r="T1363" s="18">
        <f t="shared" si="128"/>
        <v>0</v>
      </c>
      <c r="U1363" s="1" t="str">
        <f t="shared" si="131"/>
        <v/>
      </c>
      <c r="W1363" s="21" t="str">
        <f>IF(C1363&gt;0,CONCATENATE("0x",(DEC2HEX(IF(B1363&lt;&gt;"",VLOOKUP(B1363,Notes!$A$2:$B$37,2,FALSE)*1024,0) + C1363*16 + IF(D1363="",7,D1363)*2 + IF(E1363&gt;0, 1, 0))),","),"")</f>
        <v/>
      </c>
      <c r="X1363" s="21" t="str">
        <f>IF(J1363&gt;0,CONCATENATE("0x",(DEC2HEX(IF(I1363&lt;&gt;"",VLOOKUP(I1363,Notes!$A$2:$B$37,2,FALSE)*1024,0) + J1363*16 + IF(K1363="",7,K1363)*2 + IF(L1363&gt;0, 1, 0))),","),"")</f>
        <v/>
      </c>
      <c r="Y1363" s="21" t="str">
        <f>IF(Q1363&gt;0,CONCATENATE("0x",(DEC2HEX(IF(P1363&lt;&gt;"",VLOOKUP(P1363,Notes!$A$2:$B$37,2,FALSE)*1024,0) + Q1363*16 + IF(R1363="",7,R1363)*2 + IF(S1363&gt;0, 1, 0))),","),"")</f>
        <v/>
      </c>
    </row>
    <row r="1364" spans="2:25" x14ac:dyDescent="0.25">
      <c r="F1364" s="18">
        <f t="shared" si="126"/>
        <v>0</v>
      </c>
      <c r="G1364" s="1" t="str">
        <f t="shared" si="129"/>
        <v/>
      </c>
      <c r="M1364" s="18">
        <f t="shared" si="127"/>
        <v>0</v>
      </c>
      <c r="N1364" s="1" t="str">
        <f t="shared" si="130"/>
        <v/>
      </c>
      <c r="T1364" s="18">
        <f t="shared" si="128"/>
        <v>0</v>
      </c>
      <c r="U1364" s="1" t="str">
        <f t="shared" si="131"/>
        <v/>
      </c>
      <c r="W1364" s="21" t="str">
        <f>IF(C1364&gt;0,CONCATENATE("0x",(DEC2HEX(IF(B1364&lt;&gt;"",VLOOKUP(B1364,Notes!$A$2:$B$37,2,FALSE)*1024,0) + C1364*16 + IF(D1364="",7,D1364)*2 + IF(E1364&gt;0, 1, 0))),","),"")</f>
        <v/>
      </c>
      <c r="X1364" s="21" t="str">
        <f>IF(J1364&gt;0,CONCATENATE("0x",(DEC2HEX(IF(I1364&lt;&gt;"",VLOOKUP(I1364,Notes!$A$2:$B$37,2,FALSE)*1024,0) + J1364*16 + IF(K1364="",7,K1364)*2 + IF(L1364&gt;0, 1, 0))),","),"")</f>
        <v/>
      </c>
      <c r="Y1364" s="21" t="str">
        <f>IF(Q1364&gt;0,CONCATENATE("0x",(DEC2HEX(IF(P1364&lt;&gt;"",VLOOKUP(P1364,Notes!$A$2:$B$37,2,FALSE)*1024,0) + Q1364*16 + IF(R1364="",7,R1364)*2 + IF(S1364&gt;0, 1, 0))),","),"")</f>
        <v/>
      </c>
    </row>
    <row r="1365" spans="2:25" x14ac:dyDescent="0.25">
      <c r="F1365" s="18">
        <f t="shared" si="126"/>
        <v>0</v>
      </c>
      <c r="G1365" s="1" t="str">
        <f t="shared" si="129"/>
        <v/>
      </c>
      <c r="M1365" s="18">
        <f t="shared" si="127"/>
        <v>0</v>
      </c>
      <c r="N1365" s="1" t="str">
        <f t="shared" si="130"/>
        <v/>
      </c>
      <c r="T1365" s="18">
        <f t="shared" si="128"/>
        <v>0</v>
      </c>
      <c r="U1365" s="1" t="str">
        <f t="shared" si="131"/>
        <v/>
      </c>
      <c r="W1365" s="21" t="str">
        <f>IF(C1365&gt;0,CONCATENATE("0x",(DEC2HEX(IF(B1365&lt;&gt;"",VLOOKUP(B1365,Notes!$A$2:$B$37,2,FALSE)*1024,0) + C1365*16 + IF(D1365="",7,D1365)*2 + IF(E1365&gt;0, 1, 0))),","),"")</f>
        <v/>
      </c>
      <c r="X1365" s="21" t="str">
        <f>IF(J1365&gt;0,CONCATENATE("0x",(DEC2HEX(IF(I1365&lt;&gt;"",VLOOKUP(I1365,Notes!$A$2:$B$37,2,FALSE)*1024,0) + J1365*16 + IF(K1365="",7,K1365)*2 + IF(L1365&gt;0, 1, 0))),","),"")</f>
        <v/>
      </c>
      <c r="Y1365" s="21" t="str">
        <f>IF(Q1365&gt;0,CONCATENATE("0x",(DEC2HEX(IF(P1365&lt;&gt;"",VLOOKUP(P1365,Notes!$A$2:$B$37,2,FALSE)*1024,0) + Q1365*16 + IF(R1365="",7,R1365)*2 + IF(S1365&gt;0, 1, 0))),","),"")</f>
        <v/>
      </c>
    </row>
    <row r="1366" spans="2:25" x14ac:dyDescent="0.25">
      <c r="F1366" s="18">
        <f t="shared" si="126"/>
        <v>0</v>
      </c>
      <c r="G1366" s="1" t="str">
        <f t="shared" si="129"/>
        <v/>
      </c>
      <c r="M1366" s="18">
        <f t="shared" si="127"/>
        <v>0</v>
      </c>
      <c r="N1366" s="1" t="str">
        <f t="shared" si="130"/>
        <v/>
      </c>
      <c r="T1366" s="18">
        <f t="shared" si="128"/>
        <v>0</v>
      </c>
      <c r="U1366" s="1" t="str">
        <f t="shared" si="131"/>
        <v/>
      </c>
      <c r="W1366" s="21" t="str">
        <f>IF(C1366&gt;0,CONCATENATE("0x",(DEC2HEX(IF(B1366&lt;&gt;"",VLOOKUP(B1366,Notes!$A$2:$B$37,2,FALSE)*1024,0) + C1366*16 + IF(D1366="",7,D1366)*2 + IF(E1366&gt;0, 1, 0))),","),"")</f>
        <v/>
      </c>
      <c r="X1366" s="21" t="str">
        <f>IF(J1366&gt;0,CONCATENATE("0x",(DEC2HEX(IF(I1366&lt;&gt;"",VLOOKUP(I1366,Notes!$A$2:$B$37,2,FALSE)*1024,0) + J1366*16 + IF(K1366="",7,K1366)*2 + IF(L1366&gt;0, 1, 0))),","),"")</f>
        <v/>
      </c>
      <c r="Y1366" s="21" t="str">
        <f>IF(Q1366&gt;0,CONCATENATE("0x",(DEC2HEX(IF(P1366&lt;&gt;"",VLOOKUP(P1366,Notes!$A$2:$B$37,2,FALSE)*1024,0) + Q1366*16 + IF(R1366="",7,R1366)*2 + IF(S1366&gt;0, 1, 0))),","),"")</f>
        <v/>
      </c>
    </row>
    <row r="1367" spans="2:25" x14ac:dyDescent="0.25">
      <c r="F1367" s="18">
        <f t="shared" si="126"/>
        <v>0</v>
      </c>
      <c r="G1367" s="1" t="str">
        <f t="shared" si="129"/>
        <v/>
      </c>
      <c r="M1367" s="18">
        <f t="shared" si="127"/>
        <v>0</v>
      </c>
      <c r="N1367" s="1" t="str">
        <f t="shared" si="130"/>
        <v/>
      </c>
      <c r="T1367" s="18">
        <f t="shared" si="128"/>
        <v>0</v>
      </c>
      <c r="U1367" s="1" t="str">
        <f t="shared" si="131"/>
        <v/>
      </c>
      <c r="W1367" s="21" t="str">
        <f>IF(C1367&gt;0,CONCATENATE("0x",(DEC2HEX(IF(B1367&lt;&gt;"",VLOOKUP(B1367,Notes!$A$2:$B$37,2,FALSE)*1024,0) + C1367*16 + IF(D1367="",7,D1367)*2 + IF(E1367&gt;0, 1, 0))),","),"")</f>
        <v/>
      </c>
      <c r="X1367" s="21" t="str">
        <f>IF(J1367&gt;0,CONCATENATE("0x",(DEC2HEX(IF(I1367&lt;&gt;"",VLOOKUP(I1367,Notes!$A$2:$B$37,2,FALSE)*1024,0) + J1367*16 + IF(K1367="",7,K1367)*2 + IF(L1367&gt;0, 1, 0))),","),"")</f>
        <v/>
      </c>
      <c r="Y1367" s="21" t="str">
        <f>IF(Q1367&gt;0,CONCATENATE("0x",(DEC2HEX(IF(P1367&lt;&gt;"",VLOOKUP(P1367,Notes!$A$2:$B$37,2,FALSE)*1024,0) + Q1367*16 + IF(R1367="",7,R1367)*2 + IF(S1367&gt;0, 1, 0))),","),"")</f>
        <v/>
      </c>
    </row>
    <row r="1368" spans="2:25" x14ac:dyDescent="0.25">
      <c r="F1368" s="18">
        <f t="shared" si="126"/>
        <v>0</v>
      </c>
      <c r="G1368" s="1" t="str">
        <f t="shared" si="129"/>
        <v/>
      </c>
      <c r="M1368" s="18">
        <f t="shared" si="127"/>
        <v>0</v>
      </c>
      <c r="N1368" s="1" t="str">
        <f t="shared" si="130"/>
        <v/>
      </c>
      <c r="T1368" s="18">
        <f t="shared" si="128"/>
        <v>0</v>
      </c>
      <c r="U1368" s="1" t="str">
        <f t="shared" si="131"/>
        <v/>
      </c>
      <c r="W1368" s="21" t="str">
        <f>IF(C1368&gt;0,CONCATENATE("0x",(DEC2HEX(IF(B1368&lt;&gt;"",VLOOKUP(B1368,Notes!$A$2:$B$37,2,FALSE)*1024,0) + C1368*16 + IF(D1368="",7,D1368)*2 + IF(E1368&gt;0, 1, 0))),","),"")</f>
        <v/>
      </c>
      <c r="X1368" s="21" t="str">
        <f>IF(J1368&gt;0,CONCATENATE("0x",(DEC2HEX(IF(I1368&lt;&gt;"",VLOOKUP(I1368,Notes!$A$2:$B$37,2,FALSE)*1024,0) + J1368*16 + IF(K1368="",7,K1368)*2 + IF(L1368&gt;0, 1, 0))),","),"")</f>
        <v/>
      </c>
      <c r="Y1368" s="21" t="str">
        <f>IF(Q1368&gt;0,CONCATENATE("0x",(DEC2HEX(IF(P1368&lt;&gt;"",VLOOKUP(P1368,Notes!$A$2:$B$37,2,FALSE)*1024,0) + Q1368*16 + IF(R1368="",7,R1368)*2 + IF(S1368&gt;0, 1, 0))),","),"")</f>
        <v/>
      </c>
    </row>
    <row r="1369" spans="2:25" x14ac:dyDescent="0.25">
      <c r="B1369" s="12"/>
      <c r="C1369" s="13"/>
      <c r="D1369" s="13"/>
      <c r="E1369" s="14"/>
      <c r="F1369" s="18">
        <f t="shared" si="126"/>
        <v>0</v>
      </c>
      <c r="G1369" s="1" t="str">
        <f t="shared" si="129"/>
        <v/>
      </c>
      <c r="I1369" s="12"/>
      <c r="J1369" s="13"/>
      <c r="K1369" s="13"/>
      <c r="L1369" s="14"/>
      <c r="M1369" s="18">
        <f t="shared" si="127"/>
        <v>0</v>
      </c>
      <c r="N1369" s="1" t="str">
        <f t="shared" si="130"/>
        <v/>
      </c>
      <c r="P1369" s="12"/>
      <c r="Q1369" s="13"/>
      <c r="R1369" s="13"/>
      <c r="S1369" s="14"/>
      <c r="T1369" s="18">
        <f t="shared" si="128"/>
        <v>0</v>
      </c>
      <c r="U1369" s="1" t="str">
        <f t="shared" si="131"/>
        <v/>
      </c>
      <c r="W1369" s="21" t="str">
        <f>IF(C1369&gt;0,CONCATENATE("0x",(DEC2HEX(IF(B1369&lt;&gt;"",VLOOKUP(B1369,Notes!$A$2:$B$37,2,FALSE)*1024,0) + C1369*16 + IF(D1369="",7,D1369)*2 + IF(E1369&gt;0, 1, 0))),","),"")</f>
        <v/>
      </c>
      <c r="X1369" s="21" t="str">
        <f>IF(J1369&gt;0,CONCATENATE("0x",(DEC2HEX(IF(I1369&lt;&gt;"",VLOOKUP(I1369,Notes!$A$2:$B$37,2,FALSE)*1024,0) + J1369*16 + IF(K1369="",7,K1369)*2 + IF(L1369&gt;0, 1, 0))),","),"")</f>
        <v/>
      </c>
      <c r="Y1369" s="21" t="str">
        <f>IF(Q1369&gt;0,CONCATENATE("0x",(DEC2HEX(IF(P1369&lt;&gt;"",VLOOKUP(P1369,Notes!$A$2:$B$37,2,FALSE)*1024,0) + Q1369*16 + IF(R1369="",7,R1369)*2 + IF(S1369&gt;0, 1, 0))),","),"")</f>
        <v/>
      </c>
    </row>
    <row r="1370" spans="2:25" x14ac:dyDescent="0.25">
      <c r="F1370" s="18">
        <f t="shared" si="126"/>
        <v>0</v>
      </c>
      <c r="G1370" s="1" t="str">
        <f t="shared" si="129"/>
        <v/>
      </c>
      <c r="M1370" s="18">
        <f t="shared" si="127"/>
        <v>0</v>
      </c>
      <c r="N1370" s="1" t="str">
        <f t="shared" si="130"/>
        <v/>
      </c>
      <c r="T1370" s="18">
        <f t="shared" si="128"/>
        <v>0</v>
      </c>
      <c r="U1370" s="1" t="str">
        <f t="shared" si="131"/>
        <v/>
      </c>
      <c r="W1370" s="21" t="str">
        <f>IF(C1370&gt;0,CONCATENATE("0x",(DEC2HEX(IF(B1370&lt;&gt;"",VLOOKUP(B1370,Notes!$A$2:$B$37,2,FALSE)*1024,0) + C1370*16 + IF(D1370="",7,D1370)*2 + IF(E1370&gt;0, 1, 0))),","),"")</f>
        <v/>
      </c>
      <c r="X1370" s="21" t="str">
        <f>IF(J1370&gt;0,CONCATENATE("0x",(DEC2HEX(IF(I1370&lt;&gt;"",VLOOKUP(I1370,Notes!$A$2:$B$37,2,FALSE)*1024,0) + J1370*16 + IF(K1370="",7,K1370)*2 + IF(L1370&gt;0, 1, 0))),","),"")</f>
        <v/>
      </c>
      <c r="Y1370" s="21" t="str">
        <f>IF(Q1370&gt;0,CONCATENATE("0x",(DEC2HEX(IF(P1370&lt;&gt;"",VLOOKUP(P1370,Notes!$A$2:$B$37,2,FALSE)*1024,0) + Q1370*16 + IF(R1370="",7,R1370)*2 + IF(S1370&gt;0, 1, 0))),","),"")</f>
        <v/>
      </c>
    </row>
    <row r="1371" spans="2:25" x14ac:dyDescent="0.25">
      <c r="F1371" s="18">
        <f t="shared" si="126"/>
        <v>0</v>
      </c>
      <c r="G1371" s="1" t="str">
        <f t="shared" si="129"/>
        <v/>
      </c>
      <c r="M1371" s="18">
        <f t="shared" si="127"/>
        <v>0</v>
      </c>
      <c r="N1371" s="1" t="str">
        <f t="shared" si="130"/>
        <v/>
      </c>
      <c r="T1371" s="18">
        <f t="shared" si="128"/>
        <v>0</v>
      </c>
      <c r="U1371" s="1" t="str">
        <f t="shared" si="131"/>
        <v/>
      </c>
      <c r="W1371" s="21" t="str">
        <f>IF(C1371&gt;0,CONCATENATE("0x",(DEC2HEX(IF(B1371&lt;&gt;"",VLOOKUP(B1371,Notes!$A$2:$B$37,2,FALSE)*1024,0) + C1371*16 + IF(D1371="",7,D1371)*2 + IF(E1371&gt;0, 1, 0))),","),"")</f>
        <v/>
      </c>
      <c r="X1371" s="21" t="str">
        <f>IF(J1371&gt;0,CONCATENATE("0x",(DEC2HEX(IF(I1371&lt;&gt;"",VLOOKUP(I1371,Notes!$A$2:$B$37,2,FALSE)*1024,0) + J1371*16 + IF(K1371="",7,K1371)*2 + IF(L1371&gt;0, 1, 0))),","),"")</f>
        <v/>
      </c>
      <c r="Y1371" s="21" t="str">
        <f>IF(Q1371&gt;0,CONCATENATE("0x",(DEC2HEX(IF(P1371&lt;&gt;"",VLOOKUP(P1371,Notes!$A$2:$B$37,2,FALSE)*1024,0) + Q1371*16 + IF(R1371="",7,R1371)*2 + IF(S1371&gt;0, 1, 0))),","),"")</f>
        <v/>
      </c>
    </row>
    <row r="1372" spans="2:25" x14ac:dyDescent="0.25">
      <c r="F1372" s="18">
        <f t="shared" si="126"/>
        <v>0</v>
      </c>
      <c r="G1372" s="1" t="str">
        <f t="shared" si="129"/>
        <v/>
      </c>
      <c r="M1372" s="18">
        <f t="shared" si="127"/>
        <v>0</v>
      </c>
      <c r="N1372" s="1" t="str">
        <f t="shared" si="130"/>
        <v/>
      </c>
      <c r="T1372" s="18">
        <f t="shared" si="128"/>
        <v>0</v>
      </c>
      <c r="U1372" s="1" t="str">
        <f t="shared" si="131"/>
        <v/>
      </c>
      <c r="W1372" s="21" t="str">
        <f>IF(C1372&gt;0,CONCATENATE("0x",(DEC2HEX(IF(B1372&lt;&gt;"",VLOOKUP(B1372,Notes!$A$2:$B$37,2,FALSE)*1024,0) + C1372*16 + IF(D1372="",7,D1372)*2 + IF(E1372&gt;0, 1, 0))),","),"")</f>
        <v/>
      </c>
      <c r="X1372" s="21" t="str">
        <f>IF(J1372&gt;0,CONCATENATE("0x",(DEC2HEX(IF(I1372&lt;&gt;"",VLOOKUP(I1372,Notes!$A$2:$B$37,2,FALSE)*1024,0) + J1372*16 + IF(K1372="",7,K1372)*2 + IF(L1372&gt;0, 1, 0))),","),"")</f>
        <v/>
      </c>
      <c r="Y1372" s="21" t="str">
        <f>IF(Q1372&gt;0,CONCATENATE("0x",(DEC2HEX(IF(P1372&lt;&gt;"",VLOOKUP(P1372,Notes!$A$2:$B$37,2,FALSE)*1024,0) + Q1372*16 + IF(R1372="",7,R1372)*2 + IF(S1372&gt;0, 1, 0))),","),"")</f>
        <v/>
      </c>
    </row>
    <row r="1373" spans="2:25" x14ac:dyDescent="0.25">
      <c r="F1373" s="18">
        <f t="shared" si="126"/>
        <v>0</v>
      </c>
      <c r="G1373" s="1" t="str">
        <f t="shared" si="129"/>
        <v/>
      </c>
      <c r="M1373" s="18">
        <f t="shared" si="127"/>
        <v>0</v>
      </c>
      <c r="N1373" s="1" t="str">
        <f t="shared" si="130"/>
        <v/>
      </c>
      <c r="T1373" s="18">
        <f t="shared" si="128"/>
        <v>0</v>
      </c>
      <c r="U1373" s="1" t="str">
        <f t="shared" si="131"/>
        <v/>
      </c>
      <c r="W1373" s="21" t="str">
        <f>IF(C1373&gt;0,CONCATENATE("0x",(DEC2HEX(IF(B1373&lt;&gt;"",VLOOKUP(B1373,Notes!$A$2:$B$37,2,FALSE)*1024,0) + C1373*16 + IF(D1373="",7,D1373)*2 + IF(E1373&gt;0, 1, 0))),","),"")</f>
        <v/>
      </c>
      <c r="X1373" s="21" t="str">
        <f>IF(J1373&gt;0,CONCATENATE("0x",(DEC2HEX(IF(I1373&lt;&gt;"",VLOOKUP(I1373,Notes!$A$2:$B$37,2,FALSE)*1024,0) + J1373*16 + IF(K1373="",7,K1373)*2 + IF(L1373&gt;0, 1, 0))),","),"")</f>
        <v/>
      </c>
      <c r="Y1373" s="21" t="str">
        <f>IF(Q1373&gt;0,CONCATENATE("0x",(DEC2HEX(IF(P1373&lt;&gt;"",VLOOKUP(P1373,Notes!$A$2:$B$37,2,FALSE)*1024,0) + Q1373*16 + IF(R1373="",7,R1373)*2 + IF(S1373&gt;0, 1, 0))),","),"")</f>
        <v/>
      </c>
    </row>
    <row r="1374" spans="2:25" x14ac:dyDescent="0.25">
      <c r="F1374" s="18">
        <f t="shared" si="126"/>
        <v>0</v>
      </c>
      <c r="G1374" s="1" t="str">
        <f t="shared" si="129"/>
        <v/>
      </c>
      <c r="M1374" s="18">
        <f t="shared" si="127"/>
        <v>0</v>
      </c>
      <c r="N1374" s="1" t="str">
        <f t="shared" si="130"/>
        <v/>
      </c>
      <c r="T1374" s="18">
        <f t="shared" si="128"/>
        <v>0</v>
      </c>
      <c r="U1374" s="1" t="str">
        <f t="shared" si="131"/>
        <v/>
      </c>
      <c r="W1374" s="21" t="str">
        <f>IF(C1374&gt;0,CONCATENATE("0x",(DEC2HEX(IF(B1374&lt;&gt;"",VLOOKUP(B1374,Notes!$A$2:$B$37,2,FALSE)*1024,0) + C1374*16 + IF(D1374="",7,D1374)*2 + IF(E1374&gt;0, 1, 0))),","),"")</f>
        <v/>
      </c>
      <c r="X1374" s="21" t="str">
        <f>IF(J1374&gt;0,CONCATENATE("0x",(DEC2HEX(IF(I1374&lt;&gt;"",VLOOKUP(I1374,Notes!$A$2:$B$37,2,FALSE)*1024,0) + J1374*16 + IF(K1374="",7,K1374)*2 + IF(L1374&gt;0, 1, 0))),","),"")</f>
        <v/>
      </c>
      <c r="Y1374" s="21" t="str">
        <f>IF(Q1374&gt;0,CONCATENATE("0x",(DEC2HEX(IF(P1374&lt;&gt;"",VLOOKUP(P1374,Notes!$A$2:$B$37,2,FALSE)*1024,0) + Q1374*16 + IF(R1374="",7,R1374)*2 + IF(S1374&gt;0, 1, 0))),","),"")</f>
        <v/>
      </c>
    </row>
    <row r="1375" spans="2:25" x14ac:dyDescent="0.25">
      <c r="F1375" s="18">
        <f t="shared" si="126"/>
        <v>0</v>
      </c>
      <c r="G1375" s="1" t="str">
        <f t="shared" si="129"/>
        <v/>
      </c>
      <c r="M1375" s="18">
        <f t="shared" si="127"/>
        <v>0</v>
      </c>
      <c r="N1375" s="1" t="str">
        <f t="shared" si="130"/>
        <v/>
      </c>
      <c r="T1375" s="18">
        <f t="shared" si="128"/>
        <v>0</v>
      </c>
      <c r="U1375" s="1" t="str">
        <f t="shared" si="131"/>
        <v/>
      </c>
      <c r="W1375" s="21" t="str">
        <f>IF(C1375&gt;0,CONCATENATE("0x",(DEC2HEX(IF(B1375&lt;&gt;"",VLOOKUP(B1375,Notes!$A$2:$B$37,2,FALSE)*1024,0) + C1375*16 + IF(D1375="",7,D1375)*2 + IF(E1375&gt;0, 1, 0))),","),"")</f>
        <v/>
      </c>
      <c r="X1375" s="21" t="str">
        <f>IF(J1375&gt;0,CONCATENATE("0x",(DEC2HEX(IF(I1375&lt;&gt;"",VLOOKUP(I1375,Notes!$A$2:$B$37,2,FALSE)*1024,0) + J1375*16 + IF(K1375="",7,K1375)*2 + IF(L1375&gt;0, 1, 0))),","),"")</f>
        <v/>
      </c>
      <c r="Y1375" s="21" t="str">
        <f>IF(Q1375&gt;0,CONCATENATE("0x",(DEC2HEX(IF(P1375&lt;&gt;"",VLOOKUP(P1375,Notes!$A$2:$B$37,2,FALSE)*1024,0) + Q1375*16 + IF(R1375="",7,R1375)*2 + IF(S1375&gt;0, 1, 0))),","),"")</f>
        <v/>
      </c>
    </row>
    <row r="1376" spans="2:25" x14ac:dyDescent="0.25">
      <c r="F1376" s="18">
        <f t="shared" si="126"/>
        <v>0</v>
      </c>
      <c r="G1376" s="1" t="str">
        <f t="shared" si="129"/>
        <v/>
      </c>
      <c r="M1376" s="18">
        <f t="shared" si="127"/>
        <v>0</v>
      </c>
      <c r="N1376" s="1" t="str">
        <f t="shared" si="130"/>
        <v/>
      </c>
      <c r="T1376" s="18">
        <f t="shared" si="128"/>
        <v>0</v>
      </c>
      <c r="U1376" s="1" t="str">
        <f t="shared" si="131"/>
        <v/>
      </c>
      <c r="W1376" s="21" t="str">
        <f>IF(C1376&gt;0,CONCATENATE("0x",(DEC2HEX(IF(B1376&lt;&gt;"",VLOOKUP(B1376,Notes!$A$2:$B$37,2,FALSE)*1024,0) + C1376*16 + IF(D1376="",7,D1376)*2 + IF(E1376&gt;0, 1, 0))),","),"")</f>
        <v/>
      </c>
      <c r="X1376" s="21" t="str">
        <f>IF(J1376&gt;0,CONCATENATE("0x",(DEC2HEX(IF(I1376&lt;&gt;"",VLOOKUP(I1376,Notes!$A$2:$B$37,2,FALSE)*1024,0) + J1376*16 + IF(K1376="",7,K1376)*2 + IF(L1376&gt;0, 1, 0))),","),"")</f>
        <v/>
      </c>
      <c r="Y1376" s="21" t="str">
        <f>IF(Q1376&gt;0,CONCATENATE("0x",(DEC2HEX(IF(P1376&lt;&gt;"",VLOOKUP(P1376,Notes!$A$2:$B$37,2,FALSE)*1024,0) + Q1376*16 + IF(R1376="",7,R1376)*2 + IF(S1376&gt;0, 1, 0))),","),"")</f>
        <v/>
      </c>
    </row>
    <row r="1377" spans="2:25" ht="16.5" thickBot="1" x14ac:dyDescent="0.3">
      <c r="B1377" s="15"/>
      <c r="C1377" s="16"/>
      <c r="D1377" s="16"/>
      <c r="E1377" s="17"/>
      <c r="F1377" s="18">
        <f t="shared" si="126"/>
        <v>0</v>
      </c>
      <c r="G1377" s="1" t="str">
        <f t="shared" si="129"/>
        <v/>
      </c>
      <c r="I1377" s="15"/>
      <c r="J1377" s="16"/>
      <c r="K1377" s="16"/>
      <c r="L1377" s="17"/>
      <c r="M1377" s="18">
        <f t="shared" si="127"/>
        <v>0</v>
      </c>
      <c r="N1377" s="1" t="str">
        <f t="shared" si="130"/>
        <v/>
      </c>
      <c r="P1377" s="15"/>
      <c r="Q1377" s="16"/>
      <c r="R1377" s="16"/>
      <c r="S1377" s="17"/>
      <c r="T1377" s="18">
        <f t="shared" si="128"/>
        <v>0</v>
      </c>
      <c r="U1377" s="1" t="str">
        <f t="shared" si="131"/>
        <v/>
      </c>
      <c r="W1377" s="21" t="str">
        <f>IF(C1377&gt;0,CONCATENATE("0x",(DEC2HEX(IF(B1377&lt;&gt;"",VLOOKUP(B1377,Notes!$A$2:$B$37,2,FALSE)*1024,0) + C1377*16 + IF(D1377="",7,D1377)*2 + IF(E1377&gt;0, 1, 0))),","),"")</f>
        <v/>
      </c>
      <c r="X1377" s="21" t="str">
        <f>IF(J1377&gt;0,CONCATENATE("0x",(DEC2HEX(IF(I1377&lt;&gt;"",VLOOKUP(I1377,Notes!$A$2:$B$37,2,FALSE)*1024,0) + J1377*16 + IF(K1377="",7,K1377)*2 + IF(L1377&gt;0, 1, 0))),","),"")</f>
        <v/>
      </c>
      <c r="Y1377" s="21" t="str">
        <f>IF(Q1377&gt;0,CONCATENATE("0x",(DEC2HEX(IF(P1377&lt;&gt;"",VLOOKUP(P1377,Notes!$A$2:$B$37,2,FALSE)*1024,0) + Q1377*16 + IF(R1377="",7,R1377)*2 + IF(S1377&gt;0, 1, 0))),","),"")</f>
        <v/>
      </c>
    </row>
    <row r="1378" spans="2:25" ht="16.5" thickTop="1" x14ac:dyDescent="0.25"/>
  </sheetData>
  <conditionalFormatting sqref="F1:F1048576 M1:M1048576 T1:T1048576">
    <cfRule type="colorScale" priority="15">
      <colorScale>
        <cfvo type="num" val="0"/>
        <cfvo type="num" val="1"/>
        <cfvo type="num" val="2"/>
        <color theme="9" tint="-0.249977111117893"/>
        <color theme="3" tint="0.59999389629810485"/>
        <color theme="3" tint="0.39997558519241921"/>
      </colorScale>
    </cfRule>
  </conditionalFormatting>
  <conditionalFormatting sqref="C1:C1048576 Q1:Q1048576 J1:J1048576">
    <cfRule type="cellIs" dxfId="4" priority="13" operator="greaterThan">
      <formula>63</formula>
    </cfRule>
  </conditionalFormatting>
  <conditionalFormatting sqref="B1:E1048576 P1:S1048576 I1:L1048576">
    <cfRule type="notContainsBlanks" dxfId="3" priority="17">
      <formula>LEN(TRIM(B1))&gt;0</formula>
    </cfRule>
  </conditionalFormatting>
  <conditionalFormatting sqref="G1:G1048576 N1:N1048576 U1:U1048576">
    <cfRule type="notContainsBlanks" dxfId="2" priority="11">
      <formula>LEN(TRIM(G1))&gt;0</formula>
    </cfRule>
  </conditionalFormatting>
  <conditionalFormatting sqref="A1:A1048576">
    <cfRule type="notContainsBlanks" dxfId="1" priority="16">
      <formula>LEN(TRIM(A1))&gt;0</formula>
    </cfRule>
  </conditionalFormatting>
  <conditionalFormatting sqref="W1:Y1048576">
    <cfRule type="containsErrors" dxfId="0" priority="1">
      <formula>ISERROR(W1)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4"/>
  <sheetViews>
    <sheetView workbookViewId="0">
      <selection activeCell="A17" sqref="A17"/>
    </sheetView>
  </sheetViews>
  <sheetFormatPr defaultRowHeight="15" x14ac:dyDescent="0.25"/>
  <cols>
    <col min="1" max="1" width="20.85546875" customWidth="1"/>
    <col min="2" max="2" width="9.140625" customWidth="1"/>
  </cols>
  <sheetData>
    <row r="1" spans="1:5" x14ac:dyDescent="0.25">
      <c r="A1" t="s">
        <v>50</v>
      </c>
      <c r="B1" t="s">
        <v>51</v>
      </c>
    </row>
    <row r="2" spans="1:5" x14ac:dyDescent="0.25">
      <c r="A2" t="s">
        <v>52</v>
      </c>
      <c r="B2" t="s">
        <v>56</v>
      </c>
      <c r="C2" t="s">
        <v>55</v>
      </c>
      <c r="D2" t="s">
        <v>53</v>
      </c>
    </row>
    <row r="3" spans="1:5" x14ac:dyDescent="0.25">
      <c r="A3" t="s">
        <v>54</v>
      </c>
      <c r="B3">
        <v>1</v>
      </c>
      <c r="C3">
        <v>2</v>
      </c>
      <c r="D3">
        <v>3</v>
      </c>
    </row>
    <row r="4" spans="1:5" x14ac:dyDescent="0.25">
      <c r="A4" t="s">
        <v>22</v>
      </c>
      <c r="B4">
        <f>COUNT(Composer!C:C)+1</f>
        <v>1</v>
      </c>
      <c r="C4">
        <f>COUNT(Composer!J:J)+1</f>
        <v>1</v>
      </c>
      <c r="D4">
        <f>COUNT(Composer!Q:Q)+1</f>
        <v>1</v>
      </c>
    </row>
    <row r="5" spans="1:5" x14ac:dyDescent="0.25">
      <c r="A5" t="s">
        <v>47</v>
      </c>
      <c r="B5">
        <f>B4*2</f>
        <v>2</v>
      </c>
      <c r="C5">
        <f>C4*2</f>
        <v>2</v>
      </c>
      <c r="D5">
        <f>D4*2</f>
        <v>2</v>
      </c>
    </row>
    <row r="6" spans="1:5" x14ac:dyDescent="0.25">
      <c r="A6" t="s">
        <v>48</v>
      </c>
      <c r="B6">
        <f>SUM(Composer!C:C)</f>
        <v>0</v>
      </c>
      <c r="C6">
        <f>SUM(Composer!J:J)</f>
        <v>0</v>
      </c>
      <c r="D6">
        <f>SUM(Composer!Q:Q)</f>
        <v>0</v>
      </c>
    </row>
    <row r="7" spans="1:5" x14ac:dyDescent="0.25">
      <c r="A7" t="s">
        <v>49</v>
      </c>
      <c r="B7">
        <f>B6/20</f>
        <v>0</v>
      </c>
      <c r="C7">
        <f t="shared" ref="C7:D7" si="0">C6/20</f>
        <v>0</v>
      </c>
      <c r="D7">
        <f t="shared" si="0"/>
        <v>0</v>
      </c>
      <c r="E7" s="24" t="str">
        <f>IF(OR(B7&lt;&gt;C7,C7&lt;&gt;D7),"MISMATCH","")</f>
        <v/>
      </c>
    </row>
    <row r="9" spans="1:5" x14ac:dyDescent="0.25">
      <c r="B9" t="str">
        <f xml:space="preserve"> "#define " &amp; UPPER($B$1) &amp; "_" &amp; UPPER($B$2) &amp; "_LENGTH" &amp; " " &amp; $B$4</f>
        <v>#define TETRIS_MAIN1_LENGTH 1</v>
      </c>
    </row>
    <row r="10" spans="1:5" x14ac:dyDescent="0.25">
      <c r="B10" t="str">
        <f xml:space="preserve"> "#define " &amp; UPPER($B$1) &amp; "_" &amp; UPPER($C$2) &amp; "_LENGTH" &amp; " " &amp; $C$4</f>
        <v>#define TETRIS_MAIN2_LENGTH 1</v>
      </c>
    </row>
    <row r="11" spans="1:5" x14ac:dyDescent="0.25">
      <c r="B11" t="str">
        <f xml:space="preserve"> "#define " &amp; UPPER($B$1) &amp; "_" &amp; UPPER($D$2) &amp; "_LENGTH" &amp; " " &amp; $D$4</f>
        <v>#define TETRIS_BASS_LENGTH 1</v>
      </c>
    </row>
    <row r="12" spans="1:5" x14ac:dyDescent="0.25">
      <c r="B12" s="23" t="str">
        <f>"PROGMEM uint16_t " &amp; $B$1 &amp; "_" &amp; $B$2 &amp; "[]" &amp; " = {" &amp; ConcatenateRange(Composer!W2:W10000) &amp; "0x0000" &amp; "};"</f>
        <v>PROGMEM uint16_t tetris_main1[] = {0x0000};</v>
      </c>
    </row>
    <row r="13" spans="1:5" x14ac:dyDescent="0.25">
      <c r="B13" s="23" t="str">
        <f>"PROGMEM uint16_t " &amp; $B$1 &amp; "_" &amp; $C$2 &amp; "[]" &amp; " = {" &amp; ConcatenateRange(Composer!X2:X1000) &amp; "0x0000" &amp; "};"</f>
        <v>PROGMEM uint16_t tetris_main2[] = {0x0000};</v>
      </c>
    </row>
    <row r="14" spans="1:5" x14ac:dyDescent="0.25">
      <c r="B14" s="23" t="str">
        <f>"PROGMEM uint16_t " &amp; $B$1 &amp; "_" &amp; $D$2 &amp; "[]" &amp; " = {" &amp; ConcatenateRange(Composer!Y2:Y10000) &amp; "0x0000" &amp; "};"</f>
        <v>PROGMEM uint16_t tetris_bass[] = {0x0000};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3"/>
  <sheetViews>
    <sheetView topLeftCell="A13" workbookViewId="0">
      <selection activeCell="E35" sqref="E35"/>
    </sheetView>
  </sheetViews>
  <sheetFormatPr defaultRowHeight="15" x14ac:dyDescent="0.25"/>
  <sheetData>
    <row r="1" spans="1:2" x14ac:dyDescent="0.25">
      <c r="A1" t="s">
        <v>21</v>
      </c>
      <c r="B1" t="s">
        <v>41</v>
      </c>
    </row>
    <row r="2" spans="1:2" x14ac:dyDescent="0.25">
      <c r="A2" s="3" t="s">
        <v>0</v>
      </c>
      <c r="B2" s="2">
        <v>0</v>
      </c>
    </row>
    <row r="3" spans="1:2" x14ac:dyDescent="0.25">
      <c r="A3" s="3" t="s">
        <v>26</v>
      </c>
      <c r="B3" s="2">
        <v>1</v>
      </c>
    </row>
    <row r="4" spans="1:2" x14ac:dyDescent="0.25">
      <c r="A4" s="3" t="s">
        <v>1</v>
      </c>
      <c r="B4" s="2">
        <v>2</v>
      </c>
    </row>
    <row r="5" spans="1:2" x14ac:dyDescent="0.25">
      <c r="A5" s="3" t="s">
        <v>27</v>
      </c>
      <c r="B5" s="2">
        <v>3</v>
      </c>
    </row>
    <row r="6" spans="1:2" x14ac:dyDescent="0.25">
      <c r="A6" s="3" t="s">
        <v>2</v>
      </c>
      <c r="B6" s="2">
        <v>4</v>
      </c>
    </row>
    <row r="7" spans="1:2" x14ac:dyDescent="0.25">
      <c r="A7" s="3" t="s">
        <v>3</v>
      </c>
      <c r="B7" s="2">
        <v>5</v>
      </c>
    </row>
    <row r="8" spans="1:2" x14ac:dyDescent="0.25">
      <c r="A8" s="3" t="s">
        <v>28</v>
      </c>
      <c r="B8" s="2">
        <v>6</v>
      </c>
    </row>
    <row r="9" spans="1:2" x14ac:dyDescent="0.25">
      <c r="A9" s="3" t="s">
        <v>4</v>
      </c>
      <c r="B9" s="2">
        <v>7</v>
      </c>
    </row>
    <row r="10" spans="1:2" x14ac:dyDescent="0.25">
      <c r="A10" s="3" t="s">
        <v>29</v>
      </c>
      <c r="B10" s="2">
        <v>8</v>
      </c>
    </row>
    <row r="11" spans="1:2" x14ac:dyDescent="0.25">
      <c r="A11" s="3" t="s">
        <v>5</v>
      </c>
      <c r="B11" s="2">
        <v>9</v>
      </c>
    </row>
    <row r="12" spans="1:2" x14ac:dyDescent="0.25">
      <c r="A12" s="3" t="s">
        <v>30</v>
      </c>
      <c r="B12" s="2">
        <v>10</v>
      </c>
    </row>
    <row r="13" spans="1:2" x14ac:dyDescent="0.25">
      <c r="A13" s="3" t="s">
        <v>6</v>
      </c>
      <c r="B13" s="2">
        <v>11</v>
      </c>
    </row>
    <row r="14" spans="1:2" x14ac:dyDescent="0.25">
      <c r="A14" s="3" t="s">
        <v>7</v>
      </c>
      <c r="B14" s="2">
        <v>12</v>
      </c>
    </row>
    <row r="15" spans="1:2" x14ac:dyDescent="0.25">
      <c r="A15" s="3" t="s">
        <v>31</v>
      </c>
      <c r="B15" s="2">
        <v>13</v>
      </c>
    </row>
    <row r="16" spans="1:2" x14ac:dyDescent="0.25">
      <c r="A16" s="3" t="s">
        <v>8</v>
      </c>
      <c r="B16" s="2">
        <v>14</v>
      </c>
    </row>
    <row r="17" spans="1:2" x14ac:dyDescent="0.25">
      <c r="A17" s="3" t="s">
        <v>32</v>
      </c>
      <c r="B17" s="2">
        <v>15</v>
      </c>
    </row>
    <row r="18" spans="1:2" x14ac:dyDescent="0.25">
      <c r="A18" s="3" t="s">
        <v>9</v>
      </c>
      <c r="B18" s="2">
        <v>16</v>
      </c>
    </row>
    <row r="19" spans="1:2" x14ac:dyDescent="0.25">
      <c r="A19" s="3" t="s">
        <v>10</v>
      </c>
      <c r="B19" s="2">
        <v>17</v>
      </c>
    </row>
    <row r="20" spans="1:2" x14ac:dyDescent="0.25">
      <c r="A20" s="3" t="s">
        <v>33</v>
      </c>
      <c r="B20" s="2">
        <v>18</v>
      </c>
    </row>
    <row r="21" spans="1:2" x14ac:dyDescent="0.25">
      <c r="A21" s="3" t="s">
        <v>11</v>
      </c>
      <c r="B21" s="2">
        <v>19</v>
      </c>
    </row>
    <row r="22" spans="1:2" x14ac:dyDescent="0.25">
      <c r="A22" s="3" t="s">
        <v>34</v>
      </c>
      <c r="B22" s="2">
        <v>20</v>
      </c>
    </row>
    <row r="23" spans="1:2" x14ac:dyDescent="0.25">
      <c r="A23" s="3" t="s">
        <v>12</v>
      </c>
      <c r="B23" s="2">
        <v>21</v>
      </c>
    </row>
    <row r="24" spans="1:2" x14ac:dyDescent="0.25">
      <c r="A24" s="3" t="s">
        <v>35</v>
      </c>
      <c r="B24" s="2">
        <v>22</v>
      </c>
    </row>
    <row r="25" spans="1:2" x14ac:dyDescent="0.25">
      <c r="A25" s="3" t="s">
        <v>13</v>
      </c>
      <c r="B25" s="2">
        <v>23</v>
      </c>
    </row>
    <row r="26" spans="1:2" x14ac:dyDescent="0.25">
      <c r="A26" s="3" t="s">
        <v>14</v>
      </c>
      <c r="B26" s="2">
        <v>24</v>
      </c>
    </row>
    <row r="27" spans="1:2" x14ac:dyDescent="0.25">
      <c r="A27" s="3" t="s">
        <v>36</v>
      </c>
      <c r="B27" s="2">
        <v>25</v>
      </c>
    </row>
    <row r="28" spans="1:2" x14ac:dyDescent="0.25">
      <c r="A28" s="3" t="s">
        <v>15</v>
      </c>
      <c r="B28" s="2">
        <v>26</v>
      </c>
    </row>
    <row r="29" spans="1:2" x14ac:dyDescent="0.25">
      <c r="A29" s="3" t="s">
        <v>37</v>
      </c>
      <c r="B29" s="2">
        <v>27</v>
      </c>
    </row>
    <row r="30" spans="1:2" x14ac:dyDescent="0.25">
      <c r="A30" s="3" t="s">
        <v>16</v>
      </c>
      <c r="B30" s="2">
        <v>28</v>
      </c>
    </row>
    <row r="31" spans="1:2" x14ac:dyDescent="0.25">
      <c r="A31" s="3" t="s">
        <v>17</v>
      </c>
      <c r="B31" s="2">
        <v>29</v>
      </c>
    </row>
    <row r="32" spans="1:2" x14ac:dyDescent="0.25">
      <c r="A32" s="3" t="s">
        <v>38</v>
      </c>
      <c r="B32" s="2">
        <v>30</v>
      </c>
    </row>
    <row r="33" spans="1:2" x14ac:dyDescent="0.25">
      <c r="A33" s="3" t="s">
        <v>18</v>
      </c>
      <c r="B33" s="2">
        <v>31</v>
      </c>
    </row>
    <row r="34" spans="1:2" x14ac:dyDescent="0.25">
      <c r="A34" s="3" t="s">
        <v>39</v>
      </c>
      <c r="B34" s="2">
        <v>32</v>
      </c>
    </row>
    <row r="35" spans="1:2" x14ac:dyDescent="0.25">
      <c r="A35" s="3" t="s">
        <v>19</v>
      </c>
      <c r="B35" s="2">
        <v>33</v>
      </c>
    </row>
    <row r="36" spans="1:2" x14ac:dyDescent="0.25">
      <c r="A36" s="3" t="s">
        <v>40</v>
      </c>
      <c r="B36" s="2">
        <v>34</v>
      </c>
    </row>
    <row r="37" spans="1:2" x14ac:dyDescent="0.25">
      <c r="A37" s="3" t="s">
        <v>20</v>
      </c>
      <c r="B37" s="2">
        <v>35</v>
      </c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x14ac:dyDescent="0.25">
      <c r="A43" s="2"/>
      <c r="B43" s="2"/>
    </row>
    <row r="44" spans="1:2" x14ac:dyDescent="0.25">
      <c r="A44" s="2"/>
      <c r="B44" s="2"/>
    </row>
    <row r="45" spans="1:2" x14ac:dyDescent="0.25">
      <c r="A45" s="2"/>
      <c r="B45" s="2"/>
    </row>
    <row r="46" spans="1:2" x14ac:dyDescent="0.25">
      <c r="A46" s="2"/>
      <c r="B46" s="2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"/>
    </row>
    <row r="51" spans="1:2" x14ac:dyDescent="0.25">
      <c r="A51" s="2"/>
      <c r="B51" s="2"/>
    </row>
    <row r="52" spans="1:2" x14ac:dyDescent="0.25">
      <c r="A52" s="2"/>
      <c r="B52" s="2"/>
    </row>
    <row r="53" spans="1:2" x14ac:dyDescent="0.25">
      <c r="A53" s="2"/>
      <c r="B53" s="2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1:2" x14ac:dyDescent="0.25">
      <c r="A65" s="2"/>
      <c r="B65" s="2"/>
    </row>
    <row r="66" spans="1:2" x14ac:dyDescent="0.25">
      <c r="A66" s="2"/>
      <c r="B66" s="2"/>
    </row>
    <row r="67" spans="1:2" x14ac:dyDescent="0.25">
      <c r="A67" s="2"/>
      <c r="B67" s="2"/>
    </row>
    <row r="68" spans="1:2" x14ac:dyDescent="0.25">
      <c r="A68" s="2"/>
      <c r="B68" s="2"/>
    </row>
    <row r="69" spans="1:2" x14ac:dyDescent="0.25">
      <c r="A69" s="2"/>
      <c r="B69" s="2"/>
    </row>
    <row r="70" spans="1:2" x14ac:dyDescent="0.25">
      <c r="A70" s="2"/>
      <c r="B70" s="2"/>
    </row>
    <row r="71" spans="1:2" x14ac:dyDescent="0.25">
      <c r="A71" s="2"/>
      <c r="B71" s="2"/>
    </row>
    <row r="72" spans="1:2" x14ac:dyDescent="0.25">
      <c r="A72" s="2"/>
      <c r="B72" s="2"/>
    </row>
    <row r="73" spans="1:2" x14ac:dyDescent="0.25">
      <c r="A73" s="2"/>
      <c r="B73" s="2"/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Composer</vt:lpstr>
      <vt:lpstr>Output</vt:lpstr>
      <vt:lpstr>Notes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Rodot</dc:creator>
  <cp:lastModifiedBy>Rodot</cp:lastModifiedBy>
  <dcterms:created xsi:type="dcterms:W3CDTF">2013-10-03T20:04:47Z</dcterms:created>
  <dcterms:modified xsi:type="dcterms:W3CDTF">2014-03-23T16:21:58Z</dcterms:modified>
</cp:coreProperties>
</file>